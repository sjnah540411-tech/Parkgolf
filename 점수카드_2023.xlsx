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xr:revisionPtr revIDLastSave="0" documentId="8_{C9C0186B-035B-BB45-BF05-B0D1B8F6DCA0}" xr6:coauthVersionLast="47" xr6:coauthVersionMax="47" xr10:uidLastSave="{00000000-0000-0000-0000-000000000000}"/>
  <bookViews>
    <workbookView xWindow="360" yWindow="30" windowWidth="19425" windowHeight="11025" activeTab="5" xr2:uid="{00000000-000D-0000-FFFF-FFFF00000000}"/>
  </bookViews>
  <sheets>
    <sheet name="네이버 주소록" sheetId="1" r:id="rId1"/>
    <sheet name="초청대상" sheetId="2" r:id="rId2"/>
    <sheet name="가능성" sheetId="3" r:id="rId3"/>
    <sheet name="명단" sheetId="4" r:id="rId4"/>
    <sheet name="최종확정" sheetId="5" r:id="rId5"/>
    <sheet name="참석자내역" sheetId="6" r:id="rId6"/>
    <sheet name="최종초청&amp;실제참석" sheetId="7" r:id="rId7"/>
    <sheet name="감사장발송" sheetId="8" r:id="rId8"/>
    <sheet name="이메일" sheetId="9" r:id="rId9"/>
    <sheet name="연락도우미" sheetId="10" r:id="rId10"/>
    <sheet name="추가발송" sheetId="11" r:id="rId11"/>
    <sheet name="고객" sheetId="12" r:id="rId12"/>
    <sheet name="심성수_OB" sheetId="13" r:id="rId13"/>
    <sheet name="LG화학주소" sheetId="14" r:id="rId14"/>
    <sheet name="LG패션" sheetId="15" r:id="rId15"/>
    <sheet name="친척" sheetId="16" r:id="rId16"/>
    <sheet name="LG클럽" sheetId="17" r:id="rId17"/>
    <sheet name="동기회" sheetId="18" r:id="rId18"/>
    <sheet name="가족" sheetId="19" r:id="rId19"/>
    <sheet name="럭수회" sheetId="20" r:id="rId20"/>
    <sheet name="김정오" sheetId="21" r:id="rId21"/>
    <sheet name="제자반" sheetId="22" r:id="rId22"/>
    <sheet name="북경교회" sheetId="23" r:id="rId23"/>
    <sheet name="경복북경" sheetId="24" r:id="rId24"/>
    <sheet name="경복상해" sheetId="25" r:id="rId25"/>
    <sheet name="Sheet3" sheetId="26" r:id="rId26"/>
    <sheet name="북경교회_봉사위" sheetId="27" r:id="rId27"/>
    <sheet name="Sheet8" sheetId="28" r:id="rId28"/>
    <sheet name="Sheet1" sheetId="29" r:id="rId29"/>
    <sheet name="Sheet2" sheetId="30" r:id="rId30"/>
    <sheet name="Sheet4" sheetId="31" r:id="rId31"/>
  </sheets>
  <definedNames>
    <definedName name="_xlnm._FilterDatabase" localSheetId="7">감사장발송!$B$1:$B$547</definedName>
    <definedName name="_xlnm._FilterDatabase" localSheetId="0">'네이버 주소록'!$B$1:$AX$1537</definedName>
    <definedName name="_xlnm._FilterDatabase" localSheetId="5">참석자내역!$A$1:$L$602</definedName>
    <definedName name="_xlnm._FilterDatabase" localSheetId="6">'최종초청&amp;실제참석'!$D$1:$D$412</definedName>
    <definedName name="_xlnm.Print_Area" localSheetId="4">최종확정!$C$1:$I$470</definedName>
    <definedName name="_xlnm.Print_Area" localSheetId="10">추가발송!$A$32:$D$45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5" l="1"/>
  <c r="M37" i="15"/>
  <c r="N36" i="15"/>
  <c r="M36" i="15"/>
  <c r="N35" i="15"/>
  <c r="M35" i="15"/>
  <c r="N34" i="15"/>
  <c r="M34" i="15"/>
  <c r="N33" i="15"/>
  <c r="M33" i="15"/>
  <c r="N28" i="15"/>
  <c r="M28" i="15"/>
  <c r="N27" i="15"/>
  <c r="M27" i="15"/>
  <c r="N26" i="15"/>
  <c r="M26" i="15"/>
  <c r="N25" i="15"/>
  <c r="M25" i="15"/>
  <c r="N24" i="15"/>
  <c r="M24" i="15"/>
  <c r="N23" i="15"/>
  <c r="M23" i="15"/>
  <c r="N22" i="15"/>
  <c r="M22" i="15"/>
  <c r="N21" i="15"/>
  <c r="M21" i="15"/>
  <c r="N20" i="15"/>
  <c r="M20" i="15"/>
  <c r="N19" i="15"/>
  <c r="M19" i="15"/>
  <c r="N18" i="15"/>
  <c r="M18" i="15"/>
  <c r="N17" i="15"/>
  <c r="M17" i="15"/>
  <c r="N16" i="15"/>
  <c r="M16" i="15"/>
  <c r="N15" i="15"/>
  <c r="M15" i="15"/>
  <c r="N14" i="15"/>
  <c r="M14" i="15"/>
  <c r="N13" i="15"/>
  <c r="M13" i="15"/>
  <c r="N12" i="15"/>
  <c r="M12" i="15"/>
  <c r="N11" i="15"/>
  <c r="M11" i="15"/>
  <c r="N10" i="15"/>
  <c r="M10" i="15"/>
  <c r="N9" i="15"/>
  <c r="M9" i="15"/>
  <c r="N8" i="15"/>
  <c r="M8" i="15"/>
  <c r="N7" i="15"/>
  <c r="M7" i="15"/>
  <c r="F528" i="8"/>
  <c r="F536" i="8"/>
  <c r="F523" i="8"/>
  <c r="F531" i="8"/>
  <c r="F532" i="8"/>
  <c r="F537" i="8"/>
  <c r="F539" i="8"/>
  <c r="F527" i="8"/>
  <c r="F529" i="8"/>
  <c r="G527" i="8"/>
  <c r="F516" i="8"/>
  <c r="J518" i="8"/>
  <c r="I516" i="8"/>
  <c r="I515" i="8"/>
  <c r="F515" i="8"/>
  <c r="F510" i="8"/>
  <c r="C510" i="8"/>
  <c r="C509" i="8"/>
  <c r="C508" i="8"/>
  <c r="G507" i="8"/>
  <c r="E507" i="8"/>
  <c r="C507" i="8"/>
  <c r="G504" i="8"/>
  <c r="F504" i="8"/>
  <c r="A504" i="8"/>
  <c r="J50" i="7"/>
  <c r="J568" i="6"/>
  <c r="J567" i="6"/>
  <c r="J569" i="6"/>
  <c r="J570" i="6"/>
  <c r="J572" i="6"/>
  <c r="E4" i="5"/>
  <c r="E414" i="5"/>
  <c r="D414" i="5"/>
  <c r="C2" i="5"/>
  <c r="B4" i="4"/>
  <c r="B3" i="4"/>
  <c r="B2" i="4"/>
  <c r="F533" i="8"/>
</calcChain>
</file>

<file path=xl/sharedStrings.xml><?xml version="1.0" encoding="utf-8"?>
<sst xmlns="http://schemas.openxmlformats.org/spreadsheetml/2006/main" count="24825" uniqueCount="6508">
  <si>
    <t>001LG화학본사</t>
  </si>
  <si>
    <t>김윤구</t>
  </si>
  <si>
    <t>ykkimj</t>
  </si>
  <si>
    <t>김익화</t>
  </si>
  <si>
    <t>ihkimc@lghausys.com</t>
  </si>
  <si>
    <t>김정오</t>
  </si>
  <si>
    <t>jokimd</t>
  </si>
  <si>
    <t>김종호</t>
  </si>
  <si>
    <t>jhkima</t>
  </si>
  <si>
    <t>김찬수</t>
  </si>
  <si>
    <t>chansooc</t>
  </si>
  <si>
    <t>김홍기</t>
  </si>
  <si>
    <t>hgkima</t>
  </si>
  <si>
    <t>박선화</t>
  </si>
  <si>
    <t>parksh</t>
  </si>
  <si>
    <t>박영란</t>
  </si>
  <si>
    <t>gawie</t>
  </si>
  <si>
    <t>박준성</t>
  </si>
  <si>
    <t>jsparkj</t>
  </si>
  <si>
    <t>서윤석</t>
  </si>
  <si>
    <t>석종만</t>
  </si>
  <si>
    <t>jmseok@lghausys.com</t>
  </si>
  <si>
    <t>송영희</t>
  </si>
  <si>
    <t>yhsong@lgcare.co.kr</t>
  </si>
  <si>
    <t>안재훈</t>
  </si>
  <si>
    <t>ahnbatt</t>
  </si>
  <si>
    <t>유승원</t>
  </si>
  <si>
    <t>sgreryoo</t>
  </si>
  <si>
    <t>이경진</t>
  </si>
  <si>
    <t>danjisimba</t>
  </si>
  <si>
    <t>이승수</t>
  </si>
  <si>
    <t>ssleec</t>
  </si>
  <si>
    <t>이승우</t>
  </si>
  <si>
    <t>swleeb@lghausys.com</t>
  </si>
  <si>
    <t>이원호</t>
  </si>
  <si>
    <t>whlee</t>
  </si>
  <si>
    <t>이종민</t>
  </si>
  <si>
    <t>ljmin</t>
  </si>
  <si>
    <t>이창익</t>
  </si>
  <si>
    <t>changlee</t>
  </si>
  <si>
    <t>임영배</t>
  </si>
  <si>
    <t>yblim</t>
  </si>
  <si>
    <t>장윤창</t>
  </si>
  <si>
    <t>ycjangb</t>
  </si>
  <si>
    <t>전자매장</t>
  </si>
  <si>
    <t>정순면</t>
  </si>
  <si>
    <t>smjung</t>
  </si>
  <si>
    <t>정종길</t>
  </si>
  <si>
    <t>jgchung</t>
  </si>
  <si>
    <t>최병록</t>
  </si>
  <si>
    <t>brchoi</t>
  </si>
  <si>
    <t>한영태</t>
  </si>
  <si>
    <t>ythan@lgcare.co.kr</t>
  </si>
  <si>
    <t>현재명</t>
  </si>
  <si>
    <t>jmhyun</t>
  </si>
  <si>
    <t>홍정기</t>
  </si>
  <si>
    <t>jkhong@lgi.co.kr</t>
  </si>
  <si>
    <t>황석환</t>
  </si>
  <si>
    <t>002경복북경동문</t>
  </si>
  <si>
    <t>김종택</t>
  </si>
  <si>
    <t>jtkim@korcham.net</t>
  </si>
  <si>
    <t>006경복동문</t>
  </si>
  <si>
    <t>박민부</t>
  </si>
  <si>
    <t>parkmb551115@hanmail.net</t>
  </si>
  <si>
    <t>성재덕</t>
  </si>
  <si>
    <t>jdsung@sk.com.cn</t>
  </si>
  <si>
    <t>양재완</t>
  </si>
  <si>
    <t>ceoland8@hanmail.net</t>
  </si>
  <si>
    <t>유왕재</t>
  </si>
  <si>
    <t>ratecle@hanmail.net</t>
  </si>
  <si>
    <t>이  안</t>
  </si>
  <si>
    <t>leeahn1213@hotmail.com</t>
  </si>
  <si>
    <t>이원평</t>
  </si>
  <si>
    <t>clara306@naver.com</t>
  </si>
  <si>
    <t>조항묵</t>
  </si>
  <si>
    <t>howord28@chol.ncom</t>
  </si>
  <si>
    <t>조현서</t>
  </si>
  <si>
    <t>issuechina@yahoo.co.kr</t>
  </si>
  <si>
    <t>허윤범</t>
  </si>
  <si>
    <t>silicone@hanafos.com</t>
  </si>
  <si>
    <t>003경복상해동문</t>
  </si>
  <si>
    <t>김세민</t>
  </si>
  <si>
    <t>ksm357@hotmail.com</t>
  </si>
  <si>
    <t>김영진</t>
  </si>
  <si>
    <t>yjkimchina@gmail.com</t>
  </si>
  <si>
    <t>김윤상</t>
  </si>
  <si>
    <t>ygkimys@chol.com</t>
  </si>
  <si>
    <t>김인옥</t>
  </si>
  <si>
    <t>dreamville@hanmail.net</t>
  </si>
  <si>
    <t>김재식</t>
  </si>
  <si>
    <t>jamespaul@hyosung.com</t>
  </si>
  <si>
    <t>박기순</t>
  </si>
  <si>
    <t>kspark@kdb.co.kr</t>
  </si>
  <si>
    <t>박상열</t>
  </si>
  <si>
    <t>xianglie88@gmail.com</t>
  </si>
  <si>
    <t>박성배</t>
  </si>
  <si>
    <t>rongjunad@empal.com</t>
  </si>
  <si>
    <t>박영욱</t>
  </si>
  <si>
    <t>0c8c@hanmail.net</t>
  </si>
  <si>
    <t>배홍규</t>
  </si>
  <si>
    <t>hkb8899@naver.com</t>
  </si>
  <si>
    <t>서경호</t>
  </si>
  <si>
    <t>proskh@hanmail.net</t>
  </si>
  <si>
    <t>손태봉</t>
  </si>
  <si>
    <t>tbsohn@hyosung.com</t>
  </si>
  <si>
    <t>송재상</t>
  </si>
  <si>
    <t>jaessong@unitel.co.kr</t>
  </si>
  <si>
    <t>송한욱</t>
  </si>
  <si>
    <t>songhw-cn@danu.com.cn</t>
  </si>
  <si>
    <t>연상모</t>
  </si>
  <si>
    <t>smyun80@mofat.go.kr</t>
  </si>
  <si>
    <t>원남연</t>
  </si>
  <si>
    <t>namyeon.won@gm.com</t>
  </si>
  <si>
    <t>유영상</t>
  </si>
  <si>
    <t>2572593@hyunday-motor.com</t>
  </si>
  <si>
    <t>윤성중</t>
  </si>
  <si>
    <t>sungjyoon@hanmail.net</t>
  </si>
  <si>
    <t>이인관</t>
  </si>
  <si>
    <t>leeik919@gmail.com</t>
  </si>
  <si>
    <t>이일권</t>
  </si>
  <si>
    <t>ilkwan74@yahoo.co.kr</t>
  </si>
  <si>
    <t>임영광</t>
  </si>
  <si>
    <t>utomos@naver.com</t>
  </si>
  <si>
    <t>정원일</t>
  </si>
  <si>
    <t>james@bg-s.com.cn</t>
  </si>
  <si>
    <t>천승욱</t>
  </si>
  <si>
    <t>chunsw@ibols.com</t>
  </si>
  <si>
    <t>최덕준</t>
  </si>
  <si>
    <t>Tksghcl@naver.com</t>
  </si>
  <si>
    <t>최은석</t>
  </si>
  <si>
    <t>victorromeo@korea.com</t>
  </si>
  <si>
    <t>최정식</t>
  </si>
  <si>
    <t>jsc@kumho.khe.co.kr</t>
  </si>
  <si>
    <t>최현수</t>
  </si>
  <si>
    <t>david@acts-tech.com</t>
  </si>
  <si>
    <t>함진수</t>
  </si>
  <si>
    <t>jshaham@hanmail.net</t>
  </si>
  <si>
    <t>홍경선</t>
  </si>
  <si>
    <t>kshong@hyosung.com</t>
  </si>
  <si>
    <t>홍민수</t>
  </si>
  <si>
    <t>hongms0328@hotmail.com</t>
  </si>
  <si>
    <t>004럭수회</t>
  </si>
  <si>
    <t>jokimd@lgchem.com</t>
  </si>
  <si>
    <t>박규석</t>
  </si>
  <si>
    <t>dhkspark@lgi.co.kr</t>
  </si>
  <si>
    <t>005LG화학 이수회</t>
  </si>
  <si>
    <t>윤익종</t>
  </si>
  <si>
    <t>ijyoon06@hanmail.net</t>
  </si>
  <si>
    <t>19991130</t>
  </si>
  <si>
    <t>양력</t>
  </si>
  <si>
    <t>이름없음</t>
  </si>
  <si>
    <t>xiaogao@hanmail.net</t>
  </si>
  <si>
    <t>박</t>
  </si>
  <si>
    <t>정환</t>
  </si>
  <si>
    <t>punhlaing@gmail.com</t>
  </si>
  <si>
    <t>기본연락처</t>
  </si>
  <si>
    <t>유성수</t>
  </si>
  <si>
    <t>robinyoo64@hanmail.net</t>
  </si>
  <si>
    <t>이정수동문</t>
  </si>
  <si>
    <t>jolypont@hanmail.net</t>
  </si>
  <si>
    <t>13701328386</t>
  </si>
  <si>
    <t>한</t>
  </si>
  <si>
    <t>병돈</t>
  </si>
  <si>
    <t>hanbdon@hanmail.net</t>
  </si>
  <si>
    <t>007북경한인교회</t>
  </si>
  <si>
    <t>감규식 집사님/청년위원회위원장님</t>
  </si>
  <si>
    <t>gskam@posco.com</t>
  </si>
  <si>
    <t>강정숙전도사님</t>
  </si>
  <si>
    <t>onyukang@hanmail.net</t>
  </si>
  <si>
    <t>김기열집사님/감사</t>
  </si>
  <si>
    <t>kiyulkim@yahoo.com</t>
  </si>
  <si>
    <t>김선필집사님</t>
  </si>
  <si>
    <t>spkimbj@hanmail.net</t>
  </si>
  <si>
    <t>김정아전도사님</t>
  </si>
  <si>
    <t>believeclaire@hanmail.net</t>
  </si>
  <si>
    <t>1314-693-2003</t>
  </si>
  <si>
    <t>김희철 장로님</t>
  </si>
  <si>
    <t>hckim@amotech.com.cn</t>
  </si>
  <si>
    <t>박태윤 목사님</t>
  </si>
  <si>
    <t>silkroad300@gmail.com</t>
  </si>
  <si>
    <t>송희숙 집사님/새가족위원회</t>
  </si>
  <si>
    <t>songheesook@hotmail.com</t>
  </si>
  <si>
    <t>승호진 전도사님</t>
  </si>
  <si>
    <t>tqinghua@paran.com</t>
  </si>
  <si>
    <t>신영수 장로님</t>
  </si>
  <si>
    <t>ceobjjournal@yahoo.co.kr</t>
  </si>
  <si>
    <t>심희석 목사님</t>
  </si>
  <si>
    <t>paidionshs@hanmail.net</t>
  </si>
  <si>
    <t>오병운집사님/관리위원장님</t>
  </si>
  <si>
    <t>obw21@hanmail.net</t>
  </si>
  <si>
    <t>원유남집사님</t>
  </si>
  <si>
    <t>ynwon@hanmail.net</t>
  </si>
  <si>
    <t>이영규집사님</t>
  </si>
  <si>
    <t>ceo@anlang.com</t>
  </si>
  <si>
    <t>이종욱 집사님/남선교회</t>
  </si>
  <si>
    <t>bobose78@hotmail.com</t>
  </si>
  <si>
    <t>이종욱집사님</t>
  </si>
  <si>
    <t>이창호 집사님/DVC위원회</t>
  </si>
  <si>
    <t>chrhee@oceancitymail.com</t>
  </si>
  <si>
    <t>이현진전도사님</t>
  </si>
  <si>
    <t>ready138@hanmail.net</t>
  </si>
  <si>
    <t>임병남 집사님/관리위원회</t>
  </si>
  <si>
    <t>bennylim@lycos.co.kr</t>
  </si>
  <si>
    <t>장윤임집사님</t>
  </si>
  <si>
    <t>yoonim0125@hanmail.net</t>
  </si>
  <si>
    <t>전신근 집사님/교육위원회</t>
  </si>
  <si>
    <t>sgjeon@sklubricants.com</t>
  </si>
  <si>
    <t>정영근 집사님/찬양위원회</t>
  </si>
  <si>
    <t>jygnad@paran.com</t>
  </si>
  <si>
    <t>진은희전도사님</t>
  </si>
  <si>
    <t>ab7963@hanmail.net</t>
  </si>
  <si>
    <t>채종석 전도사님</t>
  </si>
  <si>
    <t>yabez77@daum.net</t>
  </si>
  <si>
    <t>008써치펌</t>
  </si>
  <si>
    <t>Diana Kang</t>
  </si>
  <si>
    <t>dkang@heidrick.com</t>
  </si>
  <si>
    <t>Mary Kang</t>
  </si>
  <si>
    <t>mary@amrop.co.kr</t>
  </si>
  <si>
    <t>009가족</t>
  </si>
  <si>
    <t>나지엽</t>
  </si>
  <si>
    <t>nahpd16@hanmail.net</t>
  </si>
  <si>
    <t>아내 서울</t>
  </si>
  <si>
    <t>1791-100821055029556</t>
  </si>
  <si>
    <t>00 82 10-5502-9556</t>
  </si>
  <si>
    <t>010-55029556</t>
  </si>
  <si>
    <t>012사역위원회</t>
  </si>
  <si>
    <t>류맹기 집사님</t>
  </si>
  <si>
    <t>18611978894</t>
  </si>
  <si>
    <t>mydcafe@hanmail.net</t>
  </si>
  <si>
    <t>박민부집사님/예배위원장님</t>
  </si>
  <si>
    <t>13910092234</t>
  </si>
  <si>
    <t>parkmb5511@gmail.com</t>
  </si>
  <si>
    <t>박선경 전도사님</t>
  </si>
  <si>
    <t>15321765929</t>
  </si>
  <si>
    <t>silkroad300@hanmail.net</t>
  </si>
  <si>
    <t>박순영 집사님</t>
  </si>
  <si>
    <t>13331150874</t>
  </si>
  <si>
    <t>p68s11y29@naver.com</t>
  </si>
  <si>
    <t>사역 윤경모 집사님</t>
  </si>
  <si>
    <t>haseo0901@nate.com</t>
  </si>
  <si>
    <t>+8618601938412</t>
  </si>
  <si>
    <t>13366925244</t>
  </si>
  <si>
    <t>momo@erom.co.kr</t>
  </si>
  <si>
    <t>아내 북경</t>
  </si>
  <si>
    <t>+861-3-6612-66718</t>
  </si>
  <si>
    <t>oasis616@naver.com</t>
  </si>
  <si>
    <t>13366011525</t>
  </si>
  <si>
    <t>13661266718</t>
  </si>
  <si>
    <t>여진우 형제님</t>
  </si>
  <si>
    <t>18600147438</t>
  </si>
  <si>
    <t>lifeyeo@gmail.com</t>
  </si>
  <si>
    <t>이순이 집사님</t>
  </si>
  <si>
    <t>18601104691</t>
  </si>
  <si>
    <t>journal4u@hanmail.net</t>
  </si>
  <si>
    <t>전장환집사님/예배위원장님</t>
  </si>
  <si>
    <t>13811150040</t>
  </si>
  <si>
    <t>funong@hanmail.net</t>
  </si>
  <si>
    <t>조학형 집사님</t>
  </si>
  <si>
    <t>13910717745</t>
  </si>
  <si>
    <t>chh56@hanmail.net</t>
  </si>
  <si>
    <t>그룹명</t>
  </si>
  <si>
    <t>성</t>
  </si>
  <si>
    <t>이름</t>
  </si>
  <si>
    <t>닉네임</t>
  </si>
  <si>
    <t>휴대폰 번호</t>
  </si>
  <si>
    <t>이메일</t>
  </si>
  <si>
    <t>회사 번호</t>
  </si>
  <si>
    <t>집 번호</t>
  </si>
  <si>
    <t>회사 Fax 번호</t>
  </si>
  <si>
    <t>집 Fax 번호</t>
  </si>
  <si>
    <t>기타 번호</t>
  </si>
  <si>
    <t>전화번호 직접입력(전화종류)</t>
  </si>
  <si>
    <t>전화번호 직접입력(번호)</t>
  </si>
  <si>
    <t>생일</t>
  </si>
  <si>
    <t>생일(양력음력)</t>
  </si>
  <si>
    <t>기념일(이름)</t>
  </si>
  <si>
    <t>기념일(날짜)</t>
  </si>
  <si>
    <t>회사.소속명</t>
  </si>
  <si>
    <t>부서명</t>
  </si>
  <si>
    <t>직책</t>
  </si>
  <si>
    <t>회사 우편번호</t>
  </si>
  <si>
    <t>회사 주소</t>
  </si>
  <si>
    <t>집 우편번호</t>
  </si>
  <si>
    <t>집 주소</t>
  </si>
  <si>
    <t>기타 우편번호</t>
  </si>
  <si>
    <t>기타 주소</t>
  </si>
  <si>
    <t>주소 직접입력(주소이름)</t>
  </si>
  <si>
    <t>주소 직접입력(우편번호)</t>
  </si>
  <si>
    <t>주소 직접입력(주소정보)</t>
  </si>
  <si>
    <t>홈페이지</t>
  </si>
  <si>
    <t>메신저주소</t>
  </si>
  <si>
    <t>메모</t>
  </si>
  <si>
    <t>추가 휴대폰 번호1</t>
  </si>
  <si>
    <t>추가 휴대폰 번호2</t>
  </si>
  <si>
    <t>추가 회사 번호1</t>
  </si>
  <si>
    <t>추가 회사 번호2</t>
  </si>
  <si>
    <t>추가 집 번호1</t>
  </si>
  <si>
    <t>추가 집 번호2</t>
  </si>
  <si>
    <t>추가 회사 Fax 번호1</t>
  </si>
  <si>
    <t>추가 회사 Fax 번호2</t>
  </si>
  <si>
    <t>추가 집 Fax 번호1</t>
  </si>
  <si>
    <t>추가 집 Fax 번호2</t>
  </si>
  <si>
    <t>추가 기타 번호1</t>
  </si>
  <si>
    <t>추가 기타 번호2</t>
  </si>
  <si>
    <t>추가 이메일1</t>
  </si>
  <si>
    <t>추가 이메일2</t>
  </si>
  <si>
    <t>추가 홈페이지1</t>
  </si>
  <si>
    <t>추가 홈페이지2</t>
  </si>
  <si>
    <t>추가 그룹명1</t>
  </si>
  <si>
    <t>추가 그룹명2</t>
  </si>
  <si>
    <t>乔文骏 律师</t>
  </si>
  <si>
    <t>136-0164-7590</t>
  </si>
  <si>
    <t>刘旭玲</t>
  </si>
  <si>
    <t>+8613910895165</t>
  </si>
  <si>
    <t>Syaiful 沙尔依夫</t>
  </si>
  <si>
    <t>北京语言大学</t>
  </si>
  <si>
    <t>188-1063-7973</t>
  </si>
  <si>
    <t>北大 刘思妍</t>
  </si>
  <si>
    <t>136-0102-9623</t>
  </si>
  <si>
    <t>吴涛</t>
  </si>
  <si>
    <t>+8613152100898</t>
  </si>
  <si>
    <t>和乔丽晶 新房东 李治国 授权人 安宁</t>
  </si>
  <si>
    <t>1330-3546911</t>
  </si>
  <si>
    <t>商跃伟</t>
  </si>
  <si>
    <t>+8613501123654</t>
  </si>
  <si>
    <t>孙华英</t>
  </si>
  <si>
    <t>+8618310245453</t>
  </si>
  <si>
    <t>康彦伟 西安</t>
  </si>
  <si>
    <t>133-0921-5566</t>
  </si>
  <si>
    <t>张</t>
  </si>
  <si>
    <t>延红</t>
  </si>
  <si>
    <t>13991221519</t>
  </si>
  <si>
    <t>e-linailzhangyanhong163@163.com</t>
  </si>
  <si>
    <t>02982493558</t>
  </si>
  <si>
    <t>02982499058</t>
  </si>
  <si>
    <t>西安浩軒商貿有限公司 Xihn Hao-Xuan Trade CO., Ltd</t>
  </si>
  <si>
    <t>总经理</t>
  </si>
  <si>
    <t>西安市 柿园路3 5号帝标大厦7楼 E 户</t>
  </si>
  <si>
    <t>张延红</t>
  </si>
  <si>
    <t>18602921519</t>
  </si>
  <si>
    <t>曹阳</t>
  </si>
  <si>
    <t>+8613488808656</t>
  </si>
  <si>
    <t>曾强</t>
  </si>
  <si>
    <t>151-4008-1452</t>
  </si>
  <si>
    <t>朴美惠</t>
  </si>
  <si>
    <t>+8613701022922</t>
  </si>
  <si>
    <t>权锡昊</t>
  </si>
  <si>
    <t>+8613051085552</t>
  </si>
  <si>
    <t>李京</t>
  </si>
  <si>
    <t>+8618611737759</t>
  </si>
  <si>
    <t>杨雅娟</t>
  </si>
  <si>
    <t>+8618600091303</t>
  </si>
  <si>
    <t>北京双安</t>
  </si>
  <si>
    <t>武丽媛</t>
  </si>
  <si>
    <t>138-1044-7279</t>
  </si>
  <si>
    <t>段建超</t>
  </si>
  <si>
    <t>+8613581873437</t>
  </si>
  <si>
    <t>王新</t>
  </si>
  <si>
    <t>135-2000-3808</t>
  </si>
  <si>
    <t>王雅</t>
  </si>
  <si>
    <t>13811793534</t>
  </si>
  <si>
    <t>百联集团陈鹏</t>
  </si>
  <si>
    <t>138-1627-9177</t>
  </si>
  <si>
    <t>管聪勇 DANIEL</t>
  </si>
  <si>
    <t>+8613520949719</t>
  </si>
  <si>
    <t>朴</t>
  </si>
  <si>
    <t>美惠</t>
  </si>
  <si>
    <t>May, Mi-Hye Park</t>
  </si>
  <si>
    <t>pmh001@jinhuli.com</t>
  </si>
  <si>
    <t>2655356</t>
  </si>
  <si>
    <t>+86108048</t>
  </si>
  <si>
    <t>BEIJING YEHONGDA TRADING CO., LTD. 北京业宏达经贸有限公司</t>
  </si>
  <si>
    <t>Sales Departmenf</t>
  </si>
  <si>
    <t>South China Sales Director 营业部南方区营业总监</t>
  </si>
  <si>
    <t>100027</t>
  </si>
  <si>
    <t>Beijing Unit 1208, Tower A, Pacific Century Place, 2A Gong Ti Bei Road, Chaoyang District,</t>
  </si>
  <si>
    <t>www.jinhuli.com</t>
  </si>
  <si>
    <t>4050356</t>
  </si>
  <si>
    <t>金明</t>
  </si>
  <si>
    <t>+8618601270003</t>
  </si>
  <si>
    <t>金莎</t>
  </si>
  <si>
    <t>+8615710005200</t>
  </si>
  <si>
    <t>雷港</t>
  </si>
  <si>
    <t>+8613683101365</t>
  </si>
  <si>
    <t>高子彦</t>
  </si>
  <si>
    <t>137-0132-7377</t>
  </si>
  <si>
    <t>감규식</t>
  </si>
  <si>
    <t>gskam@naver.com</t>
  </si>
  <si>
    <t>강동철</t>
  </si>
  <si>
    <t>cher991@hanmail.net</t>
  </si>
  <si>
    <t>강선아</t>
  </si>
  <si>
    <t>019-598-2515</t>
  </si>
  <si>
    <t>강영호</t>
  </si>
  <si>
    <t>yhkang2003@hotmail.com</t>
  </si>
  <si>
    <t>강재원</t>
  </si>
  <si>
    <t>jay1kang@hotmail.com</t>
  </si>
  <si>
    <t>강희건</t>
  </si>
  <si>
    <t>hkkangb</t>
  </si>
  <si>
    <t>고재현</t>
  </si>
  <si>
    <t>gsm98@hanmail.net</t>
  </si>
  <si>
    <t>고주현</t>
  </si>
  <si>
    <t>kohjhcn@yahoo.co.kr</t>
  </si>
  <si>
    <t>고희석</t>
  </si>
  <si>
    <t>hsko@cj.net</t>
  </si>
  <si>
    <t>권상용</t>
  </si>
  <si>
    <t>sykwonn</t>
  </si>
  <si>
    <t>기정욱집사님</t>
  </si>
  <si>
    <t>+8613699256393</t>
  </si>
  <si>
    <t>joshuakee@hotmail.com</t>
  </si>
  <si>
    <t>김광범</t>
  </si>
  <si>
    <t>kbkim@lgi.co.kr</t>
  </si>
  <si>
    <t>김광복</t>
  </si>
  <si>
    <t>jamada@hanmail.net</t>
  </si>
  <si>
    <t>김기남부장 엘지전자 냉장고</t>
  </si>
  <si>
    <t>+861-86-182-42050</t>
  </si>
  <si>
    <t>김대용</t>
  </si>
  <si>
    <t>13918-185800</t>
  </si>
  <si>
    <t>김대현</t>
  </si>
  <si>
    <t>김두희</t>
  </si>
  <si>
    <t>koti@kotra.or.kr</t>
  </si>
  <si>
    <t>김명원</t>
  </si>
  <si>
    <t>KIMMW@NAVER.COM</t>
  </si>
  <si>
    <t>김민식</t>
  </si>
  <si>
    <t>mskims@chollian.net</t>
  </si>
  <si>
    <t>mskims@chol.com</t>
  </si>
  <si>
    <t>김민식회장님</t>
  </si>
  <si>
    <t>김민정</t>
  </si>
  <si>
    <t>+821091249796</t>
  </si>
  <si>
    <t>김병수</t>
  </si>
  <si>
    <t>13901-734755</t>
  </si>
  <si>
    <t>010-7212-0971</t>
  </si>
  <si>
    <t>김선명</t>
  </si>
  <si>
    <t>13651-899378</t>
  </si>
  <si>
    <t>김성주</t>
  </si>
  <si>
    <t>+821056758998</t>
  </si>
  <si>
    <t>김영순</t>
  </si>
  <si>
    <t>13701-373165</t>
  </si>
  <si>
    <t>김재준</t>
  </si>
  <si>
    <t>010-5120-8021</t>
  </si>
  <si>
    <t>김재훈</t>
  </si>
  <si>
    <t>13701-456378</t>
  </si>
  <si>
    <t>김종남</t>
  </si>
  <si>
    <t>+8210-9275-7050</t>
  </si>
  <si>
    <t>043-8803-3874</t>
  </si>
  <si>
    <t>김종철</t>
  </si>
  <si>
    <t>+8210-5479-4840</t>
  </si>
  <si>
    <t>02-3468-6799</t>
  </si>
  <si>
    <t>김진</t>
  </si>
  <si>
    <t>13512-129485</t>
  </si>
  <si>
    <t>Joseph Kim</t>
  </si>
  <si>
    <t>joseph@goi.com.hk</t>
  </si>
  <si>
    <t>김철완 광주</t>
  </si>
  <si>
    <t>136-0909-8894</t>
  </si>
  <si>
    <t>나혜림 중국</t>
  </si>
  <si>
    <t>1392-8061853</t>
  </si>
  <si>
    <t>노근봉</t>
  </si>
  <si>
    <t>+8615901387170</t>
  </si>
  <si>
    <t>노재천</t>
  </si>
  <si>
    <t>137-0121-3661</t>
  </si>
  <si>
    <t>대리운전</t>
  </si>
  <si>
    <t>400-116-1007</t>
  </si>
  <si>
    <t>류혜숙</t>
  </si>
  <si>
    <t>박순영</t>
  </si>
  <si>
    <t>박종민소장</t>
  </si>
  <si>
    <t>138-1082-9914</t>
  </si>
  <si>
    <t>010-38943463</t>
  </si>
  <si>
    <t>박진호</t>
  </si>
  <si>
    <t>박철</t>
  </si>
  <si>
    <t>13701-218478</t>
  </si>
  <si>
    <t>박하림</t>
  </si>
  <si>
    <t>반</t>
  </si>
  <si>
    <t>숙자</t>
  </si>
  <si>
    <t>Ban S.J</t>
  </si>
  <si>
    <t>amoris@ourhome.co.kr</t>
  </si>
  <si>
    <t>0220051013</t>
  </si>
  <si>
    <t>연회예약실 실장</t>
  </si>
  <si>
    <t>16442677</t>
  </si>
  <si>
    <t>서울특별시  강남구 역삼동 679번지 GS 타워 1층 아모리스 예약실</t>
  </si>
  <si>
    <t>www.amoris.co.kr</t>
  </si>
  <si>
    <t>배중한 55회</t>
  </si>
  <si>
    <t>186-1148-9117</t>
  </si>
  <si>
    <t>사역 기정욱 집사님</t>
  </si>
  <si>
    <t>서울대북경동문회총무</t>
  </si>
  <si>
    <t>박병환</t>
  </si>
  <si>
    <t>134-6363-9500</t>
  </si>
  <si>
    <t>선경윤</t>
  </si>
  <si>
    <t>sunkylife@hanatour.co.kr</t>
  </si>
  <si>
    <t>손화영</t>
  </si>
  <si>
    <t>1831-0245453</t>
  </si>
  <si>
    <t>송지형</t>
  </si>
  <si>
    <t>jeebrother@lgfashion.co.kr</t>
  </si>
  <si>
    <t>송희숙</t>
  </si>
  <si>
    <t>심희석</t>
  </si>
  <si>
    <t>아줌마 马吉银</t>
  </si>
  <si>
    <t>134-3642-8355</t>
  </si>
  <si>
    <t>+86 134-3642-8355</t>
  </si>
  <si>
    <t>우리은행 오태영부장</t>
  </si>
  <si>
    <t>+8618610571049</t>
  </si>
  <si>
    <t>우리은행 이미홍 경리</t>
  </si>
  <si>
    <t>+8613439320516</t>
  </si>
  <si>
    <t>유은규</t>
  </si>
  <si>
    <t>+861-86-163-63436</t>
  </si>
  <si>
    <t>186-1636-3436</t>
  </si>
  <si>
    <t>윤경모</t>
  </si>
  <si>
    <t>윤영일 북경대</t>
  </si>
  <si>
    <t>186-7612-7697</t>
  </si>
  <si>
    <t>이강인</t>
  </si>
  <si>
    <t>이미옥</t>
  </si>
  <si>
    <t>lmo96@naver.com</t>
  </si>
  <si>
    <t>이상호</t>
  </si>
  <si>
    <t>이순이</t>
  </si>
  <si>
    <t>이재희</t>
  </si>
  <si>
    <t>이재희 한국번호</t>
  </si>
  <si>
    <t>이지호</t>
  </si>
  <si>
    <t>011-9710-0607</t>
  </si>
  <si>
    <t>이창호</t>
  </si>
  <si>
    <t>oceancitybeijing@gmail.com</t>
  </si>
  <si>
    <t>이창호 집사님</t>
  </si>
  <si>
    <t>186-1813-2447</t>
  </si>
  <si>
    <t>이철수</t>
  </si>
  <si>
    <t>13341-733826</t>
  </si>
  <si>
    <t>정영근</t>
  </si>
  <si>
    <t>정출성부장 코오롱스포츠</t>
  </si>
  <si>
    <t>135-2286-8001</t>
  </si>
  <si>
    <t>제일인테리어 김재민사장</t>
  </si>
  <si>
    <t>011-268-5842</t>
  </si>
  <si>
    <t>조우송 금평변호사</t>
  </si>
  <si>
    <t>13901-821312</t>
  </si>
  <si>
    <t>최성율</t>
  </si>
  <si>
    <t>13301-625536</t>
  </si>
  <si>
    <t>최세현 레드캡 유럽가이드</t>
  </si>
  <si>
    <t>00 372 5921 0830</t>
  </si>
  <si>
    <t>010-87044370</t>
  </si>
  <si>
    <t>최현성 강도사</t>
  </si>
  <si>
    <t>186-1014-8692</t>
  </si>
  <si>
    <t>출장자</t>
  </si>
  <si>
    <t>코톡114</t>
  </si>
  <si>
    <t>116114</t>
  </si>
  <si>
    <t>하늘나라(요세비우스)</t>
  </si>
  <si>
    <t>허완영</t>
  </si>
  <si>
    <t>13795-78103</t>
  </si>
  <si>
    <t>혜림</t>
  </si>
  <si>
    <t>138-2747-3551</t>
  </si>
  <si>
    <t>Alibaba mr Zhu</t>
  </si>
  <si>
    <t>057185-025188</t>
  </si>
  <si>
    <t>Ceo</t>
  </si>
  <si>
    <t>008-227850327</t>
  </si>
  <si>
    <t>Chang 장태준 집사님</t>
  </si>
  <si>
    <t>+86 158-0164-3947</t>
  </si>
  <si>
    <t>ChangJiyuan</t>
  </si>
  <si>
    <t>13910-706281</t>
  </si>
  <si>
    <t>Cindy</t>
  </si>
  <si>
    <t>13910-093603</t>
  </si>
  <si>
    <t>Grebot JH  김정희</t>
  </si>
  <si>
    <t>Compliance Officer</t>
  </si>
  <si>
    <t>+33153671200</t>
  </si>
  <si>
    <t>KEB Paris</t>
  </si>
  <si>
    <t>DDD</t>
  </si>
  <si>
    <t>17-951</t>
  </si>
  <si>
    <t>DongHai Ding</t>
  </si>
  <si>
    <t>13651-203905</t>
  </si>
  <si>
    <t>Dooroovit</t>
  </si>
  <si>
    <t>2392-0053</t>
  </si>
  <si>
    <t>Expo Hotline</t>
  </si>
  <si>
    <t>02-196-2010</t>
  </si>
  <si>
    <t>FanYuHong</t>
  </si>
  <si>
    <t>15921-903931</t>
  </si>
  <si>
    <t>He Shifu</t>
  </si>
  <si>
    <t>13522-240178</t>
  </si>
  <si>
    <t>Herman Cheng 鄭偉雄</t>
  </si>
  <si>
    <t>Highton Hotel</t>
  </si>
  <si>
    <t>6113-1888</t>
  </si>
  <si>
    <t>Home</t>
  </si>
  <si>
    <t>010-8450-1769</t>
  </si>
  <si>
    <t>IDD</t>
  </si>
  <si>
    <t>010-6563-2299</t>
  </si>
  <si>
    <t>J</t>
  </si>
  <si>
    <t>JiangJianGang</t>
  </si>
  <si>
    <t>13426-392320</t>
  </si>
  <si>
    <t>Key open</t>
  </si>
  <si>
    <t>13681-836909</t>
  </si>
  <si>
    <t>Kim byung jin</t>
  </si>
  <si>
    <t>Lafuma PakJHyun</t>
  </si>
  <si>
    <t>15921-858266</t>
  </si>
  <si>
    <t>LiuXiaoDong</t>
  </si>
  <si>
    <t>13520-620212</t>
  </si>
  <si>
    <t>LiuYi</t>
  </si>
  <si>
    <t>13810-519185</t>
  </si>
  <si>
    <t>LiuZhuoYin</t>
  </si>
  <si>
    <t>13910-393680</t>
  </si>
  <si>
    <t>LiuZhuren Beida 11</t>
  </si>
  <si>
    <t>1-</t>
  </si>
  <si>
    <t>MaoJinYou 毛金友</t>
  </si>
  <si>
    <t>13701-178023</t>
  </si>
  <si>
    <t>PangJinHua</t>
  </si>
  <si>
    <t>13902-107969</t>
  </si>
  <si>
    <t>QiWei</t>
  </si>
  <si>
    <t>13810-172172</t>
  </si>
  <si>
    <t>Qiantai</t>
  </si>
  <si>
    <t>010-8450-1299</t>
  </si>
  <si>
    <t>Ricky 杨永嘉</t>
  </si>
  <si>
    <t>1360-1033947</t>
  </si>
  <si>
    <t>Rxu</t>
  </si>
  <si>
    <t>SK Clinic</t>
  </si>
  <si>
    <t>8596-1678</t>
  </si>
  <si>
    <t>SOS Clinic</t>
  </si>
  <si>
    <t>6462-9054</t>
  </si>
  <si>
    <t>Seoul</t>
  </si>
  <si>
    <t>008-224169556</t>
  </si>
  <si>
    <t>Sh Zhang shifu</t>
  </si>
  <si>
    <t>13311-979532</t>
  </si>
  <si>
    <t>ShinHS</t>
  </si>
  <si>
    <t>13611-924348</t>
  </si>
  <si>
    <t>WangJianMin</t>
  </si>
  <si>
    <t>13911-385323</t>
  </si>
  <si>
    <t>Wang师傅</t>
  </si>
  <si>
    <t>010-8597-3274</t>
  </si>
  <si>
    <t>13911-890384</t>
  </si>
  <si>
    <t>Wei shifu</t>
  </si>
  <si>
    <t>13693-620419</t>
  </si>
  <si>
    <t>Woo社长 Office</t>
  </si>
  <si>
    <t>010-6563-1000</t>
  </si>
  <si>
    <t>XiaoWeiGuo</t>
  </si>
  <si>
    <t>13902-195739</t>
  </si>
  <si>
    <t>XuHaiXin</t>
  </si>
  <si>
    <t>13352-022171</t>
  </si>
  <si>
    <t>XuLiXian</t>
  </si>
  <si>
    <t>008-86932054077</t>
  </si>
  <si>
    <t>XuQiang</t>
  </si>
  <si>
    <t>13661-184275</t>
  </si>
  <si>
    <t>YinXiaoFang</t>
  </si>
  <si>
    <t>13920-595363</t>
  </si>
  <si>
    <t>Zhang Guanjia</t>
  </si>
  <si>
    <t>13601-057582</t>
  </si>
  <si>
    <t>Zhang TOVIS</t>
  </si>
  <si>
    <t>13701-868196</t>
  </si>
  <si>
    <t>ZhengBinHong</t>
  </si>
  <si>
    <t>135029-570111</t>
  </si>
  <si>
    <t>ZhuYun</t>
  </si>
  <si>
    <t>13641-861949</t>
  </si>
  <si>
    <t>ZioYou 신판수</t>
  </si>
  <si>
    <t>khwigon</t>
  </si>
  <si>
    <t>leehyunjin</t>
  </si>
  <si>
    <t>sjna08</t>
  </si>
  <si>
    <t>sjna08@naver.com</t>
  </si>
  <si>
    <t>xiaoFang</t>
  </si>
  <si>
    <t>13305-194315</t>
  </si>
  <si>
    <t>方玉忠</t>
  </si>
  <si>
    <t>sjnah@lafuma.com.cn</t>
  </si>
  <si>
    <t>nancho1023@yahoo.co.kr</t>
  </si>
  <si>
    <t>evergreen.lx@gmail.com</t>
  </si>
  <si>
    <t>럭수회</t>
  </si>
  <si>
    <t>구자섭</t>
  </si>
  <si>
    <t>jskoo@koreasmt.co.kr</t>
  </si>
  <si>
    <t>010-2442-8853</t>
  </si>
  <si>
    <t>김장순</t>
  </si>
  <si>
    <t>jasongim@gims.co.kr</t>
  </si>
  <si>
    <t>010-2232-7656</t>
  </si>
  <si>
    <t>010-5554-7130</t>
  </si>
  <si>
    <t>김정오 이멜</t>
  </si>
  <si>
    <t>김정우</t>
  </si>
  <si>
    <t>kjw1015@chol.com</t>
  </si>
  <si>
    <t>김종정</t>
  </si>
  <si>
    <t>jjkim88@empal.com</t>
  </si>
  <si>
    <t>019-232-7093</t>
  </si>
  <si>
    <t>박찬엽</t>
  </si>
  <si>
    <t>letsgocy@hotmail.com</t>
  </si>
  <si>
    <t>박형근</t>
  </si>
  <si>
    <t>hkparkc@naver.com</t>
  </si>
  <si>
    <t>019-232-7500</t>
  </si>
  <si>
    <t>서석수</t>
  </si>
  <si>
    <t>ssswoo@hotmail.com</t>
  </si>
  <si>
    <t>신홍순</t>
  </si>
  <si>
    <t>stefanoshin@hanmail.net</t>
  </si>
  <si>
    <t>오상덕</t>
  </si>
  <si>
    <t>vtc@valuetree.com</t>
  </si>
  <si>
    <t>이병용</t>
  </si>
  <si>
    <t>pkeboblee@paran.com</t>
  </si>
  <si>
    <t>임의신</t>
  </si>
  <si>
    <t>eslim88@chol.com</t>
  </si>
  <si>
    <t>장병우</t>
  </si>
  <si>
    <t>bobjang1@naver.com</t>
  </si>
  <si>
    <t>진용구</t>
  </si>
  <si>
    <t>menex@hanmail.net</t>
  </si>
  <si>
    <t>최석원</t>
  </si>
  <si>
    <t>csw10110@paris.co.kr</t>
  </si>
  <si>
    <t>010-8028-7010</t>
  </si>
  <si>
    <t>최영찬</t>
  </si>
  <si>
    <t>choiyc@cnjcorp.com</t>
  </si>
  <si>
    <t>010-2232-7633</t>
  </si>
  <si>
    <t>홍석승</t>
  </si>
  <si>
    <t>sshongb@lghausys.com</t>
  </si>
  <si>
    <t>sshongb@lgchem.com</t>
  </si>
  <si>
    <t>010-2259-5270</t>
  </si>
  <si>
    <t>봉사위원회</t>
  </si>
  <si>
    <t>김기열 변호사</t>
  </si>
  <si>
    <t>186-0112-1113</t>
  </si>
  <si>
    <t>Church</t>
  </si>
  <si>
    <t>김선필 전화</t>
  </si>
  <si>
    <t>186-1068-5878</t>
  </si>
  <si>
    <t>김수현 집사님</t>
  </si>
  <si>
    <t>+8615910545580</t>
  </si>
  <si>
    <t>yesgod@hanmail.net</t>
  </si>
  <si>
    <t>김효태 집사님</t>
  </si>
  <si>
    <t>13301-107071</t>
  </si>
  <si>
    <t>류인후장로님</t>
  </si>
  <si>
    <t>yuih-99@hanmail.net</t>
  </si>
  <si>
    <t>박민부 전화</t>
  </si>
  <si>
    <t>13910-092234</t>
  </si>
  <si>
    <t>11동2단원301</t>
  </si>
  <si>
    <t>박태윤</t>
  </si>
  <si>
    <t>186-1833-5085</t>
  </si>
  <si>
    <t>+86 138-0118-4110</t>
  </si>
  <si>
    <t>13801-184110</t>
  </si>
  <si>
    <t>186-1037-0807</t>
  </si>
  <si>
    <t>원유남 집사님</t>
  </si>
  <si>
    <t>13911-301187</t>
  </si>
  <si>
    <t>윤현숙 권사님</t>
  </si>
  <si>
    <t>139-1110-3399</t>
  </si>
  <si>
    <t>hyunsook</t>
  </si>
  <si>
    <t>yoonhs226@hanmail.net</t>
  </si>
  <si>
    <t>+861-3-9108-64139</t>
  </si>
  <si>
    <t>139-1086-4139</t>
  </si>
  <si>
    <t>jonathan@sinobrightes.com</t>
  </si>
  <si>
    <t>13701-087173</t>
  </si>
  <si>
    <t>임병남 집사</t>
  </si>
  <si>
    <t>139-1141-6773</t>
  </si>
  <si>
    <t>benny@davenbenny.co.kr</t>
  </si>
  <si>
    <t>장윤임</t>
  </si>
  <si>
    <t>+861-560-132-1226</t>
  </si>
  <si>
    <t>15601-321226</t>
  </si>
  <si>
    <t>장태준 집사님</t>
  </si>
  <si>
    <t>Chang</t>
  </si>
  <si>
    <t>tata99@naver.com</t>
  </si>
  <si>
    <t>전신근</t>
  </si>
  <si>
    <t>/중국마케팅사업부/SKL</t>
  </si>
  <si>
    <t>186-0004-2767</t>
  </si>
  <si>
    <t>chris.jeon@sk.com</t>
  </si>
  <si>
    <t>전원국</t>
  </si>
  <si>
    <t>13301-016999</t>
  </si>
  <si>
    <t>전장환 집사님</t>
  </si>
  <si>
    <t>138-1115-0040</t>
  </si>
  <si>
    <t>종철수 장로</t>
  </si>
  <si>
    <t>13801-137977</t>
  </si>
  <si>
    <t>159-1109-2530</t>
  </si>
  <si>
    <t>북경대</t>
  </si>
  <si>
    <t>和贵山</t>
  </si>
  <si>
    <t>13988-885890</t>
  </si>
  <si>
    <t>崔虎</t>
  </si>
  <si>
    <t>13301-261000</t>
  </si>
  <si>
    <t>张福</t>
  </si>
  <si>
    <t>13608-081106</t>
  </si>
  <si>
    <t>徐亚平</t>
  </si>
  <si>
    <t>13911-118877</t>
  </si>
  <si>
    <t>徐学兵</t>
  </si>
  <si>
    <t>13801-050677</t>
  </si>
  <si>
    <t>叔</t>
  </si>
  <si>
    <t>昊</t>
  </si>
  <si>
    <t>kallenk83@gmail.com</t>
  </si>
  <si>
    <t>中固北京大学 中A汗究中心 國家展硏究院</t>
  </si>
  <si>
    <t>www.bimba.edu.cn</t>
  </si>
  <si>
    <t>朱林</t>
  </si>
  <si>
    <t>13301-368486</t>
  </si>
  <si>
    <t>李洋</t>
  </si>
  <si>
    <t>15845-920766</t>
  </si>
  <si>
    <t>杨润城</t>
  </si>
  <si>
    <t>13801-045456</t>
  </si>
  <si>
    <t>殷兆森</t>
  </si>
  <si>
    <t>13901-158587</t>
  </si>
  <si>
    <t>毛金友</t>
  </si>
  <si>
    <t>王安杰</t>
  </si>
  <si>
    <t>13977-131892</t>
  </si>
  <si>
    <t>王建发</t>
  </si>
  <si>
    <t>13507-294888</t>
  </si>
  <si>
    <t>批</t>
  </si>
  <si>
    <t>秦灰芽</t>
  </si>
  <si>
    <t>81013061085552</t>
  </si>
  <si>
    <t>kaltettks3@gnrail.com</t>
  </si>
  <si>
    <t>444111110183981110</t>
  </si>
  <si>
    <t>中四北京大学 中國經濟硏究中心 國家袁展城F究院</t>
  </si>
  <si>
    <t>胡国友</t>
  </si>
  <si>
    <t>13979-187221</t>
  </si>
  <si>
    <t>胡晓亮</t>
  </si>
  <si>
    <t>15024-775866</t>
  </si>
  <si>
    <t>舒世龙</t>
  </si>
  <si>
    <t>13932-439681</t>
  </si>
  <si>
    <t>荆建国</t>
  </si>
  <si>
    <t>13301-262771</t>
  </si>
  <si>
    <t>董凤煜</t>
  </si>
  <si>
    <t>13904-761621</t>
  </si>
  <si>
    <t>许文前</t>
  </si>
  <si>
    <t>13962-553555</t>
  </si>
  <si>
    <t>赵红霞</t>
  </si>
  <si>
    <t>13403-636555</t>
  </si>
  <si>
    <t>邓建军</t>
  </si>
  <si>
    <t>13910-619995</t>
  </si>
  <si>
    <t>陈学荣</t>
  </si>
  <si>
    <t>13305-397599</t>
  </si>
  <si>
    <t>陈安峰</t>
  </si>
  <si>
    <t>13932-725768</t>
  </si>
  <si>
    <t>陈智红</t>
  </si>
  <si>
    <t>13810-900209</t>
  </si>
  <si>
    <t>139-1163-3683</t>
  </si>
  <si>
    <t>魏龙</t>
  </si>
  <si>
    <t>13905-386891</t>
  </si>
  <si>
    <t>齐立平</t>
  </si>
  <si>
    <t>13718-034561</t>
  </si>
  <si>
    <t>사역위원회</t>
  </si>
  <si>
    <t>사역 류맹기 집사님</t>
  </si>
  <si>
    <t>+86 186-1197-8894</t>
  </si>
  <si>
    <t>사역 박선경 전도사님</t>
  </si>
  <si>
    <t>+861-86-006-00153</t>
  </si>
  <si>
    <t>186-0060-0153</t>
  </si>
  <si>
    <t>사역 박순영 집사님</t>
  </si>
  <si>
    <t>+86 186-1849-7035</t>
  </si>
  <si>
    <t>사역 박찬영 집사 카페팀</t>
  </si>
  <si>
    <t>+86 186-0012-5102</t>
  </si>
  <si>
    <t>사역 송미정 집사</t>
  </si>
  <si>
    <t>LG전자 황실장</t>
  </si>
  <si>
    <t>사역 여진우 형제님</t>
  </si>
  <si>
    <t>+861-86-001-47438</t>
  </si>
  <si>
    <t>186-0014-7438</t>
  </si>
  <si>
    <t>+86 186-0193-8412</t>
  </si>
  <si>
    <t>이롬</t>
  </si>
  <si>
    <t>사역 이순이 집사님</t>
  </si>
  <si>
    <t>186-0110-4691</t>
  </si>
  <si>
    <t>사역 조학형 집사님</t>
  </si>
  <si>
    <t>+86 139-1071-7745</t>
  </si>
  <si>
    <t>사역 카페 김성민 청년</t>
  </si>
  <si>
    <t>사역 카페 김종민</t>
  </si>
  <si>
    <t>Bald</t>
  </si>
  <si>
    <t>사역 카페 이영우 란닝사역</t>
  </si>
  <si>
    <t>+86 158-0119-8283</t>
  </si>
  <si>
    <t>사역 카페 조귀붕 CA기장</t>
  </si>
  <si>
    <t>이바나바 이상대</t>
  </si>
  <si>
    <t>이필립샘과 내왕</t>
  </si>
  <si>
    <t>이필립 중국대학선교회</t>
  </si>
  <si>
    <t>진경도 대표</t>
  </si>
  <si>
    <t>핸즈커피</t>
  </si>
  <si>
    <t>010-35083476</t>
  </si>
  <si>
    <t>Bltc 박지인 간사</t>
  </si>
  <si>
    <t>187-0107-1402</t>
  </si>
  <si>
    <t>Bltc 윤현정 중급</t>
  </si>
  <si>
    <t>134-3904-3356</t>
  </si>
  <si>
    <t>Bltc 한솔잎 초급</t>
  </si>
  <si>
    <t>186-0014-7439</t>
  </si>
  <si>
    <t>상해이수회</t>
  </si>
  <si>
    <t>안영선</t>
  </si>
  <si>
    <t>ysahnb@naver.com</t>
  </si>
  <si>
    <t>이종태</t>
  </si>
  <si>
    <t>jtleeb@dreamwiz.com</t>
  </si>
  <si>
    <t>13801-904107</t>
  </si>
  <si>
    <t>최헌종</t>
  </si>
  <si>
    <t>hj-choi3@hanmail.net</t>
  </si>
  <si>
    <t>13916-641626</t>
  </si>
  <si>
    <t>지인들</t>
  </si>
  <si>
    <t>周师傅 上海</t>
  </si>
  <si>
    <t>13381-877618</t>
  </si>
  <si>
    <t>LG Fashion</t>
  </si>
  <si>
    <t>龙泳 厂长</t>
  </si>
  <si>
    <t>025-85789328</t>
  </si>
  <si>
    <t>13805-186291</t>
  </si>
  <si>
    <t>김경종</t>
  </si>
  <si>
    <t>13910-110284</t>
  </si>
  <si>
    <t>김종필</t>
  </si>
  <si>
    <t>+8618917748881</t>
  </si>
  <si>
    <t>13564-102826</t>
  </si>
  <si>
    <t>노재만</t>
  </si>
  <si>
    <t>13331-169929</t>
  </si>
  <si>
    <t>먀오인 화장품</t>
  </si>
  <si>
    <t>139-0162-2726</t>
  </si>
  <si>
    <t>박근태</t>
  </si>
  <si>
    <t>13501-279988</t>
  </si>
  <si>
    <t>박기종</t>
  </si>
  <si>
    <t>010-5009-6675</t>
  </si>
  <si>
    <t>박성찬 Danal</t>
  </si>
  <si>
    <t>13910-217055</t>
  </si>
  <si>
    <t>박인채</t>
  </si>
  <si>
    <t>13911-788737</t>
  </si>
  <si>
    <t>오승철</t>
  </si>
  <si>
    <t>13511-065154</t>
  </si>
  <si>
    <t>우정석</t>
  </si>
  <si>
    <t>13911-102148</t>
  </si>
  <si>
    <t>이상호 halla</t>
  </si>
  <si>
    <t>13672-024511</t>
  </si>
  <si>
    <t>이원재</t>
  </si>
  <si>
    <t>010-5457-8365</t>
  </si>
  <si>
    <t>이재풍</t>
  </si>
  <si>
    <t>010-4285-4947</t>
  </si>
  <si>
    <t>이준규</t>
  </si>
  <si>
    <t>13601-030170</t>
  </si>
  <si>
    <t>이준근 전 대우근무</t>
  </si>
  <si>
    <t>010-7163-4399</t>
  </si>
  <si>
    <t>이한우</t>
  </si>
  <si>
    <t>nihawoo777@yahoo.co.kr</t>
  </si>
  <si>
    <t>정재화</t>
  </si>
  <si>
    <t>139100241092</t>
  </si>
  <si>
    <t>하영조</t>
  </si>
  <si>
    <t>한기수</t>
  </si>
  <si>
    <t>13501-149646</t>
  </si>
  <si>
    <t>한삼수</t>
  </si>
  <si>
    <t>13312-043335</t>
  </si>
  <si>
    <t>허준홍</t>
  </si>
  <si>
    <t>13953-225735</t>
  </si>
  <si>
    <t>ChenWeiQun</t>
  </si>
  <si>
    <t>13902-722162</t>
  </si>
  <si>
    <t>Hatano</t>
  </si>
  <si>
    <t>13916-958373</t>
  </si>
  <si>
    <t>Herman Cheng MP</t>
  </si>
  <si>
    <t>008-5290926892</t>
  </si>
  <si>
    <t>Herman Cheng OFF</t>
  </si>
  <si>
    <t>008-5224811803</t>
  </si>
  <si>
    <t>LiJun</t>
  </si>
  <si>
    <t>13901-850670</t>
  </si>
  <si>
    <t>LiuSiyan</t>
  </si>
  <si>
    <t>13810-793085</t>
  </si>
  <si>
    <t>QiuRaoDong</t>
  </si>
  <si>
    <t>13906-849998</t>
  </si>
  <si>
    <t>SK 박재광</t>
  </si>
  <si>
    <t>13910-504633</t>
  </si>
  <si>
    <t>SK 이영창</t>
  </si>
  <si>
    <t>13910-805905</t>
  </si>
  <si>
    <t>SSCP 설동하</t>
  </si>
  <si>
    <t>13818-673833</t>
  </si>
  <si>
    <t>SSCP 최택준</t>
  </si>
  <si>
    <t>153-0217-8168</t>
  </si>
  <si>
    <t>XuQiang 许强</t>
  </si>
  <si>
    <t>15810-391177</t>
  </si>
  <si>
    <t>협력업체</t>
  </si>
  <si>
    <t>李</t>
  </si>
  <si>
    <t>喜云</t>
  </si>
  <si>
    <t>+13910694277</t>
  </si>
  <si>
    <t>hel100303@wooribank.com</t>
  </si>
  <si>
    <t>+861084538881</t>
  </si>
  <si>
    <t>友利行(中國)有限公司北京分行 響友利銀行駟1</t>
  </si>
  <si>
    <t>北京分行</t>
  </si>
  <si>
    <t>行尸董事</t>
  </si>
  <si>
    <t>100022</t>
  </si>
  <si>
    <t>北京市 朝建國外大街乙 1 2 子座大厦西塔 1 1</t>
  </si>
  <si>
    <t>+861084538880p200</t>
  </si>
  <si>
    <t>Lafuma China</t>
  </si>
  <si>
    <t>姜建男 Manpower</t>
  </si>
  <si>
    <t>139-1050-0975</t>
  </si>
  <si>
    <t>Manpower</t>
  </si>
  <si>
    <t>張</t>
  </si>
  <si>
    <t>文薇</t>
  </si>
  <si>
    <t>201 It8LMBA</t>
  </si>
  <si>
    <t>+86132155891</t>
  </si>
  <si>
    <t>susilotama@gmail.com</t>
  </si>
  <si>
    <t>8884830</t>
  </si>
  <si>
    <t>匕未去掌 國家展究院 中北京大學 中泮斫究中心</t>
  </si>
  <si>
    <t>+86029155895</t>
  </si>
  <si>
    <t>咸</t>
  </si>
  <si>
    <t>泰泳</t>
  </si>
  <si>
    <t>18618327207</t>
  </si>
  <si>
    <t>hhshamtai@hanwha.co.kr</t>
  </si>
  <si>
    <t>60106583772766p01068837919</t>
  </si>
  <si>
    <t>口了(夕一 Zqfatf.-Ed  ' Ha n Uha</t>
  </si>
  <si>
    <t>斟急義 鞠牟集國中急部</t>
  </si>
  <si>
    <t>中北京市 朝匡光年路一8北京基里中心南樓 to 理部箔 120</t>
  </si>
  <si>
    <t>www.hanwha.co.kr</t>
  </si>
  <si>
    <t>张晨</t>
  </si>
  <si>
    <t>盁科律师事务所</t>
  </si>
  <si>
    <t>133-1164-0926</t>
  </si>
  <si>
    <t>chen.zhang@yingkelawyer.com</t>
  </si>
  <si>
    <t>羅</t>
  </si>
  <si>
    <t>相镇</t>
  </si>
  <si>
    <t>+861051208899</t>
  </si>
  <si>
    <t>+8610512088881p8</t>
  </si>
  <si>
    <t>勒夫商貿(北京)有限公司</t>
  </si>
  <si>
    <t>Hg: 理</t>
  </si>
  <si>
    <t>董事 法人代表</t>
  </si>
  <si>
    <t>北京市 朝建因外大街乙十二 LG 厥子座大厦末塔公 19607元,</t>
  </si>
  <si>
    <t>www.lafuma.cn</t>
  </si>
  <si>
    <t>+18611353098</t>
  </si>
  <si>
    <t>sjnah@lafuma.cn</t>
  </si>
  <si>
    <t>金玉 律师</t>
  </si>
  <si>
    <t>150-1127-0566</t>
  </si>
  <si>
    <t>权</t>
  </si>
  <si>
    <t>锡昊</t>
  </si>
  <si>
    <t>김대식 국민은행</t>
  </si>
  <si>
    <t>13911-306205</t>
  </si>
  <si>
    <t>김범수 우리은행</t>
  </si>
  <si>
    <t>13683-208351</t>
  </si>
  <si>
    <t>김호 금평변호사</t>
  </si>
  <si>
    <t>13911-686012</t>
  </si>
  <si>
    <t>마대진 Pantos</t>
  </si>
  <si>
    <t>18901-365516</t>
  </si>
  <si>
    <t>박금화 비자및취업증 상해</t>
  </si>
  <si>
    <t>13917-947677</t>
  </si>
  <si>
    <t>성교</t>
  </si>
  <si>
    <t>00192335734</t>
  </si>
  <si>
    <t>lgfpsyo@lgfabhion.co.kr</t>
  </si>
  <si>
    <t>0034418109</t>
  </si>
  <si>
    <t>(주)LG때션</t>
  </si>
  <si>
    <t>숙녀사업부 1 모그 Bpu 장 1 차장</t>
  </si>
  <si>
    <t>135896</t>
  </si>
  <si>
    <t>서울특별시 강남구 신사동 637-1</t>
  </si>
  <si>
    <t>www.lgfashion.co.kr</t>
  </si>
  <si>
    <t>0234418192</t>
  </si>
  <si>
    <t>서성호 변호사</t>
  </si>
  <si>
    <t>136-0125-8774</t>
  </si>
  <si>
    <t>010-64625848</t>
  </si>
  <si>
    <t>186-0004-2198</t>
  </si>
  <si>
    <t>서태정 회계사</t>
  </si>
  <si>
    <t>상해 일신</t>
  </si>
  <si>
    <t>138-1786-3573</t>
  </si>
  <si>
    <t>신판수</t>
  </si>
  <si>
    <t>ZioYou Groupware</t>
  </si>
  <si>
    <t>187-2150-1447</t>
  </si>
  <si>
    <t>오승용 광장북경변호서</t>
  </si>
  <si>
    <t>13910-123766</t>
  </si>
  <si>
    <t>서울대후배</t>
  </si>
  <si>
    <t>외환은행 당산역지점</t>
  </si>
  <si>
    <t>이미옥팀장</t>
  </si>
  <si>
    <t>010-20598592</t>
  </si>
  <si>
    <t>02-2675-7612</t>
  </si>
  <si>
    <t>우리은행 성인식</t>
  </si>
  <si>
    <t>13918-776825</t>
  </si>
  <si>
    <t>이강인 부장 LG따샤</t>
  </si>
  <si>
    <t>13436-702792</t>
  </si>
  <si>
    <t>이병석 외환은행북경행장</t>
  </si>
  <si>
    <t>13910-396653</t>
  </si>
  <si>
    <t>전규태 Keb</t>
  </si>
  <si>
    <t>13911-022275</t>
  </si>
  <si>
    <t>조민식 전무</t>
  </si>
  <si>
    <t>13701-350805</t>
  </si>
  <si>
    <t>15810-965772</t>
  </si>
  <si>
    <t>천해성 유사장</t>
  </si>
  <si>
    <t>139-0102-4705</t>
  </si>
  <si>
    <t>최우인 파트너</t>
  </si>
  <si>
    <t>13801-224040</t>
  </si>
  <si>
    <t>최우인 회계사</t>
  </si>
  <si>
    <t>138-0122-4040</t>
  </si>
  <si>
    <t>Pantos 유창곤상무</t>
  </si>
  <si>
    <t>화북사업부장</t>
  </si>
  <si>
    <t>황선도 Pantos</t>
  </si>
  <si>
    <t>186-2151-2777</t>
  </si>
  <si>
    <t>MESNIL</t>
  </si>
  <si>
    <t>Arnaud du</t>
  </si>
  <si>
    <t>+33612128934</t>
  </si>
  <si>
    <t>l@laiuma.fr</t>
  </si>
  <si>
    <t>+33475313192</t>
  </si>
  <si>
    <t>+33476315048</t>
  </si>
  <si>
    <t>LAFUMAGROU PE</t>
  </si>
  <si>
    <t>Director  du Contrdle de Gestion Financial Control Director</t>
  </si>
  <si>
    <t>LAFUMA MILLET LE CHAMEAU OXBOW EIDER</t>
  </si>
  <si>
    <t>www.groupe-lafuma.com</t>
  </si>
  <si>
    <t>Bimba  조한결</t>
  </si>
  <si>
    <t>135-2110-8552</t>
  </si>
  <si>
    <t>hangyul2011@bimba.edu.cn</t>
  </si>
  <si>
    <t>ROUX</t>
  </si>
  <si>
    <t>Coline</t>
  </si>
  <si>
    <t>+33679379762</t>
  </si>
  <si>
    <t>coroux@lafuma.fr</t>
  </si>
  <si>
    <t>+33475313131</t>
  </si>
  <si>
    <t>Chef de Projet International</t>
  </si>
  <si>
    <t>International Project Manager</t>
  </si>
  <si>
    <t>6026140</t>
  </si>
  <si>
    <t>ANNEYRON BP</t>
  </si>
  <si>
    <t>www.lafuma.com</t>
  </si>
  <si>
    <t>Ragueneau</t>
  </si>
  <si>
    <t>Julien</t>
  </si>
  <si>
    <t>09093792352</t>
  </si>
  <si>
    <t>julien.ragueneau@lmlck.jp</t>
  </si>
  <si>
    <t>0357657157</t>
  </si>
  <si>
    <t>0357650023</t>
  </si>
  <si>
    <t>Asia-Paciffic</t>
  </si>
  <si>
    <t>General Manager Representative Director LMKK.</t>
  </si>
  <si>
    <t>+85296258502</t>
  </si>
  <si>
    <t>mitaplazabld@5.4-3mitaminato-kutokyo108-0073japan</t>
  </si>
  <si>
    <t>Keb LiKwanyeon</t>
  </si>
  <si>
    <t>13911-022276</t>
  </si>
  <si>
    <t>Keb Wangjing</t>
  </si>
  <si>
    <t>5920-3780</t>
  </si>
  <si>
    <t>Mazars RobinsonH</t>
  </si>
  <si>
    <t>02-161681088</t>
  </si>
  <si>
    <t>Mazars WangJianM</t>
  </si>
  <si>
    <t>010-8518-9780</t>
  </si>
  <si>
    <t>Pantos 최용준부장</t>
  </si>
  <si>
    <t>189-2022-1289</t>
  </si>
  <si>
    <t>Pantos 황선도 전무</t>
  </si>
  <si>
    <t>seondo.hwang@pantos.com</t>
  </si>
  <si>
    <t>LAFUMA</t>
  </si>
  <si>
    <t>Philippe JOFFARD</t>
  </si>
  <si>
    <t>pjt@lafijma.fr</t>
  </si>
  <si>
    <t>1336388788</t>
  </si>
  <si>
    <t>CEO President Directeur G6n6ral</t>
  </si>
  <si>
    <t>LAFUMA(GROU PE</t>
  </si>
  <si>
    <t>33475313131</t>
  </si>
  <si>
    <t>PingAn Insurance</t>
  </si>
  <si>
    <t>95-512</t>
  </si>
  <si>
    <t>Search Firm 李海英</t>
  </si>
  <si>
    <t>136-6134-0794</t>
  </si>
  <si>
    <t>日月海人力资源</t>
  </si>
  <si>
    <t>Search Firm 李英玉</t>
  </si>
  <si>
    <t>138-1161-2172</t>
  </si>
  <si>
    <t>神州信诚人力资源</t>
  </si>
  <si>
    <t>WooriBank 锦绣江南</t>
  </si>
  <si>
    <t>ZhongHe</t>
  </si>
  <si>
    <t>13391-927890</t>
  </si>
  <si>
    <t>Alumni</t>
  </si>
  <si>
    <t>강신억</t>
  </si>
  <si>
    <t>richard@kstradingcorp.com</t>
  </si>
  <si>
    <t>경복선배</t>
  </si>
  <si>
    <t>강재원 47</t>
  </si>
  <si>
    <t>133-8103-7333</t>
  </si>
  <si>
    <t>경복</t>
  </si>
  <si>
    <t>13728-833842</t>
  </si>
  <si>
    <t>고주현 48</t>
  </si>
  <si>
    <t>17901150-21225604</t>
  </si>
  <si>
    <t>김광원 60회</t>
  </si>
  <si>
    <t>18621-026636</t>
  </si>
  <si>
    <t>김득수</t>
  </si>
  <si>
    <t>colkds@hanmail.net</t>
  </si>
  <si>
    <t>13366-492091</t>
  </si>
  <si>
    <t>김민식 서울전화</t>
  </si>
  <si>
    <t>011-768-6477</t>
  </si>
  <si>
    <t>김민식 중국</t>
  </si>
  <si>
    <t>13802-011042</t>
  </si>
  <si>
    <t>김민식회장님 이멜</t>
  </si>
  <si>
    <t>김종범</t>
  </si>
  <si>
    <t>jbk44@hanmail.net</t>
  </si>
  <si>
    <t>13382-790599</t>
  </si>
  <si>
    <t>010-7720-8849</t>
  </si>
  <si>
    <t>김종범 51</t>
  </si>
  <si>
    <t>13801-734735</t>
  </si>
  <si>
    <t>13501-089752</t>
  </si>
  <si>
    <t>김종택 50</t>
  </si>
  <si>
    <t>김주환</t>
  </si>
  <si>
    <t>harbinjhk@hanmail.net</t>
  </si>
  <si>
    <t>노인탁</t>
  </si>
  <si>
    <t>renduro@yahoo.co.kr</t>
  </si>
  <si>
    <t>137-0121-366</t>
  </si>
  <si>
    <t>jcnoh@software.or.kr</t>
  </si>
  <si>
    <t>박승준 조선일보기자</t>
  </si>
  <si>
    <t>13901-120667</t>
  </si>
  <si>
    <t>박재익</t>
  </si>
  <si>
    <t>13501-356250</t>
  </si>
  <si>
    <t>13801-089080</t>
  </si>
  <si>
    <t>성재덕 58</t>
  </si>
  <si>
    <t>송용일</t>
  </si>
  <si>
    <t>bergsong@waxon.co.kr</t>
  </si>
  <si>
    <t>양만희 46</t>
  </si>
  <si>
    <t>02-551-5700</t>
  </si>
  <si>
    <t>13321-158888</t>
  </si>
  <si>
    <t>양재완 49</t>
  </si>
  <si>
    <t>연상모 50</t>
  </si>
  <si>
    <t>유성수 58</t>
  </si>
  <si>
    <t>13818-020569</t>
  </si>
  <si>
    <t>13366-878284</t>
  </si>
  <si>
    <t>유왕재 48</t>
  </si>
  <si>
    <t>윤승용</t>
  </si>
  <si>
    <t>+8618611522966</t>
  </si>
  <si>
    <t>13910-959771</t>
  </si>
  <si>
    <t>이순환</t>
  </si>
  <si>
    <t>011-497-2037</t>
  </si>
  <si>
    <t>011-6385-5508</t>
  </si>
  <si>
    <t>1791100821063855508</t>
  </si>
  <si>
    <t>이원평 39</t>
  </si>
  <si>
    <t>이원평 중국</t>
  </si>
  <si>
    <t>13520-800737</t>
  </si>
  <si>
    <t>이정수</t>
  </si>
  <si>
    <t>이정수 50회</t>
  </si>
  <si>
    <t>13701-328386</t>
  </si>
  <si>
    <t>이해기</t>
  </si>
  <si>
    <t>leehaegee@hanmail.net</t>
  </si>
  <si>
    <t>이현주</t>
  </si>
  <si>
    <t>colonellee@hanmail.net</t>
  </si>
  <si>
    <t>이현주 공사 50회</t>
  </si>
  <si>
    <t>010-6737-1310</t>
  </si>
  <si>
    <t>임기택</t>
  </si>
  <si>
    <t>nawho89@hanmail.net</t>
  </si>
  <si>
    <t>132-4146-3213</t>
  </si>
  <si>
    <t>임무길</t>
  </si>
  <si>
    <t>+0085251757218</t>
  </si>
  <si>
    <t>189-6463-8223</t>
  </si>
  <si>
    <t>장용배</t>
  </si>
  <si>
    <t>011-307-4662</t>
  </si>
  <si>
    <t>장은영</t>
  </si>
  <si>
    <t>danielja@korea.com</t>
  </si>
  <si>
    <t>장재근</t>
  </si>
  <si>
    <t>jangig@dreamwiz.com</t>
  </si>
  <si>
    <t>장재근 50회 심천총무</t>
  </si>
  <si>
    <t>138-2528-7710</t>
  </si>
  <si>
    <t>전철</t>
  </si>
  <si>
    <t>deonnet@hanmail.net</t>
  </si>
  <si>
    <t>정보원</t>
  </si>
  <si>
    <t>chungbowon@yahoo.co.kr</t>
  </si>
  <si>
    <t>정원일 48</t>
  </si>
  <si>
    <t>정의석</t>
  </si>
  <si>
    <t>eschung@chinaeconomy.co.kr</t>
  </si>
  <si>
    <t>optchung@naver.com</t>
  </si>
  <si>
    <t>정의준 58회</t>
  </si>
  <si>
    <t>13916-604698</t>
  </si>
  <si>
    <t>정이준</t>
  </si>
  <si>
    <t>ejoonchung@hotmail.com</t>
  </si>
  <si>
    <t>조항묵 49</t>
  </si>
  <si>
    <t>13718-970029</t>
  </si>
  <si>
    <t>조현서 48</t>
  </si>
  <si>
    <t>지창훈</t>
  </si>
  <si>
    <t>chchi@koreanair.com</t>
  </si>
  <si>
    <t>지창훈 46회</t>
  </si>
  <si>
    <t>13501-164115</t>
  </si>
  <si>
    <t>최문수</t>
  </si>
  <si>
    <t>016-429-7483</t>
  </si>
  <si>
    <t>최성래</t>
  </si>
  <si>
    <t>sungraichoi@hanmai.net</t>
  </si>
  <si>
    <t>최정길</t>
  </si>
  <si>
    <t>choii9872@gmail.com</t>
  </si>
  <si>
    <t>최정길 48회</t>
  </si>
  <si>
    <t>13818-183662</t>
  </si>
  <si>
    <t>최중희</t>
  </si>
  <si>
    <t>jhchoe@kmi.re.kr</t>
  </si>
  <si>
    <t>최중희 47회</t>
  </si>
  <si>
    <t>02-160900395</t>
  </si>
  <si>
    <t>최태섭 48</t>
  </si>
  <si>
    <t>13510-742056</t>
  </si>
  <si>
    <t>하하하</t>
  </si>
  <si>
    <t>홍용완</t>
  </si>
  <si>
    <t>youngwan.hong@gmail.com</t>
  </si>
  <si>
    <t>강형규</t>
  </si>
  <si>
    <t>13681-057463</t>
  </si>
  <si>
    <t>고창준</t>
  </si>
  <si>
    <t>133-3197-5681</t>
  </si>
  <si>
    <t>곽복선</t>
  </si>
  <si>
    <t>13910-773097</t>
  </si>
  <si>
    <t>교육 영유아부 강종운샘</t>
  </si>
  <si>
    <t>158-1007-0119</t>
  </si>
  <si>
    <t>교육 영유아부 이현진 전도사</t>
  </si>
  <si>
    <t>135-2165-8005</t>
  </si>
  <si>
    <t>교육 유년부 김정아전도사님</t>
  </si>
  <si>
    <t>교육 유년부 전영준샘</t>
  </si>
  <si>
    <t>139-0707-7579</t>
  </si>
  <si>
    <t>haoman@hanmail.net</t>
  </si>
  <si>
    <t>교육 유치부 강정숙 전도사님</t>
  </si>
  <si>
    <t>15910-768894</t>
  </si>
  <si>
    <t>교육 유치부 이영규샘</t>
  </si>
  <si>
    <t>136-0118-0477</t>
  </si>
  <si>
    <t>교육 전담 김기택전도사님</t>
  </si>
  <si>
    <t>+86 186-0027-6421</t>
  </si>
  <si>
    <t>교육 초등부 류맹기샘</t>
  </si>
  <si>
    <t>교육 초등부 채종석 전도사님</t>
  </si>
  <si>
    <t>133-9161-1490</t>
  </si>
  <si>
    <t>교육부회계 김순옥 집사님</t>
  </si>
  <si>
    <t>134-2643-9312</t>
  </si>
  <si>
    <t>국제전화</t>
  </si>
  <si>
    <t>080-720-0303</t>
  </si>
  <si>
    <t>김계준</t>
  </si>
  <si>
    <t>13501-145078</t>
  </si>
  <si>
    <t>김광성</t>
  </si>
  <si>
    <t>13321-117076</t>
  </si>
  <si>
    <t>김기열</t>
  </si>
  <si>
    <t>13910-954534</t>
  </si>
  <si>
    <t>김기택 전도사님</t>
  </si>
  <si>
    <t>151-1694-2477</t>
  </si>
  <si>
    <t>hudsont@hanmail.net</t>
  </si>
  <si>
    <t>김도연</t>
  </si>
  <si>
    <t>13370-272600</t>
  </si>
  <si>
    <t>김선필집사님이멜</t>
  </si>
  <si>
    <t>김옥미 집사</t>
  </si>
  <si>
    <t>139-1179-6850</t>
  </si>
  <si>
    <t>김용섭</t>
  </si>
  <si>
    <t>yskimi</t>
  </si>
  <si>
    <t>김유식</t>
  </si>
  <si>
    <t>13366-620301</t>
  </si>
  <si>
    <t>김인환</t>
  </si>
  <si>
    <t>010-9035-0910</t>
  </si>
  <si>
    <t>011-9035-0910</t>
  </si>
  <si>
    <t>김재경</t>
  </si>
  <si>
    <t>jkkim@hdec.co.kr</t>
  </si>
  <si>
    <t>15901-058773</t>
  </si>
  <si>
    <t>김정수</t>
  </si>
  <si>
    <t>haojskim@gmail.com</t>
  </si>
  <si>
    <t>13901-322560</t>
  </si>
  <si>
    <t>김정아</t>
  </si>
  <si>
    <t>13146-932003</t>
  </si>
  <si>
    <t>김정현 옐림</t>
  </si>
  <si>
    <t>13312-033837</t>
  </si>
  <si>
    <t>김종태 두룻빛</t>
  </si>
  <si>
    <t>13312-040830</t>
  </si>
  <si>
    <t>김태수</t>
  </si>
  <si>
    <t>13321-117565</t>
  </si>
  <si>
    <t>김태완 19fl</t>
  </si>
  <si>
    <t>13910-134720</t>
  </si>
  <si>
    <t>김호연</t>
  </si>
  <si>
    <t>13302-059999</t>
  </si>
  <si>
    <t>김휘곤 간사 음향</t>
  </si>
  <si>
    <t>152-0129-3917</t>
  </si>
  <si>
    <t>민준홍 권찰남편</t>
  </si>
  <si>
    <t>137-1876-7963</t>
  </si>
  <si>
    <t>박민부 멜</t>
  </si>
  <si>
    <t>박상은</t>
  </si>
  <si>
    <t>separkb@lghausys.com</t>
  </si>
  <si>
    <t>박상은 두룻빛</t>
  </si>
  <si>
    <t>13802-129990</t>
  </si>
  <si>
    <t>박승배</t>
  </si>
  <si>
    <t>stevenpark@lghausys.com</t>
  </si>
  <si>
    <t>박완신</t>
  </si>
  <si>
    <t>17911135-01967769</t>
  </si>
  <si>
    <t>박요한</t>
  </si>
  <si>
    <t>13820-845525</t>
  </si>
  <si>
    <t>박윤식</t>
  </si>
  <si>
    <t>13901-086165</t>
  </si>
  <si>
    <t>박인수 현대화재</t>
  </si>
  <si>
    <t>010-95278007</t>
  </si>
  <si>
    <t>13501-151050</t>
  </si>
  <si>
    <t>백용보 장로</t>
  </si>
  <si>
    <t>13821-686084</t>
  </si>
  <si>
    <t>사랑플러스치과</t>
  </si>
  <si>
    <t>031-717-2812</t>
  </si>
  <si>
    <t>사역 김주경</t>
  </si>
  <si>
    <t>133-1157-3953</t>
  </si>
  <si>
    <t>사역 성왕렬</t>
  </si>
  <si>
    <t>136-2125-0634</t>
  </si>
  <si>
    <t>raisegod@hanmail.net</t>
  </si>
  <si>
    <t>송정면</t>
  </si>
  <si>
    <t>011-521-9216</t>
  </si>
  <si>
    <t>신갑용</t>
  </si>
  <si>
    <t>019-9174-1276</t>
  </si>
  <si>
    <t>안영순</t>
  </si>
  <si>
    <t>136-9121-7119</t>
  </si>
  <si>
    <t>안원회 간사 카페팀</t>
  </si>
  <si>
    <t>139-1144-7473</t>
  </si>
  <si>
    <t>오병운집사님</t>
  </si>
  <si>
    <t>135-2272-1818</t>
  </si>
  <si>
    <t>오원평</t>
  </si>
  <si>
    <t>13501-112477</t>
  </si>
  <si>
    <t>오종호</t>
  </si>
  <si>
    <t>13602-064707</t>
  </si>
  <si>
    <t>이규종</t>
  </si>
  <si>
    <t>13701-110577</t>
  </si>
  <si>
    <t>이동수</t>
  </si>
  <si>
    <t>131-4667-9197</t>
  </si>
  <si>
    <t>이명주 권찰</t>
  </si>
  <si>
    <t>134-3965-0914</t>
  </si>
  <si>
    <t>이백선 사랑의교회</t>
  </si>
  <si>
    <t>011-398-5611</t>
  </si>
  <si>
    <t>이사라 IP</t>
  </si>
  <si>
    <t>+86 186-1155-4079</t>
  </si>
  <si>
    <t>이상진 사랑</t>
  </si>
  <si>
    <t>011-305-2036</t>
  </si>
  <si>
    <t>이선우 목사님</t>
  </si>
  <si>
    <t>13302-161009</t>
  </si>
  <si>
    <t>이소려엄마</t>
  </si>
  <si>
    <t>13439-990926</t>
  </si>
  <si>
    <t>이순옥 집사</t>
  </si>
  <si>
    <t>159-1111-6423</t>
  </si>
  <si>
    <t>이영규 64회</t>
  </si>
  <si>
    <t>13601-180477</t>
  </si>
  <si>
    <t>이용준</t>
  </si>
  <si>
    <t>182-1085-3119</t>
  </si>
  <si>
    <t>이용한 장로</t>
  </si>
  <si>
    <t>13820-682811</t>
  </si>
  <si>
    <t>이우용</t>
  </si>
  <si>
    <t>이원호 서기집사</t>
  </si>
  <si>
    <t>132-4186-5315</t>
  </si>
  <si>
    <t>이재은 IP</t>
  </si>
  <si>
    <t>186-1847-6951</t>
  </si>
  <si>
    <t>이재희 두룻빛</t>
  </si>
  <si>
    <t>18602-688577</t>
  </si>
  <si>
    <t>이창익 두룻빛</t>
  </si>
  <si>
    <t>13820-859148</t>
  </si>
  <si>
    <t>이철희 삼성전무</t>
  </si>
  <si>
    <t>13501-234150</t>
  </si>
  <si>
    <t>이태수</t>
  </si>
  <si>
    <t>02-224981082</t>
  </si>
  <si>
    <t>이태진</t>
  </si>
  <si>
    <t>+861-3-9115-29804</t>
  </si>
  <si>
    <t>13911-529804</t>
  </si>
  <si>
    <t>이혁준 집사</t>
  </si>
  <si>
    <t>13901-302404</t>
  </si>
  <si>
    <t>이형석 집사</t>
  </si>
  <si>
    <t>13901-161746</t>
  </si>
  <si>
    <t>이홍식 상무 삼성 18fl</t>
  </si>
  <si>
    <t>13911-606848</t>
  </si>
  <si>
    <t>임계열 사랑의교회</t>
  </si>
  <si>
    <t>011-894-4354</t>
  </si>
  <si>
    <t>임억순 두룻빛</t>
  </si>
  <si>
    <t>13352-025202</t>
  </si>
  <si>
    <t>임혜원</t>
  </si>
  <si>
    <t>011-9886-7116</t>
  </si>
  <si>
    <t>장병규</t>
  </si>
  <si>
    <t>13391-853266</t>
  </si>
  <si>
    <t>yoonimjang@gmail.com</t>
  </si>
  <si>
    <t>13301-272800</t>
  </si>
  <si>
    <t>재정위 이희동집사님</t>
  </si>
  <si>
    <t>133-0137-4884</t>
  </si>
  <si>
    <t>재정위 조영식집사님</t>
  </si>
  <si>
    <t>158-0119-6975</t>
  </si>
  <si>
    <t>정연태 사랑의교회</t>
  </si>
  <si>
    <t>011-216-9937</t>
  </si>
  <si>
    <t>정영근 집사님</t>
  </si>
  <si>
    <t>+8618610733302</t>
  </si>
  <si>
    <t>정현진 사랑의교회</t>
  </si>
  <si>
    <t>011-382-0280</t>
  </si>
  <si>
    <t>정화수 상해한인교회</t>
  </si>
  <si>
    <t>13482-758111</t>
  </si>
  <si>
    <t>조성출 장로</t>
  </si>
  <si>
    <t>13602-016551</t>
  </si>
  <si>
    <t>종철수장로님</t>
  </si>
  <si>
    <t>chinabeijing@hanmail.net</t>
  </si>
  <si>
    <t>진은희 전도사</t>
  </si>
  <si>
    <t>13718-506041</t>
  </si>
  <si>
    <t>최훈 WB</t>
  </si>
  <si>
    <t>13501-182675</t>
  </si>
  <si>
    <t>한나호 정희영간사</t>
  </si>
  <si>
    <t>0317-816437</t>
  </si>
  <si>
    <t>허지민 IP</t>
  </si>
  <si>
    <t>188-0137-6134</t>
  </si>
  <si>
    <t>Customers</t>
  </si>
  <si>
    <t>王鹏</t>
  </si>
  <si>
    <t>探路者 西南区销售经理</t>
  </si>
  <si>
    <t>130-1825-5944</t>
  </si>
  <si>
    <t>成都</t>
  </si>
  <si>
    <t>Li Rui(内蒙古代理商)</t>
  </si>
  <si>
    <t>李蕊</t>
  </si>
  <si>
    <t>15024996655</t>
  </si>
  <si>
    <t>공상술</t>
  </si>
  <si>
    <t>+861-3-3540-47857</t>
  </si>
  <si>
    <t>133-5404-7857</t>
  </si>
  <si>
    <t>구조웅</t>
  </si>
  <si>
    <t>011-9986-1181</t>
  </si>
  <si>
    <t>김성열이사  고어텍스</t>
  </si>
  <si>
    <t>135-0113-2404</t>
  </si>
  <si>
    <t>배환기</t>
  </si>
  <si>
    <t>011-325-4877</t>
  </si>
  <si>
    <t>Dept Store</t>
  </si>
  <si>
    <t>王伯琦 万象城沈阳</t>
  </si>
  <si>
    <t>市场部 助理经理</t>
  </si>
  <si>
    <t>138-4014-0555</t>
  </si>
  <si>
    <t>杨光 长春桌展 副总</t>
  </si>
  <si>
    <t>136-2449-3131</t>
  </si>
  <si>
    <t>王振辉 长春桌展 招商部 总经理</t>
  </si>
  <si>
    <t>135-0080-8994</t>
  </si>
  <si>
    <t>wangzh@zhuozhan.com</t>
  </si>
  <si>
    <t>0431-88486622</t>
  </si>
  <si>
    <t>蔡再添 太原新天美</t>
  </si>
  <si>
    <t>159-0351-4899</t>
  </si>
  <si>
    <t>曹波 桌展招商部 经理</t>
  </si>
  <si>
    <t>运动户外产品</t>
  </si>
  <si>
    <t>135-0089-7860</t>
  </si>
  <si>
    <t>韩璐 长春桌展 总经理</t>
  </si>
  <si>
    <t>136-0433-5656</t>
  </si>
  <si>
    <t>황익규 사장</t>
  </si>
  <si>
    <t>천진대리상</t>
  </si>
  <si>
    <t>139-0203-8593</t>
  </si>
  <si>
    <t>Family</t>
  </si>
  <si>
    <t>강명수</t>
  </si>
  <si>
    <t>011-9011-9643</t>
  </si>
  <si>
    <t>권성수</t>
  </si>
  <si>
    <t>17911 00 82 11-541-7723</t>
  </si>
  <si>
    <t>권세라</t>
  </si>
  <si>
    <t>010-9533-7723</t>
  </si>
  <si>
    <t>권세진 휴스턴</t>
  </si>
  <si>
    <t>+827086277723</t>
  </si>
  <si>
    <t>권필례</t>
  </si>
  <si>
    <t>017-394-0033</t>
  </si>
  <si>
    <t>김계숙</t>
  </si>
  <si>
    <t>02-6229-6212</t>
  </si>
  <si>
    <t>김난숙</t>
  </si>
  <si>
    <t>+82 1039017723</t>
  </si>
  <si>
    <t>17911 00 82 10-3901-7723</t>
  </si>
  <si>
    <t>008-2173397723</t>
  </si>
  <si>
    <t>김양숙</t>
  </si>
  <si>
    <t>00 82 10-5630-7074</t>
  </si>
  <si>
    <t>008-2196307074</t>
  </si>
  <si>
    <t>+1 (707) 332-7709</t>
  </si>
  <si>
    <t>나상묵</t>
  </si>
  <si>
    <t>011-728-9036</t>
  </si>
  <si>
    <t>smna48@yahoo.co.kr</t>
  </si>
  <si>
    <t>010-37289036</t>
  </si>
  <si>
    <t>나상민</t>
  </si>
  <si>
    <t>010-5232-9643</t>
  </si>
  <si>
    <t>smnah@kolon.com</t>
  </si>
  <si>
    <t>나상운</t>
  </si>
  <si>
    <t>011-9738-6558</t>
  </si>
  <si>
    <t>sktkddns@hanmir.com</t>
  </si>
  <si>
    <t>010-87386558</t>
  </si>
  <si>
    <t>나상진</t>
  </si>
  <si>
    <t>luoxiangzhen@lgchem.com</t>
  </si>
  <si>
    <t>sjna@lgchem.com</t>
  </si>
  <si>
    <t>나상철</t>
  </si>
  <si>
    <t>010-98666556</t>
  </si>
  <si>
    <t>나상현</t>
  </si>
  <si>
    <t>sejongws@netsgo.com</t>
  </si>
  <si>
    <t>061-356-1470</t>
  </si>
  <si>
    <t>세종기업</t>
  </si>
  <si>
    <t>010-20803490</t>
  </si>
  <si>
    <t>008-2173370033</t>
  </si>
  <si>
    <t>나윤정</t>
  </si>
  <si>
    <t>13353-118674</t>
  </si>
  <si>
    <t>나의전부</t>
  </si>
  <si>
    <t>+861366-1266718</t>
  </si>
  <si>
    <t>19550616</t>
  </si>
  <si>
    <t>008-21022900564</t>
  </si>
  <si>
    <t>13391-551415</t>
  </si>
  <si>
    <t>나지엽 국제전화및이멜</t>
  </si>
  <si>
    <t>1791100821022900564</t>
  </si>
  <si>
    <t>19840106</t>
  </si>
  <si>
    <t>나지엽 서울전화</t>
  </si>
  <si>
    <t>010-2290-0564</t>
  </si>
  <si>
    <t>나혜림</t>
  </si>
  <si>
    <t>1791100821029268613</t>
  </si>
  <si>
    <t>나홍엽</t>
  </si>
  <si>
    <t>016-9866-6556</t>
  </si>
  <si>
    <t>나희원</t>
  </si>
  <si>
    <t>010-94556557</t>
  </si>
  <si>
    <t>당산동 집</t>
  </si>
  <si>
    <t>00 82 70-7592-9556</t>
  </si>
  <si>
    <t>둘째큰아빠</t>
  </si>
  <si>
    <t>둘째큰엄마</t>
  </si>
  <si>
    <t>011-9956-9219</t>
  </si>
  <si>
    <t>막내작은아빠</t>
  </si>
  <si>
    <t>셋째큰아빠</t>
  </si>
  <si>
    <t>신일중</t>
  </si>
  <si>
    <t>016-9233-6557</t>
  </si>
  <si>
    <t>아브지</t>
  </si>
  <si>
    <t>09110-36267</t>
  </si>
  <si>
    <t>외할무이</t>
  </si>
  <si>
    <t>019-365-1344</t>
  </si>
  <si>
    <t>이슬기</t>
  </si>
  <si>
    <t>008-224227074</t>
  </si>
  <si>
    <t>016-9205-7074</t>
  </si>
  <si>
    <t>이신욱</t>
  </si>
  <si>
    <t>019-571-3868</t>
  </si>
  <si>
    <t>이정완</t>
  </si>
  <si>
    <t>008-2112243771</t>
  </si>
  <si>
    <t>011-224-3771</t>
  </si>
  <si>
    <t>임동순</t>
  </si>
  <si>
    <t>010-89569219</t>
  </si>
  <si>
    <t>큰엄마</t>
  </si>
  <si>
    <t>016-738-9779</t>
  </si>
  <si>
    <t>혜림이 :)</t>
  </si>
  <si>
    <t>+82 10-2926-8613</t>
  </si>
  <si>
    <t>Friends</t>
  </si>
  <si>
    <t>김돈</t>
  </si>
  <si>
    <t>010-6655-6290</t>
  </si>
  <si>
    <t>김명로</t>
  </si>
  <si>
    <t>+821024886321</t>
  </si>
  <si>
    <t>김성윤</t>
  </si>
  <si>
    <t>00 82 10-9040-5170</t>
  </si>
  <si>
    <t>김영홍</t>
  </si>
  <si>
    <t>010-4205-9801</t>
  </si>
  <si>
    <t>박정환 48</t>
  </si>
  <si>
    <t>011-9087-0958</t>
  </si>
  <si>
    <t>이두성</t>
  </si>
  <si>
    <t>017-211-7282</t>
  </si>
  <si>
    <t>임용우</t>
  </si>
  <si>
    <t>010-3253-0600</t>
  </si>
  <si>
    <t>최창근</t>
  </si>
  <si>
    <t>00821051514646</t>
  </si>
  <si>
    <t>1791100821051514646</t>
  </si>
  <si>
    <t>한병돈</t>
  </si>
  <si>
    <t>00 82 10-8703-9328</t>
  </si>
  <si>
    <t>010870393283</t>
  </si>
  <si>
    <t>한승연엄마</t>
  </si>
  <si>
    <t>010-9475-3911</t>
  </si>
  <si>
    <t>HR</t>
  </si>
  <si>
    <t>张海燕 Aigle</t>
  </si>
  <si>
    <t>139-1050-7133</t>
  </si>
  <si>
    <t>강미숙</t>
  </si>
  <si>
    <t>008-223933734</t>
  </si>
  <si>
    <t>김준곤대표님</t>
  </si>
  <si>
    <t>011-708-5964</t>
  </si>
  <si>
    <t>brian@younpartners.com</t>
  </si>
  <si>
    <t>손주현</t>
  </si>
  <si>
    <t>02-565-5371</t>
  </si>
  <si>
    <t>손주현상무님</t>
  </si>
  <si>
    <t>john@solution.co.kr</t>
  </si>
  <si>
    <t>이비우이사님</t>
  </si>
  <si>
    <t>bwlee@unicosearch.com</t>
  </si>
  <si>
    <t>장쾌호전무님</t>
  </si>
  <si>
    <t>chang@careercare.co.kr</t>
  </si>
  <si>
    <t>장쾌호전무커리어케어</t>
  </si>
  <si>
    <t>02-2286-3855</t>
  </si>
  <si>
    <t>依依</t>
  </si>
  <si>
    <t>158-2556-8668</t>
  </si>
  <si>
    <t>刘露</t>
  </si>
  <si>
    <t>+8613601314153</t>
  </si>
  <si>
    <t>135-0112-3654</t>
  </si>
  <si>
    <t>弋名阳</t>
  </si>
  <si>
    <t>135-5246-3765</t>
  </si>
  <si>
    <t>房乐</t>
  </si>
  <si>
    <t>+8613901037242</t>
  </si>
  <si>
    <t>李师傅</t>
  </si>
  <si>
    <t>139-0133-1584</t>
  </si>
  <si>
    <t>湛月</t>
  </si>
  <si>
    <t>+861-561-16-75923</t>
  </si>
  <si>
    <t>156-1167-5923</t>
  </si>
  <si>
    <t>王晓彤 Bella Wang</t>
  </si>
  <si>
    <t>1396-1777990</t>
  </si>
  <si>
    <t>相鎖</t>
  </si>
  <si>
    <t>52225122p112p13</t>
  </si>
  <si>
    <t>A8: 理</t>
  </si>
  <si>
    <t>法人代表 董事</t>
  </si>
  <si>
    <t>相鎮</t>
  </si>
  <si>
    <t>+861051208888</t>
  </si>
  <si>
    <t>勒夫马商贸(北京)有限公司</t>
  </si>
  <si>
    <t>董事 法人代表 总经理</t>
  </si>
  <si>
    <t>北京市 朝阳区建国门外大街乙十二号 LG 双子座大厦东塔办公楼19层07单元,</t>
  </si>
  <si>
    <t>阮阳 Andrew</t>
  </si>
  <si>
    <t>139-1022-0586</t>
  </si>
  <si>
    <t>陈佳</t>
  </si>
  <si>
    <t>136-1135-7274</t>
  </si>
  <si>
    <t>马汝飞</t>
  </si>
  <si>
    <t>+8618678339680</t>
  </si>
  <si>
    <t>186-7833-9680</t>
  </si>
  <si>
    <t>159-0133-8171</t>
  </si>
  <si>
    <t>高毓</t>
  </si>
  <si>
    <t>159-1057-3266</t>
  </si>
  <si>
    <t>龚晓婷</t>
  </si>
  <si>
    <t>+8615901302621</t>
  </si>
  <si>
    <t>김학신</t>
  </si>
  <si>
    <t>+861-86-100-20742</t>
  </si>
  <si>
    <t>hskim07@lafuma.com.cn</t>
  </si>
  <si>
    <t>186-1002-0742</t>
  </si>
  <si>
    <t>186-1135-3098</t>
  </si>
  <si>
    <t>023-4418058</t>
  </si>
  <si>
    <t>바오쟈인</t>
  </si>
  <si>
    <t>+861-3-7952-72843</t>
  </si>
  <si>
    <t>137-9527-2843</t>
  </si>
  <si>
    <t>박종현</t>
  </si>
  <si>
    <t>+86186-1002-0178</t>
  </si>
  <si>
    <t>lgfpjh2@lafuma.com.cn</t>
  </si>
  <si>
    <t>18610-020178</t>
  </si>
  <si>
    <t>+861-86-111-53431</t>
  </si>
  <si>
    <t>186-1115-3431</t>
  </si>
  <si>
    <t>서동하</t>
  </si>
  <si>
    <t>+861-86-100-20578</t>
  </si>
  <si>
    <t>egyoo@lafuma.com.cn</t>
  </si>
  <si>
    <t>18610-020578</t>
  </si>
  <si>
    <t>설주택</t>
  </si>
  <si>
    <t>186-1005-7425</t>
  </si>
  <si>
    <t>양성현</t>
  </si>
  <si>
    <t>+86 186-1146-7475</t>
  </si>
  <si>
    <t>왕관</t>
  </si>
  <si>
    <t>135-2190-2199</t>
  </si>
  <si>
    <t>jasminwang@lafuma.cn</t>
  </si>
  <si>
    <t>왕샤오쥔</t>
  </si>
  <si>
    <t>137-1891-3628</t>
  </si>
  <si>
    <t>왕이</t>
  </si>
  <si>
    <t>151-0161-3144</t>
  </si>
  <si>
    <t>왕친친</t>
  </si>
  <si>
    <t>+861-86-119-15460</t>
  </si>
  <si>
    <t>186-1191-5460</t>
  </si>
  <si>
    <t>장샤오난</t>
  </si>
  <si>
    <t>139-1097-0557</t>
  </si>
  <si>
    <t>쟈오치주엔</t>
  </si>
  <si>
    <t>135-0124-7847</t>
  </si>
  <si>
    <t>지현정</t>
  </si>
  <si>
    <t>186-1819-1808</t>
  </si>
  <si>
    <t>차오양</t>
  </si>
  <si>
    <t>134-8880-8656</t>
  </si>
  <si>
    <t>천뢰이</t>
  </si>
  <si>
    <t>158-1092-2109</t>
  </si>
  <si>
    <t>타오홍</t>
  </si>
  <si>
    <t>+861-3-6710-48096</t>
  </si>
  <si>
    <t>136-7104-8096</t>
  </si>
  <si>
    <t>Mike</t>
  </si>
  <si>
    <t>+861-3-4666-46562</t>
  </si>
  <si>
    <t>134-6664-6562</t>
  </si>
  <si>
    <t>Yang Shifu</t>
  </si>
  <si>
    <t>13801392685</t>
  </si>
  <si>
    <t>Yu Shifu</t>
  </si>
  <si>
    <t>+861-3-5221-69115</t>
  </si>
  <si>
    <t>13522169115</t>
  </si>
  <si>
    <t>Lafuma France</t>
  </si>
  <si>
    <t>徐</t>
  </si>
  <si>
    <t>井一</t>
  </si>
  <si>
    <t>15825311615</t>
  </si>
  <si>
    <t>82578357@qq.com</t>
  </si>
  <si>
    <t>09517882202</t>
  </si>
  <si>
    <t>宁夏远康商贸有限公司</t>
  </si>
  <si>
    <t>营运经理</t>
  </si>
  <si>
    <t>(Add) 银川市兴庆区民族南街26-2#</t>
  </si>
  <si>
    <t>Others</t>
  </si>
  <si>
    <t>김</t>
  </si>
  <si>
    <t>유진</t>
  </si>
  <si>
    <t>01050636016</t>
  </si>
  <si>
    <t>manyo@iphotel.co.kr</t>
  </si>
  <si>
    <t>0234408150</t>
  </si>
  <si>
    <t>0234408070</t>
  </si>
  <si>
    <t>식료팀 일식지배인</t>
  </si>
  <si>
    <t>o1 目 Uol 캘리스</t>
  </si>
  <si>
    <t>www.imperialpalace.co.kr</t>
  </si>
  <si>
    <t>Amanda</t>
  </si>
  <si>
    <t>15000-661737</t>
  </si>
  <si>
    <t>Arnaud du Mensil</t>
  </si>
  <si>
    <t>1791100612128934</t>
  </si>
  <si>
    <t>GO</t>
  </si>
  <si>
    <t>DESIREE</t>
  </si>
  <si>
    <t>+60126590206</t>
  </si>
  <si>
    <t>desiree@wos.com.my</t>
  </si>
  <si>
    <t>W.O. S WORLD OF SPORTS (M) SDN. BHD.</t>
  </si>
  <si>
    <t>Senior Buyer (sports)</t>
  </si>
  <si>
    <t>RIBEAUCOURT</t>
  </si>
  <si>
    <t>Dominique</t>
  </si>
  <si>
    <t>+83475313131</t>
  </si>
  <si>
    <t>+33101475315726</t>
  </si>
  <si>
    <t>Director  Industriel et Sourcing Industrial and Sourcing Manager</t>
  </si>
  <si>
    <t>tmbeaucourtoleiuma.fr</t>
  </si>
  <si>
    <t>0675652964</t>
  </si>
  <si>
    <t>www.grotq)e4ahtma.com</t>
  </si>
  <si>
    <t>Jane</t>
  </si>
  <si>
    <t>13601-737048</t>
  </si>
  <si>
    <t>Chen</t>
  </si>
  <si>
    <t>Jimmy</t>
  </si>
  <si>
    <t>+6596796904</t>
  </si>
  <si>
    <t>jimmychen@vgocorp.com</t>
  </si>
  <si>
    <t>+6565435901</t>
  </si>
  <si>
    <t>+6565435829</t>
  </si>
  <si>
    <t>VGO Corporation Limited</t>
  </si>
  <si>
    <t>Sports div</t>
  </si>
  <si>
    <t>Buyer</t>
  </si>
  <si>
    <t>486162</t>
  </si>
  <si>
    <t>10 Changi South Lane #06-01</t>
  </si>
  <si>
    <t>website.hhp.l</t>
  </si>
  <si>
    <t>+6565435828</t>
  </si>
  <si>
    <t>www.vgocorp.com</t>
  </si>
  <si>
    <t>Philippe Joffard</t>
  </si>
  <si>
    <t>179110033680288888</t>
  </si>
  <si>
    <t>FOURNIER</t>
  </si>
  <si>
    <t>Stephane</t>
  </si>
  <si>
    <t>+33616022888</t>
  </si>
  <si>
    <t>sfoumier@lafuma.fr</t>
  </si>
  <si>
    <t>+33475313136</t>
  </si>
  <si>
    <t>Director  G6n6ral General Manager</t>
  </si>
  <si>
    <t>ANNEYRON LAFUMA S.A.-6 rue Victor Latuma-BP</t>
  </si>
  <si>
    <t>Lafuma Korea</t>
  </si>
  <si>
    <t>구본걸 이멜</t>
  </si>
  <si>
    <t>bkkoo@lgfashion.co.kr</t>
  </si>
  <si>
    <t>구본걸 전화</t>
  </si>
  <si>
    <t>179110082134418000</t>
  </si>
  <si>
    <t>1791100821074080311</t>
  </si>
  <si>
    <t>구본진</t>
  </si>
  <si>
    <t>179110082234418003</t>
  </si>
  <si>
    <t>서준원</t>
  </si>
  <si>
    <t>17911821039335964</t>
  </si>
  <si>
    <t>오규식</t>
  </si>
  <si>
    <t>1791100821022335125</t>
  </si>
  <si>
    <t>179110082234418006</t>
  </si>
  <si>
    <t>윤치영</t>
  </si>
  <si>
    <t>00 82 10-9636-7578</t>
  </si>
  <si>
    <t>이경범</t>
  </si>
  <si>
    <t>179110082196110184</t>
  </si>
  <si>
    <t>조신형</t>
  </si>
  <si>
    <t>1791100821087611122</t>
  </si>
  <si>
    <t>차순영 전무</t>
  </si>
  <si>
    <t>179110082192335070</t>
  </si>
  <si>
    <t>179110082234418617</t>
  </si>
  <si>
    <t>Lafuma Shop</t>
  </si>
  <si>
    <t>上海又一城</t>
  </si>
  <si>
    <t>138-1795-1716</t>
  </si>
  <si>
    <t>上海永安</t>
  </si>
  <si>
    <t>136-3659-4189</t>
  </si>
  <si>
    <t>上海青浦澳来 唐卫晨</t>
  </si>
  <si>
    <t>135-2486-7517</t>
  </si>
  <si>
    <t>乔琰</t>
  </si>
  <si>
    <t>138-1153-8426</t>
  </si>
  <si>
    <t>北京 翠微 闫科廷</t>
  </si>
  <si>
    <t>136-0116-0504</t>
  </si>
  <si>
    <t>北京世纪金源Mall 付美娇</t>
  </si>
  <si>
    <t>186-1116-8048</t>
  </si>
  <si>
    <t>北京双安 武丽媛</t>
  </si>
  <si>
    <t>北京燕莎友谊 王朋艳</t>
  </si>
  <si>
    <t>134-3962-4425</t>
  </si>
  <si>
    <t>北京燕莎澳来</t>
  </si>
  <si>
    <t>145-1034-3726</t>
  </si>
  <si>
    <t>北京燕莎澳来 张健</t>
  </si>
  <si>
    <t>186-0120-0901</t>
  </si>
  <si>
    <t>北京王府井</t>
  </si>
  <si>
    <t>138-1128-7872</t>
  </si>
  <si>
    <t>北京王府井 李佳</t>
  </si>
  <si>
    <t>150-0137-9945</t>
  </si>
  <si>
    <t>北京翠微</t>
  </si>
  <si>
    <t>145-1074-5681</t>
  </si>
  <si>
    <t>北京翠微 丁洁</t>
  </si>
  <si>
    <t>138-1062-3134</t>
  </si>
  <si>
    <t>北京赛特 高冬雪</t>
  </si>
  <si>
    <t>135-2230-3266</t>
  </si>
  <si>
    <t>北京金园燕莎 王旭</t>
  </si>
  <si>
    <t>138-1019-8606</t>
  </si>
  <si>
    <t>双安 周鹏</t>
  </si>
  <si>
    <t>158-0156-9837</t>
  </si>
  <si>
    <t>哈尔滨秋林国际</t>
  </si>
  <si>
    <t>158-4673-4434</t>
  </si>
  <si>
    <t>哈尔滨秋林国际 张军</t>
  </si>
  <si>
    <t>哈尔滨远大</t>
  </si>
  <si>
    <t>152-4678-0771</t>
  </si>
  <si>
    <t>大连友谊商城 徐明</t>
  </si>
  <si>
    <t>139-4117-5550</t>
  </si>
  <si>
    <t>大连麦凯乐 汪黎黎</t>
  </si>
  <si>
    <t>139-9841-5692</t>
  </si>
  <si>
    <t>天津Florentia Outlet</t>
  </si>
  <si>
    <t>135-0216-3733</t>
  </si>
  <si>
    <t>赖建昌 成都市户外经销商</t>
  </si>
  <si>
    <t>太原市蔡总的话朋友</t>
  </si>
  <si>
    <t>139-8195-8888</t>
  </si>
  <si>
    <t>太原新天美</t>
  </si>
  <si>
    <t>132-3368-3586</t>
  </si>
  <si>
    <t>太原新天美 郝玉花</t>
  </si>
  <si>
    <t>138-3517-2520</t>
  </si>
  <si>
    <t>成都王府井 张静</t>
  </si>
  <si>
    <t>139-0818-3615</t>
  </si>
  <si>
    <t>杭州  正格 林哲</t>
  </si>
  <si>
    <t>189-5715-5213</t>
  </si>
  <si>
    <t>杭州 正各 焦向英 主管</t>
  </si>
  <si>
    <t>153-5681-3658</t>
  </si>
  <si>
    <t>杭州 陈建宇 正格</t>
  </si>
  <si>
    <t>135-8809-6111</t>
  </si>
  <si>
    <t>13003638888</t>
  </si>
  <si>
    <t>杭州武林银泰 徐伊</t>
  </si>
  <si>
    <t>135-6718-3700</t>
  </si>
  <si>
    <t>杭州澳来 魏军</t>
  </si>
  <si>
    <t>159-0671-7600</t>
  </si>
  <si>
    <t>石家庄 陈晓敏</t>
  </si>
  <si>
    <t>153-5055-8745</t>
  </si>
  <si>
    <t>北京百盛</t>
  </si>
  <si>
    <t>赵建勤</t>
  </si>
  <si>
    <t>182-1005-2550</t>
  </si>
  <si>
    <t>长春桌展 卢宁 托管</t>
  </si>
  <si>
    <t>186-4310-3312</t>
  </si>
  <si>
    <t>长春桌展 梁艳</t>
  </si>
  <si>
    <t>159-4302-2440</t>
  </si>
  <si>
    <t>陈俊 张静의남편</t>
  </si>
  <si>
    <t>139-8005-5086</t>
  </si>
  <si>
    <t>LG Chem China</t>
  </si>
  <si>
    <t>姜烈夫</t>
  </si>
  <si>
    <t>jiangliefu@lgchem.com</t>
  </si>
  <si>
    <t>13520681006</t>
  </si>
  <si>
    <t>강한주</t>
  </si>
  <si>
    <t>impkang@lghausys.com</t>
  </si>
  <si>
    <t>13501-227080</t>
  </si>
  <si>
    <t>강희건 전화</t>
  </si>
  <si>
    <t>158-1988-0688</t>
  </si>
  <si>
    <t>김광중 전무</t>
  </si>
  <si>
    <t>15901-119967</t>
  </si>
  <si>
    <t>김동호</t>
  </si>
  <si>
    <t>dhkimg</t>
  </si>
  <si>
    <t>김명준</t>
  </si>
  <si>
    <t>mjkime</t>
  </si>
  <si>
    <t>13331-915930</t>
  </si>
  <si>
    <t>김상협</t>
  </si>
  <si>
    <t>stanley</t>
  </si>
  <si>
    <t>13301-103190</t>
  </si>
  <si>
    <t>김성철</t>
  </si>
  <si>
    <t>sckim</t>
  </si>
  <si>
    <t>김종근</t>
  </si>
  <si>
    <t>jkkimk</t>
  </si>
  <si>
    <t>김종근 전화</t>
  </si>
  <si>
    <t>15819-880777</t>
  </si>
  <si>
    <t>김화</t>
  </si>
  <si>
    <t>13801-098150</t>
  </si>
  <si>
    <t>노정환</t>
  </si>
  <si>
    <t>jhno@lghausys.com</t>
  </si>
  <si>
    <t>15821-228497</t>
  </si>
  <si>
    <t>도재석</t>
  </si>
  <si>
    <t>richard</t>
  </si>
  <si>
    <t>13924-017301</t>
  </si>
  <si>
    <t>문성옥</t>
  </si>
  <si>
    <t>010-6563-2016</t>
  </si>
  <si>
    <t>박영매</t>
  </si>
  <si>
    <t>15811-125353</t>
  </si>
  <si>
    <t>박영배</t>
  </si>
  <si>
    <t>lgpaul</t>
  </si>
  <si>
    <t>13910-980350</t>
  </si>
  <si>
    <t>박태형</t>
  </si>
  <si>
    <t>wangki</t>
  </si>
  <si>
    <t>13820-200823</t>
  </si>
  <si>
    <t>박현식</t>
  </si>
  <si>
    <t>hsparkz</t>
  </si>
  <si>
    <t>박현식 남경법인장</t>
  </si>
  <si>
    <t>13390-900303</t>
  </si>
  <si>
    <t>배우한</t>
  </si>
  <si>
    <t>woohan@lghausys.com</t>
  </si>
  <si>
    <t>손지회</t>
  </si>
  <si>
    <t>jiheson</t>
  </si>
  <si>
    <t>손흥기</t>
  </si>
  <si>
    <t>137-0106-1859</t>
  </si>
  <si>
    <t>sunxingqi@lgchem.com</t>
  </si>
  <si>
    <t>010LG화학EMP</t>
  </si>
  <si>
    <t>sunxingqi</t>
  </si>
  <si>
    <t>안민규</t>
  </si>
  <si>
    <t>mkahn</t>
  </si>
  <si>
    <t>오승민</t>
  </si>
  <si>
    <t>smoh</t>
  </si>
  <si>
    <t>13752-177088</t>
  </si>
  <si>
    <t>이경진 과장</t>
  </si>
  <si>
    <t>15901-097530</t>
  </si>
  <si>
    <t>이광우</t>
  </si>
  <si>
    <t>kwleeg</t>
  </si>
  <si>
    <t>이광우 법인장</t>
  </si>
  <si>
    <t>15301-353682</t>
  </si>
  <si>
    <t>이명구</t>
  </si>
  <si>
    <t>mkleeb</t>
  </si>
  <si>
    <t>이명구 법인장</t>
  </si>
  <si>
    <t>13332-010101</t>
  </si>
  <si>
    <t>이정화 과장 법무</t>
  </si>
  <si>
    <t>13911-159220</t>
  </si>
  <si>
    <t>임형동</t>
  </si>
  <si>
    <t>hdlim</t>
  </si>
  <si>
    <t>13817-875065</t>
  </si>
  <si>
    <t>장금희</t>
  </si>
  <si>
    <t>haaaappy@hotmail.com</t>
  </si>
  <si>
    <t>LG화학중국투자유한공사</t>
  </si>
  <si>
    <t>bjzhang</t>
  </si>
  <si>
    <t>장금희 전화</t>
  </si>
  <si>
    <t>13601-319853</t>
  </si>
  <si>
    <t>전병철</t>
  </si>
  <si>
    <t>bcjeon</t>
  </si>
  <si>
    <t>13752-361012</t>
  </si>
  <si>
    <t>smjung@lgchem.com</t>
  </si>
  <si>
    <t>010-8366-6080</t>
  </si>
  <si>
    <t>정순면 혜주</t>
  </si>
  <si>
    <t>15819-880666</t>
  </si>
  <si>
    <t>정유엽</t>
  </si>
  <si>
    <t>정일태</t>
  </si>
  <si>
    <t>itjung</t>
  </si>
  <si>
    <t>13906-614022</t>
  </si>
  <si>
    <t>정재홍</t>
  </si>
  <si>
    <t>jhjungh</t>
  </si>
  <si>
    <t>13662-158029</t>
  </si>
  <si>
    <t>정종회</t>
  </si>
  <si>
    <t>jhjungb</t>
  </si>
  <si>
    <t>13920-909800</t>
  </si>
  <si>
    <t>조현애</t>
  </si>
  <si>
    <t>13401-092240</t>
  </si>
  <si>
    <t>추원기</t>
  </si>
  <si>
    <t>wkchoo</t>
  </si>
  <si>
    <t>13823-210477</t>
  </si>
  <si>
    <t>하청</t>
  </si>
  <si>
    <t>shcathy@lgchem.com</t>
  </si>
  <si>
    <t>AhnMinKyu</t>
  </si>
  <si>
    <t>13466-773090</t>
  </si>
  <si>
    <t>CathyHe</t>
  </si>
  <si>
    <t>13901-621200</t>
  </si>
  <si>
    <t>ChangZhen</t>
  </si>
  <si>
    <t>13911-217687</t>
  </si>
  <si>
    <t>ChenKe</t>
  </si>
  <si>
    <t>13524-608220</t>
  </si>
  <si>
    <t>ChenKe Chengdu</t>
  </si>
  <si>
    <t>13880-016790</t>
  </si>
  <si>
    <t>Frank</t>
  </si>
  <si>
    <t>yanfengh@yahoo.com</t>
  </si>
  <si>
    <t>001-403-2456536</t>
  </si>
  <si>
    <t>캐나다 캘거리</t>
  </si>
  <si>
    <t>www.ncmchem.com</t>
  </si>
  <si>
    <t>13816-857502</t>
  </si>
  <si>
    <t>Frank Hu</t>
  </si>
  <si>
    <t>huyanfeng</t>
  </si>
  <si>
    <t>GaoHongZhu</t>
  </si>
  <si>
    <t>13601-319852</t>
  </si>
  <si>
    <t>GaoYongJun</t>
  </si>
  <si>
    <t>13802-070823</t>
  </si>
  <si>
    <t>GuoLinMin</t>
  </si>
  <si>
    <t>13701-706326</t>
  </si>
  <si>
    <t>HuYong</t>
  </si>
  <si>
    <t>13902-031918</t>
  </si>
  <si>
    <t>HuangWei</t>
  </si>
  <si>
    <t>13521-813031</t>
  </si>
  <si>
    <t>JiangLieFu</t>
  </si>
  <si>
    <t>13520-681006</t>
  </si>
  <si>
    <t>Laura</t>
  </si>
  <si>
    <t>13918-369156</t>
  </si>
  <si>
    <t>LiMin</t>
  </si>
  <si>
    <t>13901-939209</t>
  </si>
  <si>
    <t>LiXiaoYu</t>
  </si>
  <si>
    <t>13818-084839</t>
  </si>
  <si>
    <t>LiYang</t>
  </si>
  <si>
    <t>+8618601059047</t>
  </si>
  <si>
    <t>Liu RuiFeng</t>
  </si>
  <si>
    <t>13810-171824</t>
  </si>
  <si>
    <t>Mandy 胡丹</t>
  </si>
  <si>
    <t>13810-056885</t>
  </si>
  <si>
    <t>ShanHuiDe</t>
  </si>
  <si>
    <t>18910-578858</t>
  </si>
  <si>
    <t>SunWeiHua</t>
  </si>
  <si>
    <t>13905-740752</t>
  </si>
  <si>
    <t>SunWeiJun</t>
  </si>
  <si>
    <t>13601-991848</t>
  </si>
  <si>
    <t>SunXingQi</t>
  </si>
  <si>
    <t>13701-061859</t>
  </si>
  <si>
    <t>SunYu</t>
  </si>
  <si>
    <t>13910-829077</t>
  </si>
  <si>
    <t>WangDanJue</t>
  </si>
  <si>
    <t>13801-654412</t>
  </si>
  <si>
    <t>WangHong</t>
  </si>
  <si>
    <t>13311-803158</t>
  </si>
  <si>
    <t>WangWenJia</t>
  </si>
  <si>
    <t>15010-795881</t>
  </si>
  <si>
    <t>WeiJiang</t>
  </si>
  <si>
    <t>13661-264030</t>
  </si>
  <si>
    <t>WuMing</t>
  </si>
  <si>
    <t>13501-153518</t>
  </si>
  <si>
    <t>XuMin</t>
  </si>
  <si>
    <t>13801-972443</t>
  </si>
  <si>
    <t>YaoNing</t>
  </si>
  <si>
    <t>13910-090519</t>
  </si>
  <si>
    <t>Zhangxiaoguo</t>
  </si>
  <si>
    <t>13910-925282</t>
  </si>
  <si>
    <t>ZhaoYong</t>
  </si>
  <si>
    <t>13911-626996</t>
  </si>
  <si>
    <t>ZhengKeDong</t>
  </si>
  <si>
    <t>13902-738271</t>
  </si>
  <si>
    <t>Zhoufei</t>
  </si>
  <si>
    <t>13641-162549</t>
  </si>
  <si>
    <t>choo</t>
  </si>
  <si>
    <t>wychu2@hanmail.net</t>
  </si>
  <si>
    <t>011LG화학EXP</t>
  </si>
  <si>
    <t>weiJiang</t>
  </si>
  <si>
    <t>jiangwei@lgchem.com</t>
  </si>
  <si>
    <t>LG Chem HQ</t>
  </si>
  <si>
    <t>강동규</t>
  </si>
  <si>
    <t>dkkang</t>
  </si>
  <si>
    <t>강병국</t>
  </si>
  <si>
    <t>bkkangc</t>
  </si>
  <si>
    <t>곽병구</t>
  </si>
  <si>
    <t>bkkwak</t>
  </si>
  <si>
    <t>곽상진</t>
  </si>
  <si>
    <t>benksj</t>
  </si>
  <si>
    <t>구자업</t>
  </si>
  <si>
    <t>jaupkoo</t>
  </si>
  <si>
    <t>구자춘</t>
  </si>
  <si>
    <t>jckoo</t>
  </si>
  <si>
    <t>권승혁</t>
  </si>
  <si>
    <t>lpcksh</t>
  </si>
  <si>
    <t>권영백</t>
  </si>
  <si>
    <t>lgckyb</t>
  </si>
  <si>
    <t>권오성</t>
  </si>
  <si>
    <t>oskwon</t>
  </si>
  <si>
    <t>권종국</t>
  </si>
  <si>
    <t>jkkwon</t>
  </si>
  <si>
    <t>권혁열</t>
  </si>
  <si>
    <t>hykwon</t>
  </si>
  <si>
    <t>김경선</t>
  </si>
  <si>
    <t>kskimi</t>
  </si>
  <si>
    <t>13920-533923</t>
  </si>
  <si>
    <t>김경수</t>
  </si>
  <si>
    <t>kskimh</t>
  </si>
  <si>
    <t>010-82327404</t>
  </si>
  <si>
    <t>김경진</t>
  </si>
  <si>
    <t>kjkimc</t>
  </si>
  <si>
    <t>김경호</t>
  </si>
  <si>
    <t>khkimh</t>
  </si>
  <si>
    <t>김광진</t>
  </si>
  <si>
    <t>kjgim@lghausys.com</t>
  </si>
  <si>
    <t>김규섭</t>
  </si>
  <si>
    <t>kskimx</t>
  </si>
  <si>
    <t>김남식</t>
  </si>
  <si>
    <t>nskima</t>
  </si>
  <si>
    <t>김도균</t>
  </si>
  <si>
    <t>dkkdkk</t>
  </si>
  <si>
    <t>김동은</t>
  </si>
  <si>
    <t>dekim</t>
  </si>
  <si>
    <t>김명석</t>
  </si>
  <si>
    <t>mskime</t>
  </si>
  <si>
    <t>김명섭</t>
  </si>
  <si>
    <t>mskimh</t>
  </si>
  <si>
    <t>김명환</t>
  </si>
  <si>
    <t>mhkimc</t>
  </si>
  <si>
    <t>김민옥</t>
  </si>
  <si>
    <t>apple</t>
  </si>
  <si>
    <t>김민환</t>
  </si>
  <si>
    <t>mhkim</t>
  </si>
  <si>
    <t>김반석</t>
  </si>
  <si>
    <t>bahnskim@lgchem.com</t>
  </si>
  <si>
    <t>008-2192327701</t>
  </si>
  <si>
    <t>김상목</t>
  </si>
  <si>
    <t>smkimb</t>
  </si>
  <si>
    <t>김상우</t>
  </si>
  <si>
    <t>kimsw</t>
  </si>
  <si>
    <t>김상호</t>
  </si>
  <si>
    <t>shkimy@lghausys.com</t>
  </si>
  <si>
    <t>김성남</t>
  </si>
  <si>
    <t>snkimc</t>
  </si>
  <si>
    <t>김영대</t>
  </si>
  <si>
    <t>jkimyd</t>
  </si>
  <si>
    <t>김영석</t>
  </si>
  <si>
    <t>yskimh</t>
  </si>
  <si>
    <t>13312-120640</t>
  </si>
  <si>
    <t>김영언</t>
  </si>
  <si>
    <t>jay_kim@lghausys.com</t>
  </si>
  <si>
    <t>김용완</t>
  </si>
  <si>
    <t>ywkimb</t>
  </si>
  <si>
    <t>008-21084657228</t>
  </si>
  <si>
    <t>김용찬</t>
  </si>
  <si>
    <t>yckimd</t>
  </si>
  <si>
    <t>김이환</t>
  </si>
  <si>
    <t>ihkim</t>
  </si>
  <si>
    <t>13312-120668</t>
  </si>
  <si>
    <t>김재길</t>
  </si>
  <si>
    <t>jkkim</t>
  </si>
  <si>
    <t>김재율</t>
  </si>
  <si>
    <t>jykim</t>
  </si>
  <si>
    <t>135-6652-6788</t>
  </si>
  <si>
    <t>김종대</t>
  </si>
  <si>
    <t>nhjdkim</t>
  </si>
  <si>
    <t>김종수</t>
  </si>
  <si>
    <t>kjsoo2006@daum.net</t>
  </si>
  <si>
    <t>김종은</t>
  </si>
  <si>
    <t>jekim@lghausys.com</t>
  </si>
  <si>
    <t>김종재</t>
  </si>
  <si>
    <t>jjkimc</t>
  </si>
  <si>
    <t>김종하</t>
  </si>
  <si>
    <t>jhkimh</t>
  </si>
  <si>
    <t>13821-656020</t>
  </si>
  <si>
    <t>김종현</t>
  </si>
  <si>
    <t>jhkim1</t>
  </si>
  <si>
    <t>019-232-7141</t>
  </si>
  <si>
    <t>김준석 PVC</t>
  </si>
  <si>
    <t>019-289-3824</t>
  </si>
  <si>
    <t>김준철</t>
  </si>
  <si>
    <t>jckimc</t>
  </si>
  <si>
    <t>김준효</t>
  </si>
  <si>
    <t>jhkimy</t>
  </si>
  <si>
    <t>김중섭</t>
  </si>
  <si>
    <t>jskimii</t>
  </si>
  <si>
    <t>김창호</t>
  </si>
  <si>
    <t>chkimg</t>
  </si>
  <si>
    <t>김철동</t>
  </si>
  <si>
    <t>cdkimb</t>
  </si>
  <si>
    <t>김철완</t>
  </si>
  <si>
    <t>cwkim</t>
  </si>
  <si>
    <t>010-3925-7199</t>
  </si>
  <si>
    <t>김태구</t>
  </si>
  <si>
    <t>tkkimb</t>
  </si>
  <si>
    <t>김해관</t>
  </si>
  <si>
    <t>hkkimg</t>
  </si>
  <si>
    <t>13920-435055</t>
  </si>
  <si>
    <t>010-7535-0654</t>
  </si>
  <si>
    <t>김해연</t>
  </si>
  <si>
    <t>13920-213575</t>
  </si>
  <si>
    <t>김현철</t>
  </si>
  <si>
    <t>hckimf</t>
  </si>
  <si>
    <t>김형수</t>
  </si>
  <si>
    <t>hskimm</t>
  </si>
  <si>
    <t>김호근</t>
  </si>
  <si>
    <t>hkkimk</t>
  </si>
  <si>
    <t>김호석</t>
  </si>
  <si>
    <t>buckeye</t>
  </si>
  <si>
    <t>010-3112-6782</t>
  </si>
  <si>
    <t>김휘주</t>
  </si>
  <si>
    <t>kennyjoo@lghausys.com</t>
  </si>
  <si>
    <t>나상업</t>
  </si>
  <si>
    <t>sena</t>
  </si>
  <si>
    <t>남도현</t>
  </si>
  <si>
    <t>dohyuna</t>
  </si>
  <si>
    <t>019-9146-4650</t>
  </si>
  <si>
    <t>남철</t>
  </si>
  <si>
    <t>chul_nam</t>
  </si>
  <si>
    <t>010-7634-4110</t>
  </si>
  <si>
    <t>노국래</t>
  </si>
  <si>
    <t>klnoh</t>
  </si>
  <si>
    <t>노덕균</t>
  </si>
  <si>
    <t>dkno</t>
  </si>
  <si>
    <t>노학만</t>
  </si>
  <si>
    <t>hmno@lghausys.com</t>
  </si>
  <si>
    <t>노희일</t>
  </si>
  <si>
    <t>hino</t>
  </si>
  <si>
    <t>008-21077363434</t>
  </si>
  <si>
    <t>류제양</t>
  </si>
  <si>
    <t>jyryu</t>
  </si>
  <si>
    <t>목경수</t>
  </si>
  <si>
    <t>ksmoka</t>
  </si>
  <si>
    <t>민경집</t>
  </si>
  <si>
    <t>kjmin</t>
  </si>
  <si>
    <t>박기성</t>
  </si>
  <si>
    <t>kispark</t>
  </si>
  <si>
    <t>박명학</t>
  </si>
  <si>
    <t>mhparkb@lghausys.com</t>
  </si>
  <si>
    <t>박병철</t>
  </si>
  <si>
    <t>bcparka</t>
  </si>
  <si>
    <t>박영기</t>
  </si>
  <si>
    <t>ykpark</t>
  </si>
  <si>
    <t>019-232-7356</t>
  </si>
  <si>
    <t>박영성</t>
  </si>
  <si>
    <t>ysparkb</t>
  </si>
  <si>
    <t>박인</t>
  </si>
  <si>
    <t>inpark</t>
  </si>
  <si>
    <t>박재균</t>
  </si>
  <si>
    <t>jkparke</t>
  </si>
  <si>
    <t>박종이</t>
  </si>
  <si>
    <t>jlpark</t>
  </si>
  <si>
    <t>박종훈</t>
  </si>
  <si>
    <t>jhparkl</t>
  </si>
  <si>
    <t>박준성 프랑크푸르트</t>
  </si>
  <si>
    <t>1791100491723080060</t>
  </si>
  <si>
    <t>17911004969710445</t>
  </si>
  <si>
    <t>박진수</t>
  </si>
  <si>
    <t>jspark</t>
  </si>
  <si>
    <t>박창헌</t>
  </si>
  <si>
    <t>changheon</t>
  </si>
  <si>
    <t>박태용</t>
  </si>
  <si>
    <t>typark</t>
  </si>
  <si>
    <t>박학규</t>
  </si>
  <si>
    <t>hkparkg@lghausys.com</t>
  </si>
  <si>
    <t>박희용</t>
  </si>
  <si>
    <t>hypark</t>
  </si>
  <si>
    <t>반지혁</t>
  </si>
  <si>
    <t>jhban</t>
  </si>
  <si>
    <t>배동호</t>
  </si>
  <si>
    <t>dhbae@lghausys.com</t>
  </si>
  <si>
    <t>백종렬</t>
  </si>
  <si>
    <t>jrbaek</t>
  </si>
  <si>
    <t>변희일</t>
  </si>
  <si>
    <t>hibyun</t>
  </si>
  <si>
    <t>서인석</t>
  </si>
  <si>
    <t>isseo</t>
  </si>
  <si>
    <t>서정훈</t>
  </si>
  <si>
    <t>jhseod</t>
  </si>
  <si>
    <t>서호식</t>
  </si>
  <si>
    <t>hsseoc</t>
  </si>
  <si>
    <t>성낙현</t>
  </si>
  <si>
    <t>nhsung</t>
  </si>
  <si>
    <t>성환두</t>
  </si>
  <si>
    <t>hdsung</t>
  </si>
  <si>
    <t>손상태</t>
  </si>
  <si>
    <t>sangtae24@naver.com</t>
  </si>
  <si>
    <t>손세환</t>
  </si>
  <si>
    <t>shson</t>
  </si>
  <si>
    <t>손옥동</t>
  </si>
  <si>
    <t>odson</t>
  </si>
  <si>
    <t>010-2235-2913</t>
  </si>
  <si>
    <t>손호준</t>
  </si>
  <si>
    <t>hjson</t>
  </si>
  <si>
    <t>송승호</t>
  </si>
  <si>
    <t>shsong</t>
  </si>
  <si>
    <t>송영만</t>
  </si>
  <si>
    <t>ymsong</t>
  </si>
  <si>
    <t>송종미</t>
  </si>
  <si>
    <t>heyjongmi</t>
  </si>
  <si>
    <t>송충섭</t>
  </si>
  <si>
    <t>cssong</t>
  </si>
  <si>
    <t>송호용</t>
  </si>
  <si>
    <t>hysongb@lghausys.com</t>
  </si>
  <si>
    <t>신언곤</t>
  </si>
  <si>
    <t>eksin</t>
  </si>
  <si>
    <t>신호용</t>
  </si>
  <si>
    <t>hysinb@lghausys.com</t>
  </si>
  <si>
    <t>안준호</t>
  </si>
  <si>
    <t>junhoahn</t>
  </si>
  <si>
    <t>010-8377-2058</t>
  </si>
  <si>
    <t>양경수</t>
  </si>
  <si>
    <t>ksyang</t>
  </si>
  <si>
    <t>양영철</t>
  </si>
  <si>
    <t>young@lghausys.com</t>
  </si>
  <si>
    <t>엄하문</t>
  </si>
  <si>
    <t>hmeom</t>
  </si>
  <si>
    <t>연세용</t>
  </si>
  <si>
    <t>syyeon</t>
  </si>
  <si>
    <t>염창진</t>
  </si>
  <si>
    <t>cjyeom</t>
  </si>
  <si>
    <t>오장수</t>
  </si>
  <si>
    <t>jsohb</t>
  </si>
  <si>
    <t>019-232-7330</t>
  </si>
  <si>
    <t>유지영</t>
  </si>
  <si>
    <t>jiyungyu</t>
  </si>
  <si>
    <t>유진녕</t>
  </si>
  <si>
    <t>jnyoo</t>
  </si>
  <si>
    <t>유흥연</t>
  </si>
  <si>
    <t>hyyoo</t>
  </si>
  <si>
    <t>13327-820061</t>
  </si>
  <si>
    <t>육근열</t>
  </si>
  <si>
    <t>kyyook</t>
  </si>
  <si>
    <t>010-8394-6105</t>
  </si>
  <si>
    <t>008-2193946105</t>
  </si>
  <si>
    <t>윤명훈</t>
  </si>
  <si>
    <t>mhyoonb</t>
  </si>
  <si>
    <t>윤명희</t>
  </si>
  <si>
    <t>osiris</t>
  </si>
  <si>
    <t>02-3773-6828</t>
  </si>
  <si>
    <t>윤영래</t>
  </si>
  <si>
    <t>yryoon</t>
  </si>
  <si>
    <t>윤종우</t>
  </si>
  <si>
    <t>jwyoon</t>
  </si>
  <si>
    <t>이경호</t>
  </si>
  <si>
    <t>kyungho@lghausys.com</t>
  </si>
  <si>
    <t>이광수</t>
  </si>
  <si>
    <t>ksleef</t>
  </si>
  <si>
    <t>이광호</t>
  </si>
  <si>
    <t>khleef</t>
  </si>
  <si>
    <t>008-2237733621</t>
  </si>
  <si>
    <t>00 82 10-5665-6049</t>
  </si>
  <si>
    <t>이광희</t>
  </si>
  <si>
    <t>kwanghee</t>
  </si>
  <si>
    <t>이광희 차장</t>
  </si>
  <si>
    <t>13820-558403</t>
  </si>
  <si>
    <t>이규성</t>
  </si>
  <si>
    <t>ksleeg</t>
  </si>
  <si>
    <t>이규성 부장</t>
  </si>
  <si>
    <t>13818-810396</t>
  </si>
  <si>
    <t>이규업</t>
  </si>
  <si>
    <t>arnold</t>
  </si>
  <si>
    <t>이기옥</t>
  </si>
  <si>
    <t>kolee</t>
  </si>
  <si>
    <t>이덕원</t>
  </si>
  <si>
    <t>dwleed</t>
  </si>
  <si>
    <t>이동언</t>
  </si>
  <si>
    <t>deleeb</t>
  </si>
  <si>
    <t>13311-502381</t>
  </si>
  <si>
    <t>이동주</t>
  </si>
  <si>
    <t>djleed</t>
  </si>
  <si>
    <t>이동철</t>
  </si>
  <si>
    <t>dcleed</t>
  </si>
  <si>
    <t>이두환</t>
  </si>
  <si>
    <t>dhleen@lghausys.com</t>
  </si>
  <si>
    <t>이맹준</t>
  </si>
  <si>
    <t>mjlee</t>
  </si>
  <si>
    <t>이봉근</t>
  </si>
  <si>
    <t>bklee</t>
  </si>
  <si>
    <t>이봉철</t>
  </si>
  <si>
    <t>bclee</t>
  </si>
  <si>
    <t>이상옥</t>
  </si>
  <si>
    <t>solee</t>
  </si>
  <si>
    <t>이석기</t>
  </si>
  <si>
    <t>skrhee</t>
  </si>
  <si>
    <t>이성운</t>
  </si>
  <si>
    <t>swleee</t>
  </si>
  <si>
    <t>이성준</t>
  </si>
  <si>
    <t>sjleej</t>
  </si>
  <si>
    <t>이순영</t>
  </si>
  <si>
    <t>이시언</t>
  </si>
  <si>
    <t>selee</t>
  </si>
  <si>
    <t>이영석</t>
  </si>
  <si>
    <t>ysleec</t>
  </si>
  <si>
    <t>이유석</t>
  </si>
  <si>
    <t>ysleed@ccbk.co.kr</t>
  </si>
  <si>
    <t>이유진</t>
  </si>
  <si>
    <t>lpclyj</t>
  </si>
  <si>
    <t>이윤호</t>
  </si>
  <si>
    <t>hoyalee</t>
  </si>
  <si>
    <t>이의준</t>
  </si>
  <si>
    <t>ejlee</t>
  </si>
  <si>
    <t>이인형</t>
  </si>
  <si>
    <t>ihleec</t>
  </si>
  <si>
    <t>010-2300-7269</t>
  </si>
  <si>
    <t>008-21023007269</t>
  </si>
  <si>
    <t>이재웅</t>
  </si>
  <si>
    <t>ljw0916</t>
  </si>
  <si>
    <t>이정열</t>
  </si>
  <si>
    <t>adisamo</t>
  </si>
  <si>
    <t>이종구</t>
  </si>
  <si>
    <t>jkleed</t>
  </si>
  <si>
    <t>이종택</t>
  </si>
  <si>
    <t>jtleec</t>
  </si>
  <si>
    <t>010-8481-7878</t>
  </si>
  <si>
    <t>이종희</t>
  </si>
  <si>
    <t>jhleei</t>
  </si>
  <si>
    <t>이준호</t>
  </si>
  <si>
    <t>jhlee</t>
  </si>
  <si>
    <t>이지승</t>
  </si>
  <si>
    <t>jslee1</t>
  </si>
  <si>
    <t>이진복</t>
  </si>
  <si>
    <t>jbleec</t>
  </si>
  <si>
    <t>13910-911293</t>
  </si>
  <si>
    <t>이진섭</t>
  </si>
  <si>
    <t>sjleel</t>
  </si>
  <si>
    <t>이창재</t>
  </si>
  <si>
    <t>cjleeb</t>
  </si>
  <si>
    <t>이필영</t>
  </si>
  <si>
    <t>pylee</t>
  </si>
  <si>
    <t>이학신</t>
  </si>
  <si>
    <t>lpclhs</t>
  </si>
  <si>
    <t>이형만</t>
  </si>
  <si>
    <t>hmlee</t>
  </si>
  <si>
    <t>이형철</t>
  </si>
  <si>
    <t>hcleeb</t>
  </si>
  <si>
    <t>인주환</t>
  </si>
  <si>
    <t>jhihn</t>
  </si>
  <si>
    <t>임재훈</t>
  </si>
  <si>
    <t>jhyim</t>
  </si>
  <si>
    <t>장성훈</t>
  </si>
  <si>
    <t>shjang</t>
  </si>
  <si>
    <t>장우식</t>
  </si>
  <si>
    <t>wsjang</t>
  </si>
  <si>
    <t>장호진</t>
  </si>
  <si>
    <t>hjjanga</t>
  </si>
  <si>
    <t>전대현</t>
  </si>
  <si>
    <t>dhjun</t>
  </si>
  <si>
    <t>정규부</t>
  </si>
  <si>
    <t>grant</t>
  </si>
  <si>
    <t>13818-885333</t>
  </si>
  <si>
    <t>정대열</t>
  </si>
  <si>
    <t>dyjungd</t>
  </si>
  <si>
    <t>정덕균</t>
  </si>
  <si>
    <t>dkjungb</t>
  </si>
  <si>
    <t>17901137-52361701</t>
  </si>
  <si>
    <t>17951137-52361701</t>
  </si>
  <si>
    <t>정상우</t>
  </si>
  <si>
    <t>swjungc</t>
  </si>
  <si>
    <t>정영철</t>
  </si>
  <si>
    <t>ycjungb</t>
  </si>
  <si>
    <t>정용욱</t>
  </si>
  <si>
    <t>ywjungb</t>
  </si>
  <si>
    <t>정은철</t>
  </si>
  <si>
    <t>ecjung@lghausys.com</t>
  </si>
  <si>
    <t>정태균</t>
  </si>
  <si>
    <t>tkjungb</t>
  </si>
  <si>
    <t>13515-887970</t>
  </si>
  <si>
    <t>정훈정</t>
  </si>
  <si>
    <t>hjjung</t>
  </si>
  <si>
    <t>010-8337-0233</t>
  </si>
  <si>
    <t>조갑호</t>
  </si>
  <si>
    <t>khchob</t>
  </si>
  <si>
    <t>조규택</t>
  </si>
  <si>
    <t>ktcho@lghausys.com</t>
  </si>
  <si>
    <t>010-2488-2220</t>
  </si>
  <si>
    <t>조봉래</t>
  </si>
  <si>
    <t>brcho</t>
  </si>
  <si>
    <t>010-777-3300</t>
  </si>
  <si>
    <t>008-21077733007</t>
  </si>
  <si>
    <t>조상대</t>
  </si>
  <si>
    <t>lpccsd</t>
  </si>
  <si>
    <t>조석제</t>
  </si>
  <si>
    <t>sjcho</t>
  </si>
  <si>
    <t>조석제 사장</t>
  </si>
  <si>
    <t>008-2192140729</t>
  </si>
  <si>
    <t>조양권</t>
  </si>
  <si>
    <t>ykcho</t>
  </si>
  <si>
    <t>조영삼</t>
  </si>
  <si>
    <t>windy</t>
  </si>
  <si>
    <t>조원정</t>
  </si>
  <si>
    <t>wjchob</t>
  </si>
  <si>
    <t>조윤형</t>
  </si>
  <si>
    <t>yhchoj</t>
  </si>
  <si>
    <t>조재정</t>
  </si>
  <si>
    <t>jjjoe</t>
  </si>
  <si>
    <t>조형주</t>
  </si>
  <si>
    <t>caokevin@lghausys.com</t>
  </si>
  <si>
    <t>주성준</t>
  </si>
  <si>
    <t>sjjoo</t>
  </si>
  <si>
    <t>주은원</t>
  </si>
  <si>
    <t>ewjoo</t>
  </si>
  <si>
    <t>008-5290347408</t>
  </si>
  <si>
    <t>진윤기</t>
  </si>
  <si>
    <t>ykjin@lghausys.com</t>
  </si>
  <si>
    <t>차의경</t>
  </si>
  <si>
    <t>e k cha</t>
  </si>
  <si>
    <t>채은식</t>
  </si>
  <si>
    <t>eschae</t>
  </si>
  <si>
    <t>천승희</t>
  </si>
  <si>
    <t>shchun</t>
  </si>
  <si>
    <t>최륜</t>
  </si>
  <si>
    <t>lpccr</t>
  </si>
  <si>
    <t>최병은</t>
  </si>
  <si>
    <t>bechoi</t>
  </si>
  <si>
    <t>13331-956256</t>
  </si>
  <si>
    <t>최상교</t>
  </si>
  <si>
    <t>skcchoid</t>
  </si>
  <si>
    <t>최순철</t>
  </si>
  <si>
    <t>scchoia</t>
  </si>
  <si>
    <t>최승석</t>
  </si>
  <si>
    <t>sschoi</t>
  </si>
  <si>
    <t>13062-867611</t>
  </si>
  <si>
    <t>표기수</t>
  </si>
  <si>
    <t>kspyo</t>
  </si>
  <si>
    <t>한동엽</t>
  </si>
  <si>
    <t>dyhan</t>
  </si>
  <si>
    <t>13752-476101</t>
  </si>
  <si>
    <t>한민기</t>
  </si>
  <si>
    <t>mkhan</t>
  </si>
  <si>
    <t>010-2256-1724</t>
  </si>
  <si>
    <t>한상철</t>
  </si>
  <si>
    <t>schanb</t>
  </si>
  <si>
    <t>한석희</t>
  </si>
  <si>
    <t>한윤석</t>
  </si>
  <si>
    <t>yshan</t>
  </si>
  <si>
    <t>한정훈</t>
  </si>
  <si>
    <t>jhhanb</t>
  </si>
  <si>
    <t>함수정</t>
  </si>
  <si>
    <t>hahmsj</t>
  </si>
  <si>
    <t>함재경</t>
  </si>
  <si>
    <t>jaeham</t>
  </si>
  <si>
    <t>허경아</t>
  </si>
  <si>
    <t>kahur</t>
  </si>
  <si>
    <t>허방욱</t>
  </si>
  <si>
    <t>bwheo@v-ens.com</t>
  </si>
  <si>
    <t>허성화</t>
  </si>
  <si>
    <t>xubaoyun</t>
  </si>
  <si>
    <t>허성환</t>
  </si>
  <si>
    <t>shhuha</t>
  </si>
  <si>
    <t>허재훈</t>
  </si>
  <si>
    <t>jhoon</t>
  </si>
  <si>
    <t>홍성삼</t>
  </si>
  <si>
    <t>lpchss</t>
  </si>
  <si>
    <t>홍순범</t>
  </si>
  <si>
    <t>sbhong</t>
  </si>
  <si>
    <t>홍영규</t>
  </si>
  <si>
    <t>yghong</t>
  </si>
  <si>
    <t>홍정학</t>
  </si>
  <si>
    <t>jhhongb</t>
  </si>
  <si>
    <t>홍칠의</t>
  </si>
  <si>
    <t>cehong</t>
  </si>
  <si>
    <t>홍학표</t>
  </si>
  <si>
    <t>hphong</t>
  </si>
  <si>
    <t>황영신</t>
  </si>
  <si>
    <t>yshwangc</t>
  </si>
  <si>
    <t>010-2271-8232</t>
  </si>
  <si>
    <t>황종구</t>
  </si>
  <si>
    <t>jkhwang</t>
  </si>
  <si>
    <t>황창현</t>
  </si>
  <si>
    <t>chhwang@lgls.co.kr</t>
  </si>
  <si>
    <t>LG Chem OB</t>
  </si>
  <si>
    <t>강교신</t>
  </si>
  <si>
    <t>13240-814757</t>
  </si>
  <si>
    <t>강석중</t>
  </si>
  <si>
    <t>010-8247-4819</t>
  </si>
  <si>
    <t>15921-368880</t>
  </si>
  <si>
    <t>고정한</t>
  </si>
  <si>
    <t>019-232-7522</t>
  </si>
  <si>
    <t>권정현</t>
  </si>
  <si>
    <t>13924-185951</t>
  </si>
  <si>
    <t>권풍조</t>
  </si>
  <si>
    <t>17901139-02058023</t>
  </si>
  <si>
    <t>금병주</t>
  </si>
  <si>
    <t>bjkeum@naver.com</t>
  </si>
  <si>
    <t>금종구</t>
  </si>
  <si>
    <t>019-423-8550</t>
  </si>
  <si>
    <t>김민철</t>
  </si>
  <si>
    <t>13621-694727</t>
  </si>
  <si>
    <t>esjkim@naver.com</t>
  </si>
  <si>
    <t>010-5675-8998</t>
  </si>
  <si>
    <t>010-56758998</t>
  </si>
  <si>
    <t>008-21039777517</t>
  </si>
  <si>
    <t>김정로</t>
  </si>
  <si>
    <t>13801-318884</t>
  </si>
  <si>
    <t>김종팔</t>
  </si>
  <si>
    <t>189-6403-3727</t>
  </si>
  <si>
    <t>김종팔회장님</t>
  </si>
  <si>
    <t>jpkimdm@hanmail.net</t>
  </si>
  <si>
    <t>13311669825</t>
  </si>
  <si>
    <t>김종훈</t>
  </si>
  <si>
    <t>13902-123137</t>
  </si>
  <si>
    <t>010-8364-8886</t>
  </si>
  <si>
    <t>김평윤</t>
  </si>
  <si>
    <t>김해성</t>
  </si>
  <si>
    <t>hskima@hotmail.com</t>
  </si>
  <si>
    <t>019-233-5008</t>
  </si>
  <si>
    <t>김현국</t>
  </si>
  <si>
    <t>13801-740260</t>
  </si>
  <si>
    <t>김형식</t>
  </si>
  <si>
    <t>010-76006888</t>
  </si>
  <si>
    <t>노기호</t>
  </si>
  <si>
    <t>010-2232-7003</t>
  </si>
  <si>
    <t>박민철</t>
  </si>
  <si>
    <t>mchpark</t>
  </si>
  <si>
    <t>13301-955086</t>
  </si>
  <si>
    <t>박종철</t>
  </si>
  <si>
    <t>13902-222584</t>
  </si>
  <si>
    <t>배성현</t>
  </si>
  <si>
    <t>배원붕</t>
  </si>
  <si>
    <t>17901133-52856565</t>
  </si>
  <si>
    <t>서석영</t>
  </si>
  <si>
    <t>paulsysuh@hanmail.net</t>
  </si>
  <si>
    <t>서성원</t>
  </si>
  <si>
    <t>010-5520-2841</t>
  </si>
  <si>
    <t>서영주</t>
  </si>
  <si>
    <t>010-23430734</t>
  </si>
  <si>
    <t>13327-801005</t>
  </si>
  <si>
    <t>서재진</t>
  </si>
  <si>
    <t>13312-120686</t>
  </si>
  <si>
    <t>서혁선</t>
  </si>
  <si>
    <t>hsseod</t>
  </si>
  <si>
    <t>석종만 이멜</t>
  </si>
  <si>
    <t>석종만 전무 한국</t>
  </si>
  <si>
    <t>010-82437314</t>
  </si>
  <si>
    <t>석종만 중국</t>
  </si>
  <si>
    <t>15021-228614</t>
  </si>
  <si>
    <t>성원규</t>
  </si>
  <si>
    <t>wksung</t>
  </si>
  <si>
    <t>성재갑</t>
  </si>
  <si>
    <t>019-220-7000</t>
  </si>
  <si>
    <t>송시영</t>
  </si>
  <si>
    <t>sysong@lgcare.co.kr</t>
  </si>
  <si>
    <t>심성수</t>
  </si>
  <si>
    <t>019-673-1887</t>
  </si>
  <si>
    <t>+82 70-7443-7173</t>
  </si>
  <si>
    <t>안동훈</t>
  </si>
  <si>
    <t>019-335-2229</t>
  </si>
  <si>
    <t>011-296-8646</t>
  </si>
  <si>
    <t>오종만</t>
  </si>
  <si>
    <t>019-232-7175</t>
  </si>
  <si>
    <t>유근창</t>
  </si>
  <si>
    <t>kcyoo</t>
  </si>
  <si>
    <t>유기선</t>
  </si>
  <si>
    <t>13801-219940</t>
  </si>
  <si>
    <t>유철호</t>
  </si>
  <si>
    <t>019-232-7140</t>
  </si>
  <si>
    <t>육동수</t>
  </si>
  <si>
    <t>dsyook@hanmail.net</t>
  </si>
  <si>
    <t>윤기철</t>
  </si>
  <si>
    <t>13336-398691</t>
  </si>
  <si>
    <t>이강용</t>
  </si>
  <si>
    <t>kyleec</t>
  </si>
  <si>
    <t>이강우 상무</t>
  </si>
  <si>
    <t>13817-899938</t>
  </si>
  <si>
    <t>이경희</t>
  </si>
  <si>
    <t>lkhee64@yahoo.co.kr</t>
  </si>
  <si>
    <t>02-157854985</t>
  </si>
  <si>
    <t>13917-999191</t>
  </si>
  <si>
    <t>이계중</t>
  </si>
  <si>
    <t>13911-285700</t>
  </si>
  <si>
    <t>이기선</t>
  </si>
  <si>
    <t>ksleec@lghausys.com</t>
  </si>
  <si>
    <t>이남녕</t>
  </si>
  <si>
    <t>019-232-7319</t>
  </si>
  <si>
    <t>이만형</t>
  </si>
  <si>
    <t>mhleeb</t>
  </si>
  <si>
    <t>13501-193207</t>
  </si>
  <si>
    <t>이문호</t>
  </si>
  <si>
    <t>010-2469-5549</t>
  </si>
  <si>
    <t>이상규</t>
  </si>
  <si>
    <t>010-8447-1425</t>
  </si>
  <si>
    <t>이상민</t>
  </si>
  <si>
    <t>smleeg</t>
  </si>
  <si>
    <t>이성근</t>
  </si>
  <si>
    <t>skleex41@naver.com</t>
  </si>
  <si>
    <t>019-291-5594</t>
  </si>
  <si>
    <t>이승대</t>
  </si>
  <si>
    <t>019-232-7402</t>
  </si>
  <si>
    <t>이윤영</t>
  </si>
  <si>
    <t>yylee</t>
  </si>
  <si>
    <t>이창근</t>
  </si>
  <si>
    <t>010-7752-2129</t>
  </si>
  <si>
    <t>13802-090199</t>
  </si>
  <si>
    <t>전만석</t>
  </si>
  <si>
    <t>msjunb@lghausys.com</t>
  </si>
  <si>
    <t>전명현</t>
  </si>
  <si>
    <t>mhjun</t>
  </si>
  <si>
    <t>13803-093980</t>
  </si>
  <si>
    <t>정운성</t>
  </si>
  <si>
    <t>wsjung11@hotmail.com</t>
  </si>
  <si>
    <t>13661488000</t>
  </si>
  <si>
    <t>정운성 이수회</t>
  </si>
  <si>
    <t>13661-488000</t>
  </si>
  <si>
    <t>정재만</t>
  </si>
  <si>
    <t>james22@naver.com</t>
  </si>
  <si>
    <t>011-263-1332</t>
  </si>
  <si>
    <t>정재현</t>
  </si>
  <si>
    <t>jaychung</t>
  </si>
  <si>
    <t>조명재</t>
  </si>
  <si>
    <t>mjcho@lgcare.co.kr</t>
  </si>
  <si>
    <t>조성우</t>
  </si>
  <si>
    <t>swchob</t>
  </si>
  <si>
    <t>010-8232-7408</t>
  </si>
  <si>
    <t>조철래</t>
  </si>
  <si>
    <t>crcho</t>
  </si>
  <si>
    <t>주해철</t>
  </si>
  <si>
    <t>13331-021666</t>
  </si>
  <si>
    <t>010-3917-6034</t>
  </si>
  <si>
    <t>070-7137-6034</t>
  </si>
  <si>
    <t>070-7138-6034</t>
  </si>
  <si>
    <t>채규옥</t>
  </si>
  <si>
    <t>chaegok@wiscom.co.kr</t>
  </si>
  <si>
    <t>천진환</t>
  </si>
  <si>
    <t>032-770-8921</t>
  </si>
  <si>
    <t>최문기</t>
  </si>
  <si>
    <t>13386-392390</t>
  </si>
  <si>
    <t>019-9155-3445</t>
  </si>
  <si>
    <t>brian@cozychem.com</t>
  </si>
  <si>
    <t>027-019155</t>
  </si>
  <si>
    <t>Cozychem</t>
  </si>
  <si>
    <t>서울 마포구공덕동풍림빌딩1720호</t>
  </si>
  <si>
    <t>최영진</t>
  </si>
  <si>
    <t>010-23669888</t>
  </si>
  <si>
    <t>최재영</t>
  </si>
  <si>
    <t>13816-130152</t>
  </si>
  <si>
    <t>최찬욱</t>
  </si>
  <si>
    <t>cwchoi</t>
  </si>
  <si>
    <t>010-5538-3801</t>
  </si>
  <si>
    <t>최호경</t>
  </si>
  <si>
    <t>hk1022kr@jinjinpolymer.com</t>
  </si>
  <si>
    <t>13917-861544</t>
  </si>
  <si>
    <t>최호욱</t>
  </si>
  <si>
    <t>1791100821087079556</t>
  </si>
  <si>
    <t>010-8707-9556</t>
  </si>
  <si>
    <t>추우용</t>
  </si>
  <si>
    <t>13902-055127</t>
  </si>
  <si>
    <t>010-2381-7790</t>
  </si>
  <si>
    <t>하종식</t>
  </si>
  <si>
    <t>jsha</t>
  </si>
  <si>
    <t>한상용</t>
  </si>
  <si>
    <t>syhan815@hanmail.net</t>
  </si>
  <si>
    <t>syhan</t>
  </si>
  <si>
    <t>010-8661-2640</t>
  </si>
  <si>
    <t>17901138-17838217</t>
  </si>
  <si>
    <t>허원구</t>
  </si>
  <si>
    <t>wkhuh19@yahoo.co.kr</t>
  </si>
  <si>
    <t>019-438-2003</t>
  </si>
  <si>
    <t>호연풍</t>
  </si>
  <si>
    <t>huyanfeng@lgchem.com</t>
  </si>
  <si>
    <t>홍귀표</t>
  </si>
  <si>
    <t>kphong@lgchem.com</t>
  </si>
  <si>
    <t>019-232-7026</t>
  </si>
  <si>
    <t>홍덕기</t>
  </si>
  <si>
    <t>019-232-7130</t>
  </si>
  <si>
    <t>홍정남</t>
  </si>
  <si>
    <t>13382-019025</t>
  </si>
  <si>
    <t>010-8388-6102</t>
  </si>
  <si>
    <t>황경주</t>
  </si>
  <si>
    <t>kjhwang@lgcare.co.kr</t>
  </si>
  <si>
    <t>13601-890255</t>
  </si>
  <si>
    <t>황상규</t>
  </si>
  <si>
    <t>019-9153-6563</t>
  </si>
  <si>
    <t>LG Dagu</t>
  </si>
  <si>
    <t>강종식</t>
  </si>
  <si>
    <t>13702-193577</t>
  </si>
  <si>
    <t>강현호</t>
  </si>
  <si>
    <t>136-4201-8237</t>
  </si>
  <si>
    <t>김광석</t>
  </si>
  <si>
    <t>13512-220765</t>
  </si>
  <si>
    <t>김향화</t>
  </si>
  <si>
    <t>13920-412621</t>
  </si>
  <si>
    <t>노은실</t>
  </si>
  <si>
    <t>13821-653721</t>
  </si>
  <si>
    <t>박미숙</t>
  </si>
  <si>
    <t>13502-126013</t>
  </si>
  <si>
    <t>연장식</t>
  </si>
  <si>
    <t>jsyeon</t>
  </si>
  <si>
    <t>13662-158098</t>
  </si>
  <si>
    <t>윤희영</t>
  </si>
  <si>
    <t>137-6449-8994</t>
  </si>
  <si>
    <t>이두현</t>
  </si>
  <si>
    <t>dhleei</t>
  </si>
  <si>
    <t>15332-105882</t>
  </si>
  <si>
    <t>Ahn Dajian</t>
  </si>
  <si>
    <t>13902-058025</t>
  </si>
  <si>
    <t>ChenLiMing</t>
  </si>
  <si>
    <t>13802-110888</t>
  </si>
  <si>
    <t>ChenPeiLin</t>
  </si>
  <si>
    <t>138-0967-3729</t>
  </si>
  <si>
    <t>008-5223414351</t>
  </si>
  <si>
    <t>ChenShuQing</t>
  </si>
  <si>
    <t>13821-208319</t>
  </si>
  <si>
    <t>FengYongQing</t>
  </si>
  <si>
    <t>13502-134380</t>
  </si>
  <si>
    <t>GongZong</t>
  </si>
  <si>
    <t>13802-159286</t>
  </si>
  <si>
    <t>HeRongLin</t>
  </si>
  <si>
    <t>13011-397618</t>
  </si>
  <si>
    <t>JiMing</t>
  </si>
  <si>
    <t>13311-851757</t>
  </si>
  <si>
    <t>JiangWei</t>
  </si>
  <si>
    <t>13920-170082</t>
  </si>
  <si>
    <t>KouJie</t>
  </si>
  <si>
    <t>13920-299581</t>
  </si>
  <si>
    <t>LiKaiJian</t>
  </si>
  <si>
    <t>17901133-32892301</t>
  </si>
  <si>
    <t>LiLiXin</t>
  </si>
  <si>
    <t>13902-059777</t>
  </si>
  <si>
    <t>LiShunHe</t>
  </si>
  <si>
    <t>13902-058026</t>
  </si>
  <si>
    <t>LiSongYi</t>
  </si>
  <si>
    <t>13821-092812</t>
  </si>
  <si>
    <t>LiuShuji</t>
  </si>
  <si>
    <t>13802-003240</t>
  </si>
  <si>
    <t>Qiu</t>
  </si>
  <si>
    <t>13916-033133</t>
  </si>
  <si>
    <t>QiuShiJun</t>
  </si>
  <si>
    <t>13821-190111</t>
  </si>
  <si>
    <t>ShenBohong</t>
  </si>
  <si>
    <t>13132-020081</t>
  </si>
  <si>
    <t>Shenbuzhang</t>
  </si>
  <si>
    <t>UiHaiYue</t>
  </si>
  <si>
    <t>13820-266281</t>
  </si>
  <si>
    <t>WangBaoDi</t>
  </si>
  <si>
    <t>13902-004058</t>
  </si>
  <si>
    <t>WangFengShan</t>
  </si>
  <si>
    <t>13802-066475</t>
  </si>
  <si>
    <t>WangGuiShen</t>
  </si>
  <si>
    <t>13802-124110</t>
  </si>
  <si>
    <t>WangGuoQing</t>
  </si>
  <si>
    <t>13802-096614</t>
  </si>
  <si>
    <t>WangWenHui</t>
  </si>
  <si>
    <t>62-51</t>
  </si>
  <si>
    <t>XueXiaoWen</t>
  </si>
  <si>
    <t>13920-190777</t>
  </si>
  <si>
    <t>YinPeiZhong</t>
  </si>
  <si>
    <t>13901-617689</t>
  </si>
  <si>
    <t>Zhang shifu</t>
  </si>
  <si>
    <t>13520-447552</t>
  </si>
  <si>
    <t>ZhangWenCheng</t>
  </si>
  <si>
    <t>13803-047930</t>
  </si>
  <si>
    <t>ZhangWenLei</t>
  </si>
  <si>
    <t>13502-009623</t>
  </si>
  <si>
    <t>ZhangXinDe</t>
  </si>
  <si>
    <t>13902-069610</t>
  </si>
  <si>
    <t>ZhangYuMing</t>
  </si>
  <si>
    <t>13902-055137</t>
  </si>
  <si>
    <t>ZhaoLiZhi</t>
  </si>
  <si>
    <t>13802-066248</t>
  </si>
  <si>
    <t>ZhuJianZhong</t>
  </si>
  <si>
    <t>13920-425068</t>
  </si>
  <si>
    <t>董俊</t>
  </si>
  <si>
    <t>159-0077-3638</t>
  </si>
  <si>
    <t>박진호 기사</t>
  </si>
  <si>
    <t>010-73576899</t>
  </si>
  <si>
    <t>엘지패션</t>
  </si>
  <si>
    <t>양원구</t>
  </si>
  <si>
    <t>18918-257272</t>
  </si>
  <si>
    <t>우제민</t>
  </si>
  <si>
    <t>jmwoo</t>
  </si>
  <si>
    <t>원장석부장</t>
  </si>
  <si>
    <t>186-2136-9983</t>
  </si>
  <si>
    <t>이기현과장  정보전략</t>
  </si>
  <si>
    <t>010-84878232</t>
  </si>
  <si>
    <t>34418275</t>
  </si>
  <si>
    <t>이춘복</t>
  </si>
  <si>
    <t>13764-527170</t>
  </si>
  <si>
    <t>임채연 차장</t>
  </si>
  <si>
    <t>186-1639-7909</t>
  </si>
  <si>
    <t>지성언 상무</t>
  </si>
  <si>
    <t>13817-874989</t>
  </si>
  <si>
    <t>한성렬상무</t>
  </si>
  <si>
    <t>+8210988-92426</t>
  </si>
  <si>
    <t>023-4418289</t>
  </si>
  <si>
    <t>010-98892426</t>
  </si>
  <si>
    <t>LF 한미영</t>
  </si>
  <si>
    <t>02-3441-8071</t>
  </si>
  <si>
    <t>LG Group</t>
  </si>
  <si>
    <t>单惠德</t>
  </si>
  <si>
    <t>189-1057-8858</t>
  </si>
  <si>
    <t>单惠德 部长</t>
  </si>
  <si>
    <t>010-7736-3400</t>
  </si>
  <si>
    <t>강태길</t>
  </si>
  <si>
    <t>tkkang@lge.com</t>
  </si>
  <si>
    <t>010-7558-2514</t>
  </si>
  <si>
    <t>구복모</t>
  </si>
  <si>
    <t>008-5293207698</t>
  </si>
  <si>
    <t>권용민 부장</t>
  </si>
  <si>
    <t>13801-092212</t>
  </si>
  <si>
    <t>김건오</t>
  </si>
  <si>
    <t>kokkk58@lge.com</t>
  </si>
  <si>
    <t>13311-130337</t>
  </si>
  <si>
    <t>김경욱</t>
  </si>
  <si>
    <t>13212-257248</t>
  </si>
  <si>
    <t>15311-683686</t>
  </si>
  <si>
    <t>김광범 이멜</t>
  </si>
  <si>
    <t>김기원</t>
  </si>
  <si>
    <t>skco0617@hotmail.com</t>
  </si>
  <si>
    <t>김양호</t>
  </si>
  <si>
    <t>13301-105772</t>
  </si>
  <si>
    <t>김영욱</t>
  </si>
  <si>
    <t>yywwkim@lginnotek.com</t>
  </si>
  <si>
    <t>김재천</t>
  </si>
  <si>
    <t>jc.kim@ccbk.co.kr</t>
  </si>
  <si>
    <t>13816-131622</t>
  </si>
  <si>
    <t>김종국</t>
  </si>
  <si>
    <t>jkkimc</t>
  </si>
  <si>
    <t>김현기</t>
  </si>
  <si>
    <t>13901-187865</t>
  </si>
  <si>
    <t>나영필</t>
  </si>
  <si>
    <t>13311-013612</t>
  </si>
  <si>
    <t>노용악</t>
  </si>
  <si>
    <t>13651-209929</t>
  </si>
  <si>
    <t>문장호</t>
  </si>
  <si>
    <t>13917-771749</t>
  </si>
  <si>
    <t>박래정</t>
  </si>
  <si>
    <t>ecopark@lgeri.com</t>
  </si>
  <si>
    <t>박래정 LGERI</t>
  </si>
  <si>
    <t>13436-380990</t>
  </si>
  <si>
    <t>배정태</t>
  </si>
  <si>
    <t>jtbae@lgcare.co.kr</t>
  </si>
  <si>
    <t>서병모</t>
  </si>
  <si>
    <t>손진방</t>
  </si>
  <si>
    <t>13301-317888</t>
  </si>
  <si>
    <t>심재흥 서울</t>
  </si>
  <si>
    <t>010-2288-6697</t>
  </si>
  <si>
    <t>심재흥 중국</t>
  </si>
  <si>
    <t>13910-193240</t>
  </si>
  <si>
    <t>우남균</t>
  </si>
  <si>
    <t>namwoo@lge.com</t>
  </si>
  <si>
    <t>우남균 서울</t>
  </si>
  <si>
    <t>+8219-248-6000</t>
  </si>
  <si>
    <t>namkwoo@gmail.com</t>
  </si>
  <si>
    <t>00 1 (949) 838-6271</t>
  </si>
  <si>
    <t>019-2486000</t>
  </si>
  <si>
    <t>유일봉</t>
  </si>
  <si>
    <t>13801-098227</t>
  </si>
  <si>
    <t>윤흥식</t>
  </si>
  <si>
    <t>13312-120500</t>
  </si>
  <si>
    <t>이강우</t>
  </si>
  <si>
    <t>kwlee@lgi.co.kr</t>
  </si>
  <si>
    <t>이기원</t>
  </si>
  <si>
    <t>011-310-7324</t>
  </si>
  <si>
    <t>이시용 상무</t>
  </si>
  <si>
    <t>+861-86-140-27720</t>
  </si>
  <si>
    <t>138-1072-7427</t>
  </si>
  <si>
    <t>이일총</t>
  </si>
  <si>
    <t>13126-731719</t>
  </si>
  <si>
    <t>이일총 서울</t>
  </si>
  <si>
    <t>17911 00 82 10-6724-2024</t>
  </si>
  <si>
    <t>이재성</t>
  </si>
  <si>
    <t>jsunglee@lgcns.com</t>
  </si>
  <si>
    <t>010-7533-3337</t>
  </si>
  <si>
    <t>이중식 사장</t>
  </si>
  <si>
    <t>13371-670954</t>
  </si>
  <si>
    <t>이철용 LGERI</t>
  </si>
  <si>
    <t>이홍렬</t>
  </si>
  <si>
    <t>hylee@lgi.co.kr</t>
  </si>
  <si>
    <t>장동헌</t>
  </si>
  <si>
    <t>13701-297287</t>
  </si>
  <si>
    <t>장재영</t>
  </si>
  <si>
    <t>13331-169880</t>
  </si>
  <si>
    <t>전성진</t>
  </si>
  <si>
    <t>13817-818468</t>
  </si>
  <si>
    <t>전창수</t>
  </si>
  <si>
    <t>csjun</t>
  </si>
  <si>
    <t>changsoojeon@lge.com</t>
  </si>
  <si>
    <t>18601-190501</t>
  </si>
  <si>
    <t>정우성 상무 LGE</t>
  </si>
  <si>
    <t>13311-488787</t>
  </si>
  <si>
    <t>조중봉</t>
  </si>
  <si>
    <t>cbcho@lge.com</t>
  </si>
  <si>
    <t>최정태</t>
  </si>
  <si>
    <t>13928-818577</t>
  </si>
  <si>
    <t>13601-173295</t>
  </si>
  <si>
    <t>추연성</t>
  </si>
  <si>
    <t>yschoo@lgls.com</t>
  </si>
  <si>
    <t>허형종 생건치약</t>
  </si>
  <si>
    <t>137-1759-5637</t>
  </si>
  <si>
    <t>019-233-5099</t>
  </si>
  <si>
    <t>홍정기 LG경제연구원</t>
  </si>
  <si>
    <t>jkhong@lgeri.com</t>
  </si>
  <si>
    <t>홍정기 LG상사</t>
  </si>
  <si>
    <t>LG Hausys</t>
  </si>
  <si>
    <t>강승수</t>
  </si>
  <si>
    <t>ssk@lghausys.com</t>
  </si>
  <si>
    <t>김승현</t>
  </si>
  <si>
    <t>shkimk@lghausys.com</t>
  </si>
  <si>
    <t>13901-837225</t>
  </si>
  <si>
    <t>김용규</t>
  </si>
  <si>
    <t>ykkimm@lghausys.com</t>
  </si>
  <si>
    <t>010-39483569</t>
  </si>
  <si>
    <t>0522-314110</t>
  </si>
  <si>
    <t>김윤구 이멜</t>
  </si>
  <si>
    <t>ykkimj@lghausys.com</t>
  </si>
  <si>
    <t>김익화 이멜</t>
  </si>
  <si>
    <t>김창수</t>
  </si>
  <si>
    <t>cskimc@lghausys.com</t>
  </si>
  <si>
    <t>김해용</t>
  </si>
  <si>
    <t>hykimh</t>
  </si>
  <si>
    <t>011-9707-5375</t>
  </si>
  <si>
    <t>박귀봉</t>
  </si>
  <si>
    <t>kbpark@lghausys.com</t>
  </si>
  <si>
    <t>박상은 Hausys</t>
  </si>
  <si>
    <t>13910-334346</t>
  </si>
  <si>
    <t>stevenpark@lgchem.com</t>
  </si>
  <si>
    <t>박현신</t>
  </si>
  <si>
    <t>hspark@lghausys.com</t>
  </si>
  <si>
    <t>010-3939-2058</t>
  </si>
  <si>
    <t>송진갑</t>
  </si>
  <si>
    <t>jksong</t>
  </si>
  <si>
    <t>019-309-0347</t>
  </si>
  <si>
    <t>신동원</t>
  </si>
  <si>
    <t>dwsin@lghausys.com</t>
  </si>
  <si>
    <t>신동원 수석</t>
  </si>
  <si>
    <t>13312-120644</t>
  </si>
  <si>
    <t>안세진</t>
  </si>
  <si>
    <t>안영훈</t>
  </si>
  <si>
    <t>yhahnc@lghausys.com</t>
  </si>
  <si>
    <t>오영창</t>
  </si>
  <si>
    <t>ycoh@lghausys.com</t>
  </si>
  <si>
    <t>15021-228754</t>
  </si>
  <si>
    <t>우명수</t>
  </si>
  <si>
    <t>mswoo@lghausys.com</t>
  </si>
  <si>
    <t>윤태순</t>
  </si>
  <si>
    <t>tsyoon</t>
  </si>
  <si>
    <t>이은철</t>
  </si>
  <si>
    <t>eclee@lghausys.com</t>
  </si>
  <si>
    <t>010-7929-8887</t>
  </si>
  <si>
    <t>13911-604562</t>
  </si>
  <si>
    <t>이화정</t>
  </si>
  <si>
    <t>hjleef@lghausys.com</t>
  </si>
  <si>
    <t>13761-324085</t>
  </si>
  <si>
    <t>한명호</t>
  </si>
  <si>
    <t>mhhan@lghausys.com</t>
  </si>
  <si>
    <t>019-9433-0707</t>
  </si>
  <si>
    <t>황보동관</t>
  </si>
  <si>
    <t>bdhwang@lghausys.com</t>
  </si>
  <si>
    <t>황진형</t>
  </si>
  <si>
    <t>jhhwangb@lghausys.com</t>
  </si>
  <si>
    <t>M</t>
  </si>
  <si>
    <t>기범</t>
  </si>
  <si>
    <t>joshua-jin@hanmail.net</t>
  </si>
  <si>
    <t>시내</t>
  </si>
  <si>
    <t>jonah21c@nate.com</t>
  </si>
  <si>
    <t>뉴욕 황미려 안식년</t>
  </si>
  <si>
    <t>700</t>
  </si>
  <si>
    <t>0707-1351623</t>
  </si>
  <si>
    <t>myryu78@gmail.com</t>
  </si>
  <si>
    <t>대만 박미진</t>
  </si>
  <si>
    <t>2100</t>
  </si>
  <si>
    <t>0707-0983626</t>
  </si>
  <si>
    <t>란주 유원식</t>
  </si>
  <si>
    <t>151-1708-1053</t>
  </si>
  <si>
    <t>란주 이주상</t>
  </si>
  <si>
    <t>2000</t>
  </si>
  <si>
    <t>186-0931-8044</t>
  </si>
  <si>
    <t>무한 박장석</t>
  </si>
  <si>
    <t>3500</t>
  </si>
  <si>
    <t>133-9717-9991</t>
  </si>
  <si>
    <t>박민부 강성실</t>
  </si>
  <si>
    <t>북경 김한혜</t>
  </si>
  <si>
    <t>북경 엄재돈</t>
  </si>
  <si>
    <t>1050</t>
  </si>
  <si>
    <t>이상훈형제에게</t>
  </si>
  <si>
    <t>북경 이윤철</t>
  </si>
  <si>
    <t>010-87617066</t>
  </si>
  <si>
    <t>상락 김상현</t>
  </si>
  <si>
    <t>5000</t>
  </si>
  <si>
    <t>153-0914-8211</t>
  </si>
  <si>
    <t>상해  천명길</t>
  </si>
  <si>
    <t>136-6199-8072</t>
  </si>
  <si>
    <t>서안 김기범</t>
  </si>
  <si>
    <t>135-7222-4251</t>
  </si>
  <si>
    <t>황선경</t>
  </si>
  <si>
    <t>135-7209-3113</t>
  </si>
  <si>
    <t>서안 김시내 천은희</t>
  </si>
  <si>
    <t>136-0925-3173</t>
  </si>
  <si>
    <t>150-2990-1167</t>
  </si>
  <si>
    <t>성도 박용수</t>
  </si>
  <si>
    <t>133-4889-3401</t>
  </si>
  <si>
    <t>아릴락</t>
  </si>
  <si>
    <t>박민부집사앎</t>
  </si>
  <si>
    <t>우루무치 정윤모</t>
  </si>
  <si>
    <t>4000</t>
  </si>
  <si>
    <t>150-9911-7833</t>
  </si>
  <si>
    <t>sinolink@empal.com</t>
  </si>
  <si>
    <t>이중원</t>
  </si>
  <si>
    <t>1400</t>
  </si>
  <si>
    <t>일본 박정렬 박수민</t>
  </si>
  <si>
    <t>4900</t>
  </si>
  <si>
    <t>parkmay@gmail.com</t>
  </si>
  <si>
    <t>07082273262</t>
  </si>
  <si>
    <t>정윤모</t>
  </si>
  <si>
    <t>+86 150-9911-7833</t>
  </si>
  <si>
    <t>천진 박성호</t>
  </si>
  <si>
    <t>133-2334-0074</t>
  </si>
  <si>
    <t>한국 안식년 장민</t>
  </si>
  <si>
    <t>abn963@hanmail.net</t>
  </si>
  <si>
    <t>保利 刘爽 沈阳</t>
  </si>
  <si>
    <t>具社长</t>
  </si>
  <si>
    <t>182-0156-3233</t>
  </si>
  <si>
    <t>华彬日本餐厅</t>
  </si>
  <si>
    <t>华彬大厦4楼</t>
  </si>
  <si>
    <t>010-85288528</t>
  </si>
  <si>
    <t>和乔丽晶 管家 李中南</t>
  </si>
  <si>
    <t>151-0106-9544</t>
  </si>
  <si>
    <t>和乔丽晶前台</t>
  </si>
  <si>
    <t>010-84501299</t>
  </si>
  <si>
    <t>转614，615</t>
  </si>
  <si>
    <t>大董烤鸭店团结湖</t>
  </si>
  <si>
    <t>010-65824003</t>
  </si>
  <si>
    <t>朱金霞 阿姨</t>
  </si>
  <si>
    <t>133-6698-6013</t>
  </si>
  <si>
    <t>李昕静 和乔丽晶</t>
  </si>
  <si>
    <t>135-8157-3940</t>
  </si>
  <si>
    <t>翡翠酒家新光分店</t>
  </si>
  <si>
    <t>010-65331150</t>
  </si>
  <si>
    <t>花家怡园</t>
  </si>
  <si>
    <t>400-010-1717</t>
  </si>
  <si>
    <t>保利 小雅</t>
  </si>
  <si>
    <t>英文说得好</t>
  </si>
  <si>
    <t>186-1168-0643</t>
  </si>
  <si>
    <t>保利大夏三层</t>
  </si>
  <si>
    <t>边丽</t>
  </si>
  <si>
    <t>136-0102-7539</t>
  </si>
  <si>
    <t>那家小馆</t>
  </si>
  <si>
    <t>010-65673663</t>
  </si>
  <si>
    <t>非常泰</t>
  </si>
  <si>
    <t>010-84510031</t>
  </si>
  <si>
    <t>강마을래미안공인중개소</t>
  </si>
  <si>
    <t>022-6774567</t>
  </si>
  <si>
    <t>고향산천</t>
  </si>
  <si>
    <t>010-6470-9292</t>
  </si>
  <si>
    <t>광순여행사</t>
  </si>
  <si>
    <t>옥류관방향 季景芯园商场楼</t>
  </si>
  <si>
    <t>010-58047719</t>
  </si>
  <si>
    <t>돈카페</t>
  </si>
  <si>
    <t>010-64361978</t>
  </si>
  <si>
    <t>럭키공인 장미세입자</t>
  </si>
  <si>
    <t>조인숙</t>
  </si>
  <si>
    <t>010-23329493</t>
  </si>
  <si>
    <t>02-414-9493</t>
  </si>
  <si>
    <t>럭키공인중개사 장미아파트</t>
  </si>
  <si>
    <t>오형열  김성혜</t>
  </si>
  <si>
    <t>024-234747</t>
  </si>
  <si>
    <t>02-423-7000</t>
  </si>
  <si>
    <t>무겐 일식당</t>
  </si>
  <si>
    <t>010-64302085</t>
  </si>
  <si>
    <t>무료국제전화</t>
  </si>
  <si>
    <t>1544-0044</t>
  </si>
  <si>
    <t>민병덕 가원부동산</t>
  </si>
  <si>
    <t>011-248-5619</t>
  </si>
  <si>
    <t>백작원 김애화</t>
  </si>
  <si>
    <t>8957-1855</t>
  </si>
  <si>
    <t>비원</t>
  </si>
  <si>
    <t>6462-4032</t>
  </si>
  <si>
    <t>삼다도</t>
  </si>
  <si>
    <t>6208-0861</t>
  </si>
  <si>
    <t>삼부자</t>
  </si>
  <si>
    <t>8471-5472</t>
  </si>
  <si>
    <t>서라벌 Yanxia</t>
  </si>
  <si>
    <t>6465-1845</t>
  </si>
  <si>
    <t>스타킹 조미연 赵美艳</t>
  </si>
  <si>
    <t>广顺北大街星源国际对面</t>
  </si>
  <si>
    <t>139-1042-4383</t>
  </si>
  <si>
    <t>애강산 리두</t>
  </si>
  <si>
    <t>8456-9336</t>
  </si>
  <si>
    <t>엘지에클라트 여의도</t>
  </si>
  <si>
    <t>미래공인중개사</t>
  </si>
  <si>
    <t>027-860066</t>
  </si>
  <si>
    <t>한아름과장</t>
  </si>
  <si>
    <t>윤영미 북경</t>
  </si>
  <si>
    <t>186-1819-7455</t>
  </si>
  <si>
    <t>+86 186-1819-7455</t>
  </si>
  <si>
    <t>윤영미 서울</t>
  </si>
  <si>
    <t>00 82 10-6575-0478</t>
  </si>
  <si>
    <t>이현 실장</t>
  </si>
  <si>
    <t>18811-074000</t>
  </si>
  <si>
    <t>일죽</t>
  </si>
  <si>
    <t>010-84539802</t>
  </si>
  <si>
    <t>자하문</t>
  </si>
  <si>
    <t>8478-2323</t>
  </si>
  <si>
    <t>청학골 상해</t>
  </si>
  <si>
    <t>3432-3068</t>
  </si>
  <si>
    <t>트윈빌딩전화</t>
  </si>
  <si>
    <t>하나투어북경</t>
  </si>
  <si>
    <t>선경윤과장</t>
  </si>
  <si>
    <t>010-64789005</t>
  </si>
  <si>
    <t>sunkylife@hanatour.com</t>
  </si>
  <si>
    <t>159-1054-5041</t>
  </si>
  <si>
    <t>www.hanatour.cn</t>
  </si>
  <si>
    <t>한마당 상해</t>
  </si>
  <si>
    <t>6145-9691</t>
  </si>
  <si>
    <t>항아리</t>
  </si>
  <si>
    <t>8451-8098</t>
  </si>
  <si>
    <t>현우항공</t>
  </si>
  <si>
    <t>010-6473-3080</t>
  </si>
  <si>
    <t>황선동 대리</t>
  </si>
  <si>
    <t>13910-233204</t>
  </si>
  <si>
    <t>황춘란씨 광순여행사</t>
  </si>
  <si>
    <t>138-1067-4427</t>
  </si>
  <si>
    <t>Call</t>
  </si>
  <si>
    <t>961-001</t>
  </si>
  <si>
    <t>Call Taxi BJ</t>
  </si>
  <si>
    <t>010-6837-3399</t>
  </si>
  <si>
    <t>Call Taxi Beijin</t>
  </si>
  <si>
    <t>96-103</t>
  </si>
  <si>
    <t>Daban anma</t>
  </si>
  <si>
    <t>6437-6299</t>
  </si>
  <si>
    <t>东海海鲜</t>
  </si>
  <si>
    <t>DongHai</t>
  </si>
  <si>
    <t>6508-9933</t>
  </si>
  <si>
    <t>Fox</t>
  </si>
  <si>
    <t>13301-065650</t>
  </si>
  <si>
    <t>Fx htl</t>
  </si>
  <si>
    <t>010-6584-8000</t>
  </si>
  <si>
    <t>Fx reservation</t>
  </si>
  <si>
    <t>40082-00868</t>
  </si>
  <si>
    <t>Gallery 김은정</t>
  </si>
  <si>
    <t>133-6658-9796</t>
  </si>
  <si>
    <t>Gmax</t>
  </si>
  <si>
    <t>010-84730755</t>
  </si>
  <si>
    <t>Gmax회원권거래소</t>
  </si>
  <si>
    <t>HX Holidayinn Ex</t>
  </si>
  <si>
    <t>010-5926-9501</t>
  </si>
  <si>
    <t>Honda BJ 24hrs</t>
  </si>
  <si>
    <t>010-6475-4253</t>
  </si>
  <si>
    <t>Honda Beijing AS</t>
  </si>
  <si>
    <t>010-6478-9751</t>
  </si>
  <si>
    <t>Honda Caobaolu</t>
  </si>
  <si>
    <t>6480-6789</t>
  </si>
  <si>
    <t>Honda SH 24hrs</t>
  </si>
  <si>
    <t>02-164801079</t>
  </si>
  <si>
    <t>Honda emergency</t>
  </si>
  <si>
    <t>13916-535417</t>
  </si>
  <si>
    <t>HongQiao Golf</t>
  </si>
  <si>
    <t>6465-0076</t>
  </si>
  <si>
    <t>ICBC</t>
  </si>
  <si>
    <t>010-95588</t>
  </si>
  <si>
    <t>Itoya Huahailu</t>
  </si>
  <si>
    <t>6473-0758</t>
  </si>
  <si>
    <t>Ktv CnC Club</t>
  </si>
  <si>
    <t>13370-001163</t>
  </si>
  <si>
    <t>Ktv Seoulier</t>
  </si>
  <si>
    <t>13386-113353</t>
  </si>
  <si>
    <t>Kunlun</t>
  </si>
  <si>
    <t>6590-3388</t>
  </si>
  <si>
    <t>Kunlun Jungsunui</t>
  </si>
  <si>
    <t>13641-292500</t>
  </si>
  <si>
    <t>Leting</t>
  </si>
  <si>
    <t>6247-5557</t>
  </si>
  <si>
    <t>LiJusong</t>
  </si>
  <si>
    <t>13311-319806</t>
  </si>
  <si>
    <t>LiSeBong</t>
  </si>
  <si>
    <t>13001-076263</t>
  </si>
  <si>
    <t>Shanghai Links</t>
  </si>
  <si>
    <t>5897-5899</t>
  </si>
  <si>
    <t>SuwonWangkalbi</t>
  </si>
  <si>
    <t>3432-3001</t>
  </si>
  <si>
    <t>TianyuJiujia</t>
  </si>
  <si>
    <t>2306-5888</t>
  </si>
  <si>
    <t>VISTA Clinic</t>
  </si>
  <si>
    <t>8529-9486</t>
  </si>
  <si>
    <t>WanLongZhou</t>
  </si>
  <si>
    <t>010-64651818</t>
  </si>
  <si>
    <t>Wangjing air</t>
  </si>
  <si>
    <t>6471-6665</t>
  </si>
  <si>
    <t>Wine Talk</t>
  </si>
  <si>
    <t>010-64333033</t>
  </si>
  <si>
    <t>성동구 옥수동 478-1 모닝빌501호</t>
  </si>
  <si>
    <t>고객</t>
  </si>
  <si>
    <t>임원OB</t>
  </si>
  <si>
    <t>사원OB</t>
  </si>
  <si>
    <t>임원YB</t>
  </si>
  <si>
    <t>사원YB</t>
  </si>
  <si>
    <t>화학동기</t>
  </si>
  <si>
    <t>Hausys</t>
  </si>
  <si>
    <t>그룹</t>
  </si>
  <si>
    <t>이수회</t>
  </si>
  <si>
    <t>패션</t>
  </si>
  <si>
    <t>제자26</t>
  </si>
  <si>
    <t>북경한인</t>
  </si>
  <si>
    <t>두룻빛</t>
  </si>
  <si>
    <t>가족</t>
  </si>
  <si>
    <t>11반</t>
  </si>
  <si>
    <t>경복48</t>
  </si>
  <si>
    <t>경복중국</t>
  </si>
  <si>
    <t>서울대</t>
  </si>
  <si>
    <t>경희중</t>
  </si>
  <si>
    <t>지인</t>
  </si>
  <si>
    <t>김찬숙</t>
  </si>
  <si>
    <t>주소여부</t>
  </si>
  <si>
    <t>email</t>
  </si>
  <si>
    <t>간사</t>
  </si>
  <si>
    <t>LG클럽</t>
  </si>
  <si>
    <t>정연태</t>
  </si>
  <si>
    <t>우리</t>
  </si>
  <si>
    <t>박승철</t>
  </si>
  <si>
    <t>이영규</t>
  </si>
  <si>
    <t>영산</t>
  </si>
  <si>
    <t>차원영</t>
  </si>
  <si>
    <t>고유문</t>
  </si>
  <si>
    <t>종철수</t>
  </si>
  <si>
    <t>이선우</t>
  </si>
  <si>
    <t>김영준</t>
  </si>
  <si>
    <t>함태영</t>
  </si>
  <si>
    <t>박종민</t>
  </si>
  <si>
    <t>아시아나</t>
  </si>
  <si>
    <t>유진화학</t>
  </si>
  <si>
    <t>배성만</t>
  </si>
  <si>
    <t>구본걸</t>
  </si>
  <si>
    <t>정현진</t>
  </si>
  <si>
    <t>신영수</t>
  </si>
  <si>
    <t>이용한</t>
  </si>
  <si>
    <t>김연님</t>
  </si>
  <si>
    <t>김광철</t>
  </si>
  <si>
    <t>박정환</t>
  </si>
  <si>
    <t>박영호</t>
  </si>
  <si>
    <t>오태영</t>
  </si>
  <si>
    <t>박시연</t>
  </si>
  <si>
    <t>SPG</t>
  </si>
  <si>
    <t>이성재</t>
  </si>
  <si>
    <t>권영국</t>
  </si>
  <si>
    <t>이재환</t>
  </si>
  <si>
    <t>이경섭</t>
  </si>
  <si>
    <t>이백선</t>
  </si>
  <si>
    <t>류인후</t>
  </si>
  <si>
    <t>김영선</t>
  </si>
  <si>
    <t>이상진</t>
  </si>
  <si>
    <t>전재주</t>
  </si>
  <si>
    <t>정신희</t>
  </si>
  <si>
    <t>신영</t>
  </si>
  <si>
    <t>김재육</t>
  </si>
  <si>
    <t>권재홍</t>
  </si>
  <si>
    <t>김진형</t>
  </si>
  <si>
    <t>한갑수</t>
  </si>
  <si>
    <t>백용보</t>
  </si>
  <si>
    <t>문만택</t>
  </si>
  <si>
    <t>박근영</t>
  </si>
  <si>
    <t>송희영</t>
  </si>
  <si>
    <t>김   돈</t>
  </si>
  <si>
    <t>김영미</t>
  </si>
  <si>
    <t>김석범</t>
  </si>
  <si>
    <t>송주섭</t>
  </si>
  <si>
    <t>차순영</t>
  </si>
  <si>
    <t>임병남</t>
  </si>
  <si>
    <t>김종태</t>
  </si>
  <si>
    <t>나경인</t>
  </si>
  <si>
    <t>박세현</t>
  </si>
  <si>
    <t>김경환</t>
  </si>
  <si>
    <t>신영숙</t>
  </si>
  <si>
    <t>조희수</t>
  </si>
  <si>
    <t>유장근</t>
  </si>
  <si>
    <t>원장석</t>
  </si>
  <si>
    <t>김동진</t>
  </si>
  <si>
    <t>최복순</t>
  </si>
  <si>
    <t>안재성</t>
  </si>
  <si>
    <t>길기승</t>
  </si>
  <si>
    <t>유영직</t>
  </si>
  <si>
    <t>고종빈</t>
  </si>
  <si>
    <t>한성렬</t>
  </si>
  <si>
    <t>임억순</t>
  </si>
  <si>
    <t>송종호</t>
  </si>
  <si>
    <t>신영옥</t>
  </si>
  <si>
    <t>박   철</t>
  </si>
  <si>
    <t>연남희</t>
  </si>
  <si>
    <t>영진</t>
  </si>
  <si>
    <t>김근기</t>
  </si>
  <si>
    <t>김덕수</t>
  </si>
  <si>
    <t>윤병찬</t>
  </si>
  <si>
    <t>문성준</t>
  </si>
  <si>
    <t>김   광</t>
  </si>
  <si>
    <t>전장환</t>
  </si>
  <si>
    <t>양세정</t>
  </si>
  <si>
    <t>신한섭</t>
  </si>
  <si>
    <t>김은희</t>
  </si>
  <si>
    <t>대촌</t>
  </si>
  <si>
    <t>유영종</t>
  </si>
  <si>
    <t>김덕후</t>
  </si>
  <si>
    <t>이종수</t>
  </si>
  <si>
    <t>김규호</t>
  </si>
  <si>
    <t>송균석</t>
  </si>
  <si>
    <t>임계열</t>
  </si>
  <si>
    <t>이종욱</t>
  </si>
  <si>
    <t>유영철</t>
  </si>
  <si>
    <t>정경애</t>
  </si>
  <si>
    <t>이준근</t>
  </si>
  <si>
    <t>우리산업</t>
  </si>
  <si>
    <t>현창순</t>
  </si>
  <si>
    <t>김상윤</t>
  </si>
  <si>
    <t>기정만</t>
  </si>
  <si>
    <t>박영민</t>
  </si>
  <si>
    <t>이기문</t>
  </si>
  <si>
    <t>공규철</t>
  </si>
  <si>
    <t>최영식</t>
  </si>
  <si>
    <t>정명애</t>
  </si>
  <si>
    <t>서성호</t>
  </si>
  <si>
    <t>조용호</t>
  </si>
  <si>
    <t>김성은</t>
  </si>
  <si>
    <t>박연</t>
  </si>
  <si>
    <t>나윤경</t>
  </si>
  <si>
    <t>이희운</t>
  </si>
  <si>
    <t>권택수</t>
  </si>
  <si>
    <t>정미애</t>
  </si>
  <si>
    <t>조민식</t>
  </si>
  <si>
    <t>성우켐</t>
  </si>
  <si>
    <t>현철</t>
  </si>
  <si>
    <t>김세현</t>
  </si>
  <si>
    <t>이성백</t>
  </si>
  <si>
    <t>심재흥</t>
  </si>
  <si>
    <t>이남오</t>
  </si>
  <si>
    <t>최태섭</t>
  </si>
  <si>
    <t>김인</t>
  </si>
  <si>
    <t>정성애</t>
  </si>
  <si>
    <t>최우인</t>
  </si>
  <si>
    <t>동해화학</t>
  </si>
  <si>
    <t>박종규</t>
  </si>
  <si>
    <t>김정길</t>
  </si>
  <si>
    <t>김재곤</t>
  </si>
  <si>
    <t>백종열</t>
  </si>
  <si>
    <t>이인대</t>
  </si>
  <si>
    <t>정우성</t>
  </si>
  <si>
    <t>한상욱</t>
  </si>
  <si>
    <t>이명수</t>
  </si>
  <si>
    <t>정영애</t>
  </si>
  <si>
    <t>김종서</t>
  </si>
  <si>
    <t>김대경</t>
  </si>
  <si>
    <t>공태훈</t>
  </si>
  <si>
    <t>박상영</t>
  </si>
  <si>
    <t>한상우</t>
  </si>
  <si>
    <t>정우현</t>
  </si>
  <si>
    <t>유사장</t>
  </si>
  <si>
    <t>위스컴</t>
  </si>
  <si>
    <t>김영규</t>
  </si>
  <si>
    <t>정성문</t>
  </si>
  <si>
    <t>김희철</t>
  </si>
  <si>
    <t>신동석</t>
  </si>
  <si>
    <t>방창수</t>
  </si>
  <si>
    <t>정현석</t>
  </si>
  <si>
    <t>황선도</t>
  </si>
  <si>
    <t>김태오</t>
  </si>
  <si>
    <t>김정중</t>
  </si>
  <si>
    <t>김광중</t>
  </si>
  <si>
    <t>정연우</t>
  </si>
  <si>
    <t>나혜원</t>
  </si>
  <si>
    <t>12/9</t>
  </si>
  <si>
    <t>신준식</t>
  </si>
  <si>
    <t>배중한</t>
  </si>
  <si>
    <t>정희애</t>
  </si>
  <si>
    <t>진우화학</t>
  </si>
  <si>
    <t>김한섭</t>
  </si>
  <si>
    <t>김진호</t>
  </si>
  <si>
    <t/>
  </si>
  <si>
    <t>오원만</t>
  </si>
  <si>
    <t>오병운</t>
  </si>
  <si>
    <t>안정모</t>
  </si>
  <si>
    <t>김시철</t>
  </si>
  <si>
    <t>강성직</t>
  </si>
  <si>
    <t>투원켐</t>
  </si>
  <si>
    <t>오종식</t>
  </si>
  <si>
    <t>김기연</t>
  </si>
  <si>
    <t>김윤경</t>
  </si>
  <si>
    <t>진정임</t>
  </si>
  <si>
    <t>배내선</t>
  </si>
  <si>
    <t>김광수</t>
  </si>
  <si>
    <t>정웅찬</t>
  </si>
  <si>
    <t>곽승영</t>
  </si>
  <si>
    <t>코엔펙</t>
  </si>
  <si>
    <t>양만희</t>
  </si>
  <si>
    <t>노소현</t>
  </si>
  <si>
    <t>남정호</t>
  </si>
  <si>
    <t>정창훈</t>
  </si>
  <si>
    <t>김상균</t>
  </si>
  <si>
    <t>윤병천</t>
  </si>
  <si>
    <t>이재영</t>
  </si>
  <si>
    <t>윤희선</t>
  </si>
  <si>
    <t>김대곤</t>
  </si>
  <si>
    <t>조한결</t>
  </si>
  <si>
    <t>유성화학</t>
  </si>
  <si>
    <t>황호진</t>
  </si>
  <si>
    <t>노준철</t>
  </si>
  <si>
    <t>장차장</t>
  </si>
  <si>
    <t>최석무</t>
  </si>
  <si>
    <t>최봉식</t>
  </si>
  <si>
    <t>김인곤</t>
  </si>
  <si>
    <t>이해영</t>
  </si>
  <si>
    <t>동원</t>
  </si>
  <si>
    <t>홍희천</t>
  </si>
  <si>
    <t>민성식</t>
  </si>
  <si>
    <t>김도완</t>
  </si>
  <si>
    <t>김수현</t>
  </si>
  <si>
    <t>김계순</t>
  </si>
  <si>
    <t>최영욱</t>
  </si>
  <si>
    <t>나기엽</t>
  </si>
  <si>
    <t>박인수</t>
  </si>
  <si>
    <t>선영화학</t>
  </si>
  <si>
    <t>김철환</t>
  </si>
  <si>
    <t>박경환</t>
  </si>
  <si>
    <t>백승호</t>
  </si>
  <si>
    <t>한창석</t>
  </si>
  <si>
    <t>배슬기</t>
  </si>
  <si>
    <t>장태준</t>
  </si>
  <si>
    <t>김형준</t>
  </si>
  <si>
    <t>삼진프라</t>
  </si>
  <si>
    <t>김남철</t>
  </si>
  <si>
    <t>조영훈</t>
  </si>
  <si>
    <t>유기탁</t>
  </si>
  <si>
    <t>장현</t>
  </si>
  <si>
    <t>장직현</t>
  </si>
  <si>
    <t>박희갑</t>
  </si>
  <si>
    <t>조문재</t>
  </si>
  <si>
    <t>김선필</t>
  </si>
  <si>
    <t>나유순</t>
  </si>
  <si>
    <t>홍창화</t>
  </si>
  <si>
    <t>홍일</t>
  </si>
  <si>
    <t>박헌홍</t>
  </si>
  <si>
    <t>배윤기</t>
  </si>
  <si>
    <t>석금호</t>
  </si>
  <si>
    <t>원유남</t>
  </si>
  <si>
    <t>나상택</t>
  </si>
  <si>
    <t>현대비니루</t>
  </si>
  <si>
    <t>백종두</t>
  </si>
  <si>
    <t>방정기</t>
  </si>
  <si>
    <t>손석환</t>
  </si>
  <si>
    <t>곽광일</t>
  </si>
  <si>
    <t>김희곤</t>
  </si>
  <si>
    <t>세협</t>
  </si>
  <si>
    <t>송수원</t>
  </si>
  <si>
    <t>안나현</t>
  </si>
  <si>
    <t>김창곤</t>
  </si>
  <si>
    <t>김기형</t>
  </si>
  <si>
    <t>나정옥</t>
  </si>
  <si>
    <t>하정</t>
  </si>
  <si>
    <t>손병화</t>
  </si>
  <si>
    <t>엄태언</t>
  </si>
  <si>
    <t>이영화</t>
  </si>
  <si>
    <t>류맹기</t>
  </si>
  <si>
    <t>나정자</t>
  </si>
  <si>
    <t>김동한</t>
  </si>
  <si>
    <t>명성</t>
  </si>
  <si>
    <t>배상희</t>
  </si>
  <si>
    <t>옥창훈</t>
  </si>
  <si>
    <t>문종일</t>
  </si>
  <si>
    <t>박선경</t>
  </si>
  <si>
    <t>양희용</t>
  </si>
  <si>
    <t>나중현</t>
  </si>
  <si>
    <t>흥환</t>
  </si>
  <si>
    <t>성문용</t>
  </si>
  <si>
    <t>한만규</t>
  </si>
  <si>
    <t>박명식</t>
  </si>
  <si>
    <t>샤인</t>
  </si>
  <si>
    <t>조성호</t>
  </si>
  <si>
    <t>성완석</t>
  </si>
  <si>
    <t>조학형</t>
  </si>
  <si>
    <t>은유진</t>
  </si>
  <si>
    <t>뉴보텍</t>
  </si>
  <si>
    <t>임규영</t>
  </si>
  <si>
    <t>손부근</t>
  </si>
  <si>
    <t>기정욱</t>
  </si>
  <si>
    <t>형은희</t>
  </si>
  <si>
    <t>김한구</t>
  </si>
  <si>
    <t>우종상</t>
  </si>
  <si>
    <t>유영</t>
  </si>
  <si>
    <t>임상종</t>
  </si>
  <si>
    <t>이정일</t>
  </si>
  <si>
    <t>김효태</t>
  </si>
  <si>
    <t>형은기</t>
  </si>
  <si>
    <t>홍원기</t>
  </si>
  <si>
    <t>이재두</t>
  </si>
  <si>
    <t>우진상사</t>
  </si>
  <si>
    <t>서현</t>
  </si>
  <si>
    <t>이정훈</t>
  </si>
  <si>
    <t>이승기</t>
  </si>
  <si>
    <t>진안</t>
  </si>
  <si>
    <t>김용안</t>
  </si>
  <si>
    <t>신흥윤</t>
  </si>
  <si>
    <t>이현경</t>
  </si>
  <si>
    <t>김경징</t>
  </si>
  <si>
    <t>대조</t>
  </si>
  <si>
    <t>염근택</t>
  </si>
  <si>
    <t>심윤식</t>
  </si>
  <si>
    <t>노재동</t>
  </si>
  <si>
    <t>안상일</t>
  </si>
  <si>
    <t>안광윤</t>
  </si>
  <si>
    <t>조덕환</t>
  </si>
  <si>
    <t>럭키화성</t>
  </si>
  <si>
    <t>김용채</t>
  </si>
  <si>
    <t>조용기</t>
  </si>
  <si>
    <t>김춘옥</t>
  </si>
  <si>
    <t>정순애</t>
  </si>
  <si>
    <t>영신</t>
  </si>
  <si>
    <t>김봉환</t>
  </si>
  <si>
    <t>유순남</t>
  </si>
  <si>
    <t>세경</t>
  </si>
  <si>
    <t>이종용</t>
  </si>
  <si>
    <t>안승권</t>
  </si>
  <si>
    <t>최양구</t>
  </si>
  <si>
    <t>구역식구</t>
  </si>
  <si>
    <t>여성구</t>
  </si>
  <si>
    <t>최준연</t>
  </si>
  <si>
    <t>김동준</t>
  </si>
  <si>
    <t>카페</t>
  </si>
  <si>
    <t>최창호</t>
  </si>
  <si>
    <t>권현주</t>
  </si>
  <si>
    <t>김헌성</t>
  </si>
  <si>
    <t>강지영</t>
  </si>
  <si>
    <t>김옥미</t>
  </si>
  <si>
    <t>오기용</t>
  </si>
  <si>
    <t>임금란</t>
  </si>
  <si>
    <t>정영순</t>
  </si>
  <si>
    <t>정진숙</t>
  </si>
  <si>
    <t>윤홍식</t>
  </si>
  <si>
    <t>정동주</t>
  </si>
  <si>
    <t>오충열</t>
  </si>
  <si>
    <t>이  견</t>
  </si>
  <si>
    <t>외숙모</t>
  </si>
  <si>
    <t>서원선</t>
  </si>
  <si>
    <t>서원구</t>
  </si>
  <si>
    <t>이재원</t>
  </si>
  <si>
    <t>이기주</t>
  </si>
  <si>
    <t>김광원</t>
  </si>
  <si>
    <t>서원익</t>
  </si>
  <si>
    <t>이상보</t>
  </si>
  <si>
    <t>서동현</t>
  </si>
  <si>
    <t>서은주</t>
  </si>
  <si>
    <t>서은영</t>
  </si>
  <si>
    <t>서원학</t>
  </si>
  <si>
    <t>유승열</t>
  </si>
  <si>
    <t>이정재</t>
  </si>
  <si>
    <t>정종민</t>
  </si>
  <si>
    <t>서원문</t>
  </si>
  <si>
    <t>임남진</t>
  </si>
  <si>
    <t>임성담</t>
  </si>
  <si>
    <t>정충시</t>
  </si>
  <si>
    <t>정해천</t>
  </si>
  <si>
    <t>조한용</t>
  </si>
  <si>
    <t>최상래</t>
  </si>
  <si>
    <t>최택상</t>
  </si>
  <si>
    <t>한학성</t>
  </si>
  <si>
    <t>허연진</t>
  </si>
  <si>
    <t>홍순용</t>
  </si>
  <si>
    <t>황칠석</t>
  </si>
  <si>
    <t>조왕훈</t>
  </si>
  <si>
    <t>계</t>
  </si>
  <si>
    <t>no</t>
  </si>
  <si>
    <t>구분</t>
  </si>
  <si>
    <t>우편번호</t>
  </si>
  <si>
    <t>주소</t>
  </si>
  <si>
    <t>회사전화</t>
  </si>
  <si>
    <t>휴대전화</t>
  </si>
  <si>
    <t>E-mail</t>
  </si>
  <si>
    <t>150-010</t>
  </si>
  <si>
    <t>서울 영등포구 여의도동 43번지 미원빌딩 5층 1105호</t>
  </si>
  <si>
    <t>02-783-4701</t>
  </si>
  <si>
    <t>011-336-4701</t>
  </si>
  <si>
    <t>김석범(퇴직)</t>
  </si>
  <si>
    <t>121-210</t>
  </si>
  <si>
    <t>서울 마포구 서교동 374-5  7층  삼영무역</t>
  </si>
  <si>
    <t>02-320-4112</t>
  </si>
  <si>
    <t>X</t>
  </si>
  <si>
    <t>555-809</t>
  </si>
  <si>
    <t>전라남도 여수시 학동 205-8번지  ㈜신영</t>
  </si>
  <si>
    <t>061-681-4567</t>
  </si>
  <si>
    <t>011-624-6834</t>
  </si>
  <si>
    <t>137-898</t>
  </si>
  <si>
    <t>서울 서초구 양재동 352-10번지 동림빌딩 4층</t>
  </si>
  <si>
    <t>02-578-1140</t>
  </si>
  <si>
    <t>011-214-1140</t>
  </si>
  <si>
    <t>150-835</t>
  </si>
  <si>
    <t>서울 영등포구 문래동 3가 55-20번지 에이스하이테크시티 2동 1502호</t>
  </si>
  <si>
    <t>02-783-6030</t>
  </si>
  <si>
    <t>010-5683-6031</t>
  </si>
  <si>
    <t>현   철</t>
  </si>
  <si>
    <t>135-816</t>
  </si>
  <si>
    <t>서울 강남구 논현동 60-9 삼화빌딩 301호  성우켐</t>
  </si>
  <si>
    <t>02-3446-8383</t>
  </si>
  <si>
    <t>박종규 회장님</t>
  </si>
  <si>
    <t>150-865</t>
  </si>
  <si>
    <t>서울 영등포구 양평동 4가 DHC빌딩  동해화학㈜</t>
  </si>
  <si>
    <t>02-2634-3612</t>
  </si>
  <si>
    <t>-</t>
  </si>
  <si>
    <t>서   현</t>
  </si>
  <si>
    <t>137-856</t>
  </si>
  <si>
    <t>서울 서초구 서초 4동 1311번지 삼호아파트 1동 102호 우진켐</t>
  </si>
  <si>
    <t>02-595-5883</t>
  </si>
  <si>
    <t>011-340-2936</t>
  </si>
  <si>
    <t>425-100</t>
  </si>
  <si>
    <t>경기도 안산시 목내동 472-6 (주)위스컴</t>
  </si>
  <si>
    <t>010-8986-1181</t>
  </si>
  <si>
    <t>이재풍 (퇴직)</t>
  </si>
  <si>
    <t>150-600</t>
  </si>
  <si>
    <t>서울 영등포구 라이프오피스텔 340호  진우화학</t>
  </si>
  <si>
    <t>010-3905-1258</t>
  </si>
  <si>
    <t>오종식 (부도)</t>
  </si>
  <si>
    <t>138-160</t>
  </si>
  <si>
    <t>서울 송파구 가락동 165 가락래미안 파크팰리스 106동1603호</t>
  </si>
  <si>
    <t>02-548-5200</t>
  </si>
  <si>
    <t>010-2298-2425</t>
  </si>
  <si>
    <t>135-866</t>
  </si>
  <si>
    <t>서울시 강남구 삼성동 78-3 원일빌딩 803호 ㈜세협엔터프라이즈</t>
  </si>
  <si>
    <t>02-548-0669</t>
  </si>
  <si>
    <t>010-5540-0669</t>
  </si>
  <si>
    <t>135-936</t>
  </si>
  <si>
    <t>서울시 강남구 역삼동 830-67 유성빌딩 10층  유성화학</t>
  </si>
  <si>
    <t>02-553-1415</t>
  </si>
  <si>
    <t>010-5221-5669</t>
  </si>
  <si>
    <t>415-854</t>
  </si>
  <si>
    <t>경기도 김포시 대곶면 율생리 563-4 ㈜동원</t>
  </si>
  <si>
    <t>010-3163-4862</t>
  </si>
  <si>
    <t>330-871</t>
  </si>
  <si>
    <t>충남 천안시 동면 구도리 343번지  ㈜선영화학</t>
  </si>
  <si>
    <t>070-7730-6300</t>
  </si>
  <si>
    <t>010-3753-2212</t>
  </si>
  <si>
    <t>487-811</t>
  </si>
  <si>
    <t>경기도 포천군 가산면 가산리 328-7 삼진프라스틱공업㈜</t>
  </si>
  <si>
    <t>031-542-5014</t>
  </si>
  <si>
    <t>011-354-1133</t>
  </si>
  <si>
    <t>158-092</t>
  </si>
  <si>
    <t>서울시 양천구 신월2동 501-14 홍일빌딩 202호 ㈜홍일산업</t>
  </si>
  <si>
    <t>010-5265-2421</t>
  </si>
  <si>
    <t>449-831</t>
  </si>
  <si>
    <t>경기도 용인시 이동면 덕성리 251-4 ㈜케이피텍</t>
  </si>
  <si>
    <t>031-321-4400</t>
  </si>
  <si>
    <t>011-221-2333</t>
  </si>
  <si>
    <t>150-030</t>
  </si>
  <si>
    <t>서울 영등포구 영등포동 729-28  흥한산업</t>
  </si>
  <si>
    <t>02-2637-0611</t>
  </si>
  <si>
    <t>조성호(사업철수)</t>
  </si>
  <si>
    <t>010-8796-6966</t>
  </si>
  <si>
    <t>염근택(부도)</t>
  </si>
  <si>
    <t>609-814</t>
  </si>
  <si>
    <t>부산광역시 금정구 남산동 130-3 영진화성</t>
  </si>
  <si>
    <t>051-582-7211</t>
  </si>
  <si>
    <t>010-5694-7306</t>
  </si>
  <si>
    <t>주소변경으로 이메일 통보</t>
  </si>
  <si>
    <t>051-263-4611</t>
  </si>
  <si>
    <t>011-598-2346</t>
  </si>
  <si>
    <t>138-768</t>
  </si>
  <si>
    <t>서울시 송파구 문정동 150 훼미리APT 217동 701호</t>
  </si>
  <si>
    <t>525-1877</t>
  </si>
  <si>
    <t>010-3808-6042</t>
  </si>
  <si>
    <t>137-130</t>
  </si>
  <si>
    <t>서울 서초구 양재동 7-55 현대빌라 201호</t>
  </si>
  <si>
    <t>576-9772</t>
  </si>
  <si>
    <t>010-3919-2604</t>
  </si>
  <si>
    <t>135-905</t>
  </si>
  <si>
    <t>서울시 강남구 압구정동 현대APT 80동 1401호</t>
  </si>
  <si>
    <t>6294-5909</t>
  </si>
  <si>
    <t>010-2233-5008</t>
  </si>
  <si>
    <t>448-980</t>
  </si>
  <si>
    <t>경기도 용인시 수지읍 성복동 LG1차 아파트 114동 1901호</t>
  </si>
  <si>
    <t>6924-5001,5140</t>
  </si>
  <si>
    <t>010-2232-7093</t>
  </si>
  <si>
    <t>kspark@serveone.co.kr</t>
  </si>
  <si>
    <t>150-876</t>
  </si>
  <si>
    <t>서울시 영등포구 국제금융로 10 국제금융센터 (One IFC), 17층 LG하우시스 창호재, AL영업담당</t>
  </si>
  <si>
    <t>134-760</t>
  </si>
  <si>
    <t>서울 강동구 암사동 한강현대Apt 103동 201호</t>
  </si>
  <si>
    <t>783-2361</t>
  </si>
  <si>
    <t>010-5711-2361</t>
  </si>
  <si>
    <t>158-770</t>
  </si>
  <si>
    <t>서울시 양천구 신정1동 목동APT 1021동 501호</t>
  </si>
  <si>
    <t>3773-3788</t>
  </si>
  <si>
    <t>010-2232-7500</t>
  </si>
  <si>
    <t>136-846</t>
  </si>
  <si>
    <t>서울 성북구 정릉2동 192-272번지</t>
  </si>
  <si>
    <t>783-5670</t>
  </si>
  <si>
    <t>019-370-4980</t>
  </si>
  <si>
    <t>135-785</t>
  </si>
  <si>
    <t>서울시 강남구 압구정동 408번지 미성APT 23동 802호</t>
  </si>
  <si>
    <t>019-424-2336</t>
  </si>
  <si>
    <t>448-534</t>
  </si>
  <si>
    <t>경기도  용인시 신봉동 LG자이 2차 APT 217동 1802호</t>
  </si>
  <si>
    <t>528-4073</t>
  </si>
  <si>
    <t>010-8365-8589</t>
  </si>
  <si>
    <t>경기도  용인시 성복동 155번지 LG빌리지 1차APT 114동 1003호</t>
  </si>
  <si>
    <t>523-2854</t>
  </si>
  <si>
    <t>019-259-9771</t>
  </si>
  <si>
    <t>경기도 용인시 성복동 엘지 빌리지 1차 115동 1602호</t>
  </si>
  <si>
    <t>031-717-5562</t>
  </si>
  <si>
    <t>010-5296-8646</t>
  </si>
  <si>
    <t>sdoh777@yahoo.co.kr</t>
  </si>
  <si>
    <t>135-507</t>
  </si>
  <si>
    <t>서울 강남구 삼성2동 롯데캐슬 프레미어 106동 104호</t>
  </si>
  <si>
    <t>3775-0130</t>
  </si>
  <si>
    <t>010-8251-2460</t>
  </si>
  <si>
    <t>pkeboblee@hanmir.com</t>
  </si>
  <si>
    <t>143-751</t>
  </si>
  <si>
    <t>서울 광진구 광장동 218-1 광장극동A 2동 704호</t>
  </si>
  <si>
    <t>02-735-4602</t>
  </si>
  <si>
    <t>sklee4646@empal.com</t>
  </si>
  <si>
    <t>경기도 용인시 수지읍 성복리 LG수지 빌리지1차 114동 1001호</t>
  </si>
  <si>
    <t>010-8291-5594</t>
  </si>
  <si>
    <t>skleeX41@naver.com</t>
  </si>
  <si>
    <t>135-971</t>
  </si>
  <si>
    <t>서울 강남구 도곡동 467-6 대림   아크로빌 A동 1104호</t>
  </si>
  <si>
    <t>019-9149-7701</t>
  </si>
  <si>
    <t>121-865</t>
  </si>
  <si>
    <t>서울시 마포구 연남동 245-51</t>
  </si>
  <si>
    <t>019-230-4001</t>
  </si>
  <si>
    <t>135-836</t>
  </si>
  <si>
    <t>서울시 강남구 대치1동 선경아파트 3동 1408호</t>
  </si>
  <si>
    <t>3446-6030</t>
  </si>
  <si>
    <t>138-051</t>
  </si>
  <si>
    <t>서울시 송파구 방이동 177-4 한솔빌라트 1301호</t>
  </si>
  <si>
    <t>525-3291~3</t>
  </si>
  <si>
    <t>010-2232-0700</t>
  </si>
  <si>
    <t>mjcho0424@hanmail.net</t>
  </si>
  <si>
    <t>158-821</t>
  </si>
  <si>
    <t>서울시 양천구 목1동 936번지 진도 APT 201동210호</t>
  </si>
  <si>
    <t>02-2040-3140</t>
  </si>
  <si>
    <t>010-9231-7019</t>
  </si>
  <si>
    <t>csw10110@hotmail.com</t>
  </si>
  <si>
    <t>주소가 바뀜. 이메일로 재통보</t>
  </si>
  <si>
    <t>3412-4060</t>
  </si>
  <si>
    <t>140-050</t>
  </si>
  <si>
    <t>서울 용산구 청암동 181 청암자이 103-601호</t>
  </si>
  <si>
    <t>783-9972</t>
  </si>
  <si>
    <t>010-2438-2003</t>
  </si>
  <si>
    <t>158-755</t>
  </si>
  <si>
    <t>서울 양천구 목동 5단지 529동 705호</t>
  </si>
  <si>
    <t>010-2232-7026</t>
  </si>
  <si>
    <t>hong@gpcompany.net</t>
  </si>
  <si>
    <t>138-797</t>
  </si>
  <si>
    <t>서울 송파구 잠실7동 아시아선수촌아파트 16동 1501호</t>
  </si>
  <si>
    <t>1-770-324-4289</t>
  </si>
  <si>
    <t>410-715</t>
  </si>
  <si>
    <t>경기도 고양시 일산 동구 마두동 757 강촌마을 동아@ 113-202</t>
  </si>
  <si>
    <t>3773-7484</t>
  </si>
  <si>
    <t>010-2232-7103</t>
  </si>
  <si>
    <t>jhhongb@lgchem.com</t>
  </si>
  <si>
    <t>158-761</t>
  </si>
  <si>
    <t>서울 양천구 목동 917 목동파라곤 105-202</t>
  </si>
  <si>
    <t>3773-7366</t>
  </si>
  <si>
    <t>010-2217-9804</t>
  </si>
  <si>
    <t>mhyoonb@lgchem.com</t>
  </si>
  <si>
    <t>100-273</t>
  </si>
  <si>
    <t>서울 중구 필동3가 62-16 미주맨션 301호</t>
  </si>
  <si>
    <t>158-724</t>
  </si>
  <si>
    <t>서울 양천구 목1동 916 현대하이페리온 102-3406</t>
  </si>
  <si>
    <t>415-774</t>
  </si>
  <si>
    <t>경기도  김포시 장기동 청송마을 현대홈타운 208-1402</t>
  </si>
  <si>
    <t>135-838</t>
  </si>
  <si>
    <t>서울 강남구 대치1동 동부센트레빌 102-2203</t>
  </si>
  <si>
    <t>138-917</t>
  </si>
  <si>
    <t>서울 송파구 잠실3동 주공아파트 517-807</t>
  </si>
  <si>
    <t>서울 양천구 목동 신시가지아파트 530-1302</t>
  </si>
  <si>
    <t>463-926</t>
  </si>
  <si>
    <t>경기도 성남시 분당구 야탑동 탑마을 대우아파트 211-702</t>
  </si>
  <si>
    <t>경기도 김포시 장기동 우남퍼스트빌 514-1301</t>
  </si>
  <si>
    <t>302-771</t>
  </si>
  <si>
    <t>대전시 서구 둔산1동 목련아파트 304-1107</t>
  </si>
  <si>
    <t>422-756</t>
  </si>
  <si>
    <t>경기도 부천시 소사구 범박동 현대홈타운 606-2201</t>
  </si>
  <si>
    <t>서울 양천구 목5동 목동5단지 511-1004</t>
  </si>
  <si>
    <t>서울 서초구 잠원동 한신훼밀리아파트 3-1301 손상백님댁</t>
  </si>
  <si>
    <t>137-764</t>
  </si>
  <si>
    <t>서울 서초구 반포동 18-1 래미안퍼스티지 115-1603</t>
  </si>
  <si>
    <t>135-946</t>
  </si>
  <si>
    <t>서울 강남구 일원2동 615-1 한신아파트 102-1002</t>
  </si>
  <si>
    <t>135-955</t>
  </si>
  <si>
    <t>서울 강남구 청담1동 110-13 대우멤버스카운티 10차 303호</t>
  </si>
  <si>
    <t>410-708</t>
  </si>
  <si>
    <t>경기도 고양시 일산구 마두동 백마마을 극동아파트 213-901</t>
  </si>
  <si>
    <t>서울 강남구 압구정동 397번지 미성아파트 2차 26-1505</t>
  </si>
  <si>
    <t>121-767</t>
  </si>
  <si>
    <t>서울 마포구 염리동 521 마포자이아파트 104-701</t>
  </si>
  <si>
    <t>133-070</t>
  </si>
  <si>
    <t>서울 성동구 행당로 82 행당한진타운 121-1204</t>
  </si>
  <si>
    <t>서울 강남구 삼성2동 14-1 중앙하이츠빌리지 102-403</t>
  </si>
  <si>
    <t>서울 강남구 대치동 동부 센트레빌 아파트 104-1803</t>
  </si>
  <si>
    <t>158-072</t>
  </si>
  <si>
    <t>서울 양천구 신정2동 1279 목동 현대3차아파트 104-603</t>
  </si>
  <si>
    <t>138-767</t>
  </si>
  <si>
    <t>서울 송파구 문정2동 150 훼미리아파트 224-401</t>
  </si>
  <si>
    <t>150-771</t>
  </si>
  <si>
    <t>서울 영등포구 당산동5가 11-1삼성래미안아파트 403-301</t>
  </si>
  <si>
    <t>135-859</t>
  </si>
  <si>
    <t>서울 강남구 도곡동 933 쌍용예가 102-501</t>
  </si>
  <si>
    <t>137-950</t>
  </si>
  <si>
    <t>서울 서초구 잠원동 신반포한신아파트 302-807</t>
  </si>
  <si>
    <t>서울 마포구 염리동 LG마포자이아파트 104-1802</t>
  </si>
  <si>
    <t>121-852</t>
  </si>
  <si>
    <t>서울 마포구 백범로 212 대우월드마트 101-1403</t>
  </si>
  <si>
    <t>137-841</t>
  </si>
  <si>
    <t>서울 서초구 방배1동 899-16 브라운스톤아파트 101-702</t>
  </si>
  <si>
    <t>135-898</t>
  </si>
  <si>
    <t>서울 강남구 압구정1동 369-1 현대아파트 12-1501</t>
  </si>
  <si>
    <t>156-772</t>
  </si>
  <si>
    <t>서울 동작구 사당2동 사당 극동아파트 109-701</t>
  </si>
  <si>
    <t>411-806</t>
  </si>
  <si>
    <t>경기도 고양시 일산서구 대화동 2259-11 2F</t>
  </si>
  <si>
    <t>150-893</t>
  </si>
  <si>
    <t>서울 영등포구 여의도동 47 GS자이 301-1701</t>
  </si>
  <si>
    <t>156-711</t>
  </si>
  <si>
    <t>서울 동작구 신대방2동 395-67 롯데타워아파트 2502호</t>
  </si>
  <si>
    <t>135-865</t>
  </si>
  <si>
    <t>서울 강남구 삼성동진흥아파트 1-1503</t>
  </si>
  <si>
    <t>135-872</t>
  </si>
  <si>
    <t>서울 강남구 삼성동 98-18 대우멤버스카운티 1차 101-201</t>
  </si>
  <si>
    <t>137-767</t>
  </si>
  <si>
    <t>서울 서초구 반포2동 한신1차아파트 12-105</t>
  </si>
  <si>
    <t>152-710</t>
  </si>
  <si>
    <t>서울시 구로구 구로동 611-26  오퍼스빌딩 625호</t>
  </si>
  <si>
    <t>121-718</t>
  </si>
  <si>
    <t>서울시 마포구 공덕동 404 풍림빌딩 1720호</t>
  </si>
  <si>
    <t>010-8155-3445</t>
  </si>
  <si>
    <t>135-856</t>
  </si>
  <si>
    <t>서울시 강남구 도곡동 467-6번지 대림아크로텔 C동 2009호</t>
  </si>
  <si>
    <t>135-884</t>
  </si>
  <si>
    <t>서울 강남구 수서동 한아름아파트 103동 103호</t>
  </si>
  <si>
    <t>431-061</t>
  </si>
  <si>
    <t>경기도 안양시 동안구 관양동 1594 아크로펠리스 1312호</t>
  </si>
  <si>
    <t>138-796</t>
  </si>
  <si>
    <t>서울 송파구 신천동 7번지 장미아파트 12동 806호</t>
  </si>
  <si>
    <t>121-020</t>
  </si>
  <si>
    <t>서울시 마포구 공덕동 풍림오피스텔 1211호</t>
  </si>
  <si>
    <t>김교찬</t>
  </si>
  <si>
    <t>135-834</t>
  </si>
  <si>
    <t>서울 강남구 대치2동 66번지 쌍용아파트 2동 505호</t>
  </si>
  <si>
    <t>010 2232 7413</t>
  </si>
  <si>
    <t>121-736</t>
  </si>
  <si>
    <t>서울시 마포구 마포동 136-1 한신빌딩 601호</t>
  </si>
  <si>
    <t>135-993</t>
  </si>
  <si>
    <t>서울 강남구 개포동 주공아파트 703동 702호</t>
  </si>
  <si>
    <t>한상룡</t>
  </si>
  <si>
    <t>서울 마포구 공덕동 풍림빌딩 825호</t>
  </si>
  <si>
    <t>김원진</t>
  </si>
  <si>
    <t>140-210</t>
  </si>
  <si>
    <t>서울 용산구 한남동 리버탑아파트 101동 802호</t>
  </si>
  <si>
    <t>135-880</t>
  </si>
  <si>
    <t>서울시 강남구 삼성동 157-8, LG트윈텔 1차 1601호</t>
  </si>
  <si>
    <t>박재민</t>
  </si>
  <si>
    <t>150-881</t>
  </si>
  <si>
    <t>서울시 영등포구 여의도동 28-3 여의도 파크센터 A동 2701호</t>
  </si>
  <si>
    <t>서기랑</t>
  </si>
  <si>
    <t>121-784</t>
  </si>
  <si>
    <t>서울시 마포구 도화동 트라펠리스 B동 2811호</t>
  </si>
  <si>
    <t>장용우</t>
  </si>
  <si>
    <t>서울시 양천구 목동 파라곤 105-1302</t>
  </si>
  <si>
    <t>121-748</t>
  </si>
  <si>
    <t>서울시 마포구 도화동 553 마스터즈타워 1110호</t>
  </si>
  <si>
    <t>019-316-5294</t>
  </si>
  <si>
    <t>156-709</t>
  </si>
  <si>
    <t>서울시 동작구 신대방동 370-1 도연관빌딩 15층 율촌화학주식회사</t>
  </si>
  <si>
    <t>010-8706-8222</t>
  </si>
  <si>
    <t>서울 동작구 사당동 1134번지 대아아파트 101동 903호</t>
  </si>
  <si>
    <t>02 548 1009</t>
  </si>
  <si>
    <t>016 718 9249</t>
  </si>
  <si>
    <t>베트남주재</t>
  </si>
  <si>
    <t>135-080</t>
  </si>
  <si>
    <t>서울시 강남구 역삼동 716-1 개나리SK뷰아파트 503동 2201호</t>
  </si>
  <si>
    <t>010-8121-6290</t>
  </si>
  <si>
    <t>150-733</t>
  </si>
  <si>
    <t>서울시 영등포구 여의도동 43 미원빌딩 506호</t>
  </si>
  <si>
    <t>010-5640-7310</t>
  </si>
  <si>
    <t>서울시 마포구 공덕동 404 풍림빌딩 1509호</t>
  </si>
  <si>
    <t>010-2370-7953</t>
  </si>
  <si>
    <t>중국북경</t>
  </si>
  <si>
    <t>361-271</t>
  </si>
  <si>
    <t>충북 청주시 흥덕구 복대동 3379 신영지웰시티 101동 3005호</t>
  </si>
  <si>
    <t>010 5752 1040</t>
  </si>
  <si>
    <t>156-736</t>
  </si>
  <si>
    <t>서울 동작구 신대방2동 395-73 캐릭터그린빌 2301호</t>
  </si>
  <si>
    <t>010-8232-7406</t>
  </si>
  <si>
    <t>357-907</t>
  </si>
  <si>
    <t>충남 태안군 태안읍 삭선리 1018-1 대진산업</t>
  </si>
  <si>
    <t>010-6752-0731</t>
  </si>
  <si>
    <t>706-952</t>
  </si>
  <si>
    <t>대구광역시 수성구 만천1동 2단지아파트 메트로팔레스 206-403</t>
  </si>
  <si>
    <t>152-747</t>
  </si>
  <si>
    <t>서울시 구로구 신도림동 신도림2차 푸르지오아파트 202-1402</t>
  </si>
  <si>
    <t>150-721</t>
  </si>
  <si>
    <t>서울 영등포구 여의도동 20 LG트윈타워 동관24층 LG화학</t>
  </si>
  <si>
    <t>서울 영등포구 여의도동 20 LG트윈타워 동관23층 LG화학 석유화학사업본부</t>
  </si>
  <si>
    <t>서울 영등포구 여의도동 20 LG트윈타워 동관23층LG화학  NCC/PO사업부</t>
  </si>
  <si>
    <t>서울 영등포구 여의도동 20 LG트윈타워 동관24층 LG화학 LG KAZAK</t>
  </si>
  <si>
    <t>서울 영등포구 여의도동 20 LG트윈타워 동관25층LG화학 PVC사업부</t>
  </si>
  <si>
    <t>서울 영등포구 여의도동 20 LG트윈타워 동관25층 LG화학 ABS/EP사업부</t>
  </si>
  <si>
    <t>서울 영등포구 여의도동 20 LG트윈타워 동관26층 LG화학 소형전지사업부</t>
  </si>
  <si>
    <t>서울 영등포구 여의도동 20 LG트윈타워 동관10층 LG화학 자동차전지.마케팅2담당</t>
  </si>
  <si>
    <t>서울 영등포구 국제금융로 10 국제금융빌딩(One IFC) 14F LG화학</t>
  </si>
  <si>
    <t>서울 영등포구 여의도동 20 LG트윈타워 동관26층 LG화학 전자재료사업부</t>
  </si>
  <si>
    <t>413-811</t>
  </si>
  <si>
    <t>경기도 파주시 월롱면 능산리 658 LG화학 파주공장</t>
  </si>
  <si>
    <t>305-738</t>
  </si>
  <si>
    <t>대전광역시 유성구 문지동 LG화학기술연구원</t>
  </si>
  <si>
    <t>356-715</t>
  </si>
  <si>
    <t>충남 서산시 대산읍 대죽리 679 LG화학 대산공장</t>
  </si>
  <si>
    <t>서울 영등포구 여의도동 20 LG트윈타워 동관22층 LG화학</t>
  </si>
  <si>
    <t>서울 영등포구 여의도동 20 LG트윈타워 동관22층 LG생명과학</t>
  </si>
  <si>
    <t>서울 영등포구 여의도동 20 LG트윈타워 동관 LG화학 경리담당</t>
  </si>
  <si>
    <t>서울 영등포구 여의도동 20 LG트윈타워 동관24층 LG화학 경영기획담당</t>
  </si>
  <si>
    <t>서울 영등포구 여의도동 20, LG트윈타워 동관 ㈜LG 정도경영TFT</t>
  </si>
  <si>
    <t>서울 영등포구 여의도동 20 LG트윈타워 동관25층 LG화학 CHO</t>
  </si>
  <si>
    <t>서울 영등포구 여의도동 20 LG트윈타워 동관25층 LG화학 인사담당</t>
  </si>
  <si>
    <t>서울 영등포구 여의도동 20 LG트윈타워 동관22층 LG화학 인재개발담당</t>
  </si>
  <si>
    <t>서울 영등포구 여의도동 20 LG트윈타워 동관22층 LG화학 석유화학.경영진단담당</t>
  </si>
  <si>
    <t>남   철</t>
  </si>
  <si>
    <t>서울 영등포구 여의도동 20 LG트윈타워 동관 LG화학 석유화학.신사업개발담당</t>
  </si>
  <si>
    <t>서울 영등포구 국제금융로 10 국제금융빌딩(One IFC) 27F LG MMA</t>
  </si>
  <si>
    <t>서울 영등포구 여의도동 20 LG트윈타워 동관23층 LG화학 석유화학.구매담당</t>
  </si>
  <si>
    <t>서울 영등포구 여의도동 20 LG트윈타워 동관22층 LG화학 정보전략담당</t>
  </si>
  <si>
    <t>서울 영등포구 여의도동 20 LG트윈타워 동관23층 LG화학 석유화학.경영전략담당</t>
  </si>
  <si>
    <t>서울 영등포구 여의도동 20 LG트윈타워 동관25층 LG화학 PVC영업1팀</t>
  </si>
  <si>
    <t>서울 영등포구 여의도동 20 LG트윈타워 동관25층 LG화학 PVC영업담당</t>
  </si>
  <si>
    <t>서울 영등포구 여의도동 20 LG트윈타워 동관25층 LG화학 ABS/EP.혁신팀</t>
  </si>
  <si>
    <t>서울 영등포구 여의도동 20 LG트윈타워 동관23층LG화학  NCC/PO.특수영업1팀</t>
  </si>
  <si>
    <t>서울 영등포구 여의도동 20 LG트윈타워 동관25층 LG화학 PVC.S/T해외영업팀</t>
  </si>
  <si>
    <t>이상연</t>
  </si>
  <si>
    <t>520-711</t>
  </si>
  <si>
    <t>전남 나주시 송월동1번지 LG화학 나주공장 공장장</t>
  </si>
  <si>
    <t>555-718</t>
  </si>
  <si>
    <t>전남 여수시 여수산단2로 55 LG화학 여수공장 PVC.PVC공장장</t>
  </si>
  <si>
    <t>서울 영등포구 여의도동 20 LG트윈타워 동관 LG화학 아크릴/가소제.아크릴레이트영업팀</t>
  </si>
  <si>
    <t>363-911</t>
  </si>
  <si>
    <t>충북 청원군 옥산면 남촌리 1114-1 LG화학 오창1공장 소형전지.Pack개발담당</t>
  </si>
  <si>
    <t>서울 영등포구 여의도동 20 LG트윈타워 동관 LG화학 금융팀</t>
  </si>
  <si>
    <t>서울 영등포구 여의도동 20 LG트윈타워 동관24층 홍보팀</t>
  </si>
  <si>
    <t>경기도 파주시 월롱면 능산리 658 LG화학 파주공장 LCD유리.기획팀</t>
  </si>
  <si>
    <t>서울 영등포구 여의도동 20 LG트윈타워</t>
  </si>
  <si>
    <t>서울 영등포구 여의도동 20 LG트윈타워 동관21층 LG화학 회계관리팀</t>
  </si>
  <si>
    <t>서울 영등포구 여의도동 20 LG트윈타워 동관25층 LG화학 PVC.P/T영업팀</t>
  </si>
  <si>
    <t>614-860</t>
  </si>
  <si>
    <t>부산 진구 연지동 353-5 LG싸이언스홀6층 LG화학 PVC.영업2팀(영남영업소)</t>
  </si>
  <si>
    <t>서울 영등포구 여의도동 20 LG트윈타워 동관25층 LG화학 PVC영업2팀</t>
  </si>
  <si>
    <t>서울 영등포구 여의도동 20 LG트윈타워 동관21층 LG화학 아크릴/가소제.가소제영업팀</t>
  </si>
  <si>
    <t>서울 영등포구 여의도동 20 LG트윈타워 동관21층 LG화학 아크릴/가소제.알콜영업팀</t>
  </si>
  <si>
    <t>서울 영등포구 여의도동 20 LG트윈타워 동관20층 LG화학 아크릴/가소제사업부</t>
  </si>
  <si>
    <t>서울 영등포구 국제금융로 10 국제금융빌딩(One IFC) 14F 광학소재사업부</t>
  </si>
  <si>
    <t>서울 영등포구 여의도동 20 LG트윈타워 동관21층 LG화학 아크릴/가소제.마케팅팀</t>
  </si>
  <si>
    <t>서울 영등포구 여의도동 20 LG트윈타워 동관23층 LG화학 석유화학.구매기획팀</t>
  </si>
  <si>
    <t>서울 영등포구 여의도동 20 LG트윈타워 동관25층 LG화학 PVC기획팀</t>
  </si>
  <si>
    <t>서울 영등포구 여의도동 20 LG트윈타워 동관27층 LG화학 전지.경영진단팀</t>
  </si>
  <si>
    <t>서울 영등포구 여의도동 20 LG트윈타워 동관23층 LG화학 석유화학.경영지원팀</t>
  </si>
  <si>
    <t>서울 영등포구 여의도동 20 LG트윈타워 동관21층 LG화학 PVC.혁신TFT</t>
  </si>
  <si>
    <t>서울 영등포구 여의도동 20 LG트윈타워 동관22층 LG화학 재무회계팀</t>
  </si>
  <si>
    <t>서울 영등포구 여의도동 20 LG트윈타워 동관24층 LG화학 ABS/EP중국팀</t>
  </si>
  <si>
    <t>서울 영등포구 여의도동 20 LG트윈타워 동관24층 LG화학 ABS/EP신소재시장개척팀</t>
  </si>
  <si>
    <t>서울 영등포구 여의도동 20 LG트윈타워 동관21층 LG화학 아크릴/가소제.점착제/유동화제영업팀</t>
  </si>
  <si>
    <t>서울 영등포구 여의도동 20 LG트윈타워 동관21층 LG화학 아크릴/가소제.NPG/IPA영업팀</t>
  </si>
  <si>
    <t>대전광역시 유성구 장동 84 LG화학 TECH센터 기획팀</t>
  </si>
  <si>
    <t>대전광역시 유성구 장동 84 LG화학  TECH센터 IT/OA팀</t>
  </si>
  <si>
    <t>대전광역시 유성구 장동 84 LG화학 TECH센터 고무/특수수지팀</t>
  </si>
  <si>
    <t>570-350</t>
  </si>
  <si>
    <t>전북 익산시 용제동 599 LG화학 익산공장 ABS/EP.익산.COLOR DESIGN팀</t>
  </si>
  <si>
    <t>서울 영등포구 여의도동 20 LG트윈타워 동관20층 LG화학 고무/특수수지.SBS영업팀</t>
  </si>
  <si>
    <t>퇴사?</t>
  </si>
  <si>
    <t>서울 영등포구 여의도동 20 LG트윈타워 동관22층 LG화학 조직문화팀</t>
  </si>
  <si>
    <t>전남 여수시 여수산단2로 55 LG화학 여수공장 석유화학.여수.경영지원팀</t>
  </si>
  <si>
    <t>서울 영등포구 여의도동 20 LG트윈타워 동관22층 LG화학 법무팀</t>
  </si>
  <si>
    <t>전남 여수시 여수산단2로 55 LG화학 여수공장 PVC.여수.VCM공정기술팀</t>
  </si>
  <si>
    <t>전남 여수시 여수산단2로 55 LG화학 여수공장 PVC.혁신TFT(PVC공정기술팀)</t>
  </si>
  <si>
    <t>재남경</t>
  </si>
  <si>
    <t>361-721</t>
  </si>
  <si>
    <t>충북 청주시 홍덕구 송정동 150 LG화학 청주공장 IT FILM.QA팀</t>
  </si>
  <si>
    <t>전북 익산시 용제동 599 LG화학 익산공장 공장장</t>
  </si>
  <si>
    <t>서울 영등포구 여의도동 20 LG트윈타워 동관22층 LG화학 회계관리팀</t>
  </si>
  <si>
    <t>대전광역시 유성구 장동 84 LG화학 TECH센터 PVC팀</t>
  </si>
  <si>
    <t>동기회</t>
  </si>
  <si>
    <t>464-788</t>
  </si>
  <si>
    <t>경기도 광주시 초월읍 쌍동리 392 동광아파트 104동 805호</t>
  </si>
  <si>
    <t>청첩장기전달완료</t>
  </si>
  <si>
    <t>156-732</t>
  </si>
  <si>
    <t>서울시 동작구 상도동 431,래미안 상도 3차아파트 325동 105호</t>
  </si>
  <si>
    <t>442-832</t>
  </si>
  <si>
    <t>경기도 수원시 팔달구 인계동 944-2 평은빌딩 307호 ㈜대영화학</t>
  </si>
  <si>
    <t>151-775</t>
  </si>
  <si>
    <t>서울시 관악구 행운동 우성아파트 104동 2202호</t>
  </si>
  <si>
    <t>555-290</t>
  </si>
  <si>
    <t>전남 여수시 월하동 769번지 (주)지수물류</t>
  </si>
  <si>
    <t>중국광주</t>
  </si>
  <si>
    <t>150-988</t>
  </si>
  <si>
    <t>서울 영등포구 영등포동 7가 94-46 제일빌딩 13층  ㈜새한화학</t>
  </si>
  <si>
    <t>139-918</t>
  </si>
  <si>
    <t>서울 노원구 중계1동 롯데아파트 109-601</t>
  </si>
  <si>
    <t>하우시스</t>
  </si>
  <si>
    <t>충북 청원군 옥산면 남촌리 314-1 LG화학 오창공장 광학2동 포인트텍</t>
  </si>
  <si>
    <t>서울시 영등포구 국제금융로 10 국제금융센터 (One IFC), 17층 LG하우시스 창호재 사업부장</t>
  </si>
  <si>
    <t>서울시 영등포구 국제금융로 10 국제금융센터 (One IFC), 17층 LG하우시스 창호재 영업담당</t>
  </si>
  <si>
    <t>138-240</t>
  </si>
  <si>
    <t>서울시 송파구 잠실6동 잠실장미아파트 24-1405호</t>
  </si>
  <si>
    <t>재프랑크푸르트</t>
  </si>
  <si>
    <t>010 2488 2220</t>
  </si>
  <si>
    <t>서울시 영등포구 국제금융로 10 국제금융센터 (One IFC), 19층 LG하우시스 대표이사</t>
  </si>
  <si>
    <t>서울시 영등포구 국제금융로 10 국제금융센터 (One IFC), 18층 LG하우시스 소재부품 사업부장</t>
  </si>
  <si>
    <t>중국상해</t>
  </si>
  <si>
    <t>689-901</t>
  </si>
  <si>
    <t>경남 울산시 울주군 온양급 망양리 388, LG하우시스 울산공장 인사팀장</t>
  </si>
  <si>
    <t>서울시 영등포구 국제금융로 10 국제금융센터 (One IFC), 16층 LG하우시스 장식재 벽지/마루팀장</t>
  </si>
  <si>
    <t>경남 울산시 울주군 온양급 망양리 388, LG하우시스 울산공장 관리담당</t>
  </si>
  <si>
    <t>김진형/홍콩법인장상사</t>
  </si>
  <si>
    <t>019 233 5099</t>
  </si>
  <si>
    <t>135-776</t>
  </si>
  <si>
    <t>서울 강남구 대치동 66번지 쌍용아파트 1동 701호</t>
  </si>
  <si>
    <t>서울 마포구 도화동 553번지 마스터즈타워 2303호</t>
  </si>
  <si>
    <t>011 310 7324</t>
  </si>
  <si>
    <t>330-080</t>
  </si>
  <si>
    <t>충남 천안시 동남구 구룡동 374-2 해태음료/천안공장(공장장)</t>
  </si>
  <si>
    <t>110-783</t>
  </si>
  <si>
    <t>서울 종로구 신문로2가 92 LG광화문빌딩 14층 해태음료/재경팀(팀장)</t>
  </si>
  <si>
    <t>서울 영등포구 여의도동 LG트윈타워 동관 33층 LG경영개발원/수석연구위원</t>
  </si>
  <si>
    <t>아내직접전달</t>
  </si>
  <si>
    <t>133-844</t>
  </si>
  <si>
    <t>서울 성동구 옥수동 478-1 모닝빌 501호</t>
  </si>
  <si>
    <t>135-950</t>
  </si>
  <si>
    <t>서울특별시 강남구 청담동 31-11 보담6층</t>
  </si>
  <si>
    <t>박   연</t>
  </si>
  <si>
    <t>135-896</t>
  </si>
  <si>
    <t>서울특별시 강남구 신사동 637-1번지 LG패션 동관6층</t>
  </si>
  <si>
    <t>서울특별시 강남구 신사동 637-3번지 별관3층</t>
  </si>
  <si>
    <t>135-894</t>
  </si>
  <si>
    <t>서울특별시 강남구 신사동 617-3번지 LG패션 서관4층</t>
  </si>
  <si>
    <t>장효우</t>
  </si>
  <si>
    <t>서울특별시 강남구 신사동 618-3번지  뉴서울빌딩9층 라푸마사업부</t>
  </si>
  <si>
    <t>김도형</t>
  </si>
  <si>
    <t>제자반</t>
  </si>
  <si>
    <t>440-810</t>
  </si>
  <si>
    <t>경기도 용인시 처인구 포곡읍 포곡로 138번지 삼보노벨리앙 103동 201호</t>
  </si>
  <si>
    <t>011 216 9937</t>
  </si>
  <si>
    <t>463-838</t>
  </si>
  <si>
    <t>경기도 성남시 분당구 수내동 33-2 궁전프라자 303호</t>
  </si>
  <si>
    <t>011 894 4354</t>
  </si>
  <si>
    <t>21C</t>
  </si>
  <si>
    <t>중국 북경</t>
  </si>
  <si>
    <t>서울직접전달</t>
  </si>
  <si>
    <t>137-881</t>
  </si>
  <si>
    <t>서울 서초구 서초동 1674-4 하림빌딩6층 현대해상자동차손해사정㈜</t>
  </si>
  <si>
    <t>010 9527 8007</t>
  </si>
  <si>
    <t>1월5일 장남결혼식 14일차남</t>
  </si>
  <si>
    <t>두루빛</t>
  </si>
  <si>
    <t>중국천진</t>
  </si>
  <si>
    <t>456-824</t>
  </si>
  <si>
    <t>경기도 안성시 공도읍 웅교리 192 진보정밀㈜</t>
  </si>
  <si>
    <t>서울</t>
  </si>
  <si>
    <t>150-040</t>
  </si>
  <si>
    <t>서울 영등포구 당산동4가 95 금호어울림아파트 103동 401호</t>
  </si>
  <si>
    <t>426-729</t>
  </si>
  <si>
    <t>경기도 안산시 상록구 본오2동 871 신안아파트 103동 1502호</t>
  </si>
  <si>
    <t>?</t>
  </si>
  <si>
    <t>137-846</t>
  </si>
  <si>
    <t>서울 서초구 방배2동 968-25 한신빌라 301호</t>
  </si>
  <si>
    <t>광주광역시 북구 일곡동 삼호아파트 102-303</t>
  </si>
  <si>
    <t>435-754</t>
  </si>
  <si>
    <t>경기도 군포시 수리동 한양㉵823동 1603호</t>
  </si>
  <si>
    <t>정우현(순애)</t>
  </si>
  <si>
    <t>423-063</t>
  </si>
  <si>
    <t>경기도 광명시 하안3동 하안주공10단지 1005동 401호</t>
  </si>
  <si>
    <t>010 7196 9641</t>
  </si>
  <si>
    <t>449-821</t>
  </si>
  <si>
    <t>경기도 용인시 처인구 양지면 남곡리 140-1</t>
  </si>
  <si>
    <t>561-810</t>
  </si>
  <si>
    <t>전북 전주시 덕진구 덕진동1가 1277-4 또마하우스</t>
  </si>
  <si>
    <t>010 4041 1808</t>
  </si>
  <si>
    <t>sang7847@hanmail.net</t>
  </si>
  <si>
    <t>151-763</t>
  </si>
  <si>
    <t>서울 관악구 성현동 일두(아) 4동 202호</t>
  </si>
  <si>
    <t>139-786</t>
  </si>
  <si>
    <t>서울 노원구 중계3동 무지개(아) 208동 505호</t>
  </si>
  <si>
    <t>딸 경희 아들 훈</t>
  </si>
  <si>
    <t>561-786</t>
  </si>
  <si>
    <t>전북 전주시 덕진구 호성동 주공(아) 212동 1503호</t>
  </si>
  <si>
    <t>590-983</t>
  </si>
  <si>
    <t>전북 남원시 도통동 250</t>
  </si>
  <si>
    <t>전북 전주시 덕진구 호성동 주공(아) 217동1303호</t>
  </si>
  <si>
    <t>560-784</t>
  </si>
  <si>
    <t>전북 전주시 완산구 삼천동 1가 주공4단지 401동 506호</t>
  </si>
  <si>
    <t>561-782</t>
  </si>
  <si>
    <t>전북 전주시 덕진구 진북동  동국해성(아) 103동 1206호</t>
  </si>
  <si>
    <t>561-320</t>
  </si>
  <si>
    <t>전주시 덕진구 쪽구름2길22(동산동685) 우석고등학교</t>
  </si>
  <si>
    <t>140-190</t>
  </si>
  <si>
    <t>서울 용산구 후암동 남산브라운스톤 104동 502호</t>
  </si>
  <si>
    <t>500-870</t>
  </si>
  <si>
    <t>전남 광주광역시 북구 임동 194-33</t>
  </si>
  <si>
    <t>경기도 군포시 수리동 한양아파트 817동 1102호</t>
  </si>
  <si>
    <t>546-882</t>
  </si>
  <si>
    <t>전남 보성군 웅치면 봉산리 742</t>
  </si>
  <si>
    <t>423-763</t>
  </si>
  <si>
    <t>경기도 광명시 하안4동 27 고층 주공아파트 1102-1106호</t>
  </si>
  <si>
    <t>412-728</t>
  </si>
  <si>
    <t>경기도 고양시 덕양구 행신2동 소만마을 303동 1507호</t>
  </si>
  <si>
    <t>215-854</t>
  </si>
  <si>
    <t>강원도 양양군 강현면 주청리 8-4 낙산해명모텔</t>
  </si>
  <si>
    <t>402-779</t>
  </si>
  <si>
    <t>인천광역시 남구 학익동 신동아(아) 31동 803호</t>
  </si>
  <si>
    <t>harold.jung@heraeus.com</t>
  </si>
  <si>
    <t>138-812</t>
  </si>
  <si>
    <t>서울 송파구 가락2동 186-9</t>
  </si>
  <si>
    <t>경기도 군포시 수리동 한양(아) 823동 1603호</t>
  </si>
  <si>
    <t>122-878</t>
  </si>
  <si>
    <t>서울 은평구 수색동 380 수색역(국철) 수송과2층</t>
  </si>
  <si>
    <t>shsyours@naver.com</t>
  </si>
  <si>
    <t>여의도에서 2정거장</t>
  </si>
  <si>
    <t>빠리</t>
  </si>
  <si>
    <t>사당동</t>
  </si>
  <si>
    <t>미국</t>
  </si>
  <si>
    <t>미국 샌프란시스코</t>
  </si>
  <si>
    <t>작은외숙모</t>
  </si>
  <si>
    <t>일산 화정동/ 현석이가 모시고 오기로 함</t>
  </si>
  <si>
    <t>일산화정동</t>
  </si>
  <si>
    <t>561-740</t>
  </si>
  <si>
    <t>전북 전주시 덕진구 호성동 1가 진흥더블파크 1단지(아) 104동 906호</t>
  </si>
  <si>
    <t>134-749</t>
  </si>
  <si>
    <t>서울 강동구 고덕동 주공(아) 245동 205호</t>
  </si>
  <si>
    <t>전주</t>
  </si>
  <si>
    <t>120-828</t>
  </si>
  <si>
    <t>서울 서대문구 연희1동 220-48</t>
  </si>
  <si>
    <t>친지가족</t>
  </si>
  <si>
    <t>135-789</t>
  </si>
  <si>
    <t>서울 강남구 압구정동 현대아파트 206-411</t>
  </si>
  <si>
    <t>031-753 5284</t>
  </si>
  <si>
    <t>019 9277 2202</t>
  </si>
  <si>
    <t>02-325 9204</t>
  </si>
  <si>
    <t>010 6252 3444</t>
  </si>
  <si>
    <t>kwckim54@naver.com</t>
  </si>
  <si>
    <t>138-838</t>
  </si>
  <si>
    <t>서울 송파구 삼전동 48-10 신한영주택관리㈜</t>
  </si>
  <si>
    <t>02- 420 0121</t>
  </si>
  <si>
    <t>ysj3647@naver.com</t>
  </si>
  <si>
    <t>010 6394 6790</t>
  </si>
  <si>
    <t>kimoon_lee@hotmail.com</t>
  </si>
  <si>
    <t>150-790</t>
  </si>
  <si>
    <t>서울 영등포구 여의도동 18 한국방송공사</t>
  </si>
  <si>
    <t>02 781 3170</t>
  </si>
  <si>
    <t>010 9120 0297</t>
  </si>
  <si>
    <t>hulee@kbs.co.kr</t>
  </si>
  <si>
    <t>133-170</t>
  </si>
  <si>
    <t>서울 성동구 용답동 235-4 유선빌딩4층 ㈜인스토피아</t>
  </si>
  <si>
    <t>010 4844 2210</t>
  </si>
  <si>
    <t>135-885</t>
  </si>
  <si>
    <t>서울 강남구 수서동 725번지 수서타워 819호 ㈜해영엠에프</t>
  </si>
  <si>
    <t>011 315 9109</t>
  </si>
  <si>
    <t>110-812</t>
  </si>
  <si>
    <t>서울 종로구 명륜동3가 53번지 성균관대학교 사회복지대학원</t>
  </si>
  <si>
    <t>010 2475 1200</t>
  </si>
  <si>
    <t>오재환</t>
  </si>
  <si>
    <t>157-862</t>
  </si>
  <si>
    <t>서울 강서구 염창동 264-20 ㈜PNA</t>
  </si>
  <si>
    <t>010 2271 2265</t>
  </si>
  <si>
    <t>류영철</t>
  </si>
  <si>
    <t>동양정보통신 대표이사 사장</t>
  </si>
  <si>
    <t>010 2294 0369</t>
  </si>
  <si>
    <t>이상철</t>
  </si>
  <si>
    <t>540-950</t>
  </si>
  <si>
    <t>전라남도 순천시 중앙로 255 순천대학교 사범대학 교수</t>
  </si>
  <si>
    <t>010 6616 3003</t>
  </si>
  <si>
    <t>158-759</t>
  </si>
  <si>
    <t>서울 양천구 목5동 청구아파트 103동 1407호</t>
  </si>
  <si>
    <t>02 747 9328</t>
  </si>
  <si>
    <t>010 8703 9328</t>
  </si>
  <si>
    <t>100-714</t>
  </si>
  <si>
    <t>서울 중구 남대문로5가 541 대우센터 중앙사서함 2810호</t>
  </si>
  <si>
    <t>02 759 2255</t>
  </si>
  <si>
    <t>011 9087 0958</t>
  </si>
  <si>
    <t>jhpark9@daewoo.com</t>
  </si>
  <si>
    <t>463-811</t>
  </si>
  <si>
    <t>경기도 성남시 분당구 정자동 15-4 위브제니스 B-703</t>
  </si>
  <si>
    <t>집 031 718 2034</t>
  </si>
  <si>
    <t>010 5305 2036</t>
  </si>
  <si>
    <t>140-856</t>
  </si>
  <si>
    <t>서울 용산구 동부이촌동 현대아파트 21-302</t>
  </si>
  <si>
    <t>011 414 5695</t>
  </si>
  <si>
    <t>박정석</t>
  </si>
  <si>
    <t>135-917</t>
  </si>
  <si>
    <t>서울 강남구 역삼동 697-11 신성프라자 4층 ㈜우전앤한단</t>
  </si>
  <si>
    <t>010 5479 4840</t>
  </si>
  <si>
    <t>121-765</t>
  </si>
  <si>
    <t>서울 마포구 신공덕동 155 삼성아파트 105-2202</t>
  </si>
  <si>
    <t>010 9275 7050</t>
  </si>
  <si>
    <t>김   인</t>
  </si>
  <si>
    <t>701-823</t>
  </si>
  <si>
    <t>서울 송파구 신천동 20-4 진주아파트 2-501</t>
  </si>
  <si>
    <t>집 02 412 5131</t>
  </si>
  <si>
    <t>016 243 5310</t>
  </si>
  <si>
    <t>449-908</t>
  </si>
  <si>
    <t>경기도 용인시 기흥읍 영덕리 15 신일아파트 106동 105호</t>
  </si>
  <si>
    <t>집 031 286 3419</t>
  </si>
  <si>
    <t>011 9049 3419</t>
  </si>
  <si>
    <t>msmul@hanmail.net</t>
  </si>
  <si>
    <t>135-951</t>
  </si>
  <si>
    <t>서울 강남구 청담동 42 삼성청담아파트 101-1101</t>
  </si>
  <si>
    <t>집 545 3446</t>
  </si>
  <si>
    <t>011 259 5004</t>
  </si>
  <si>
    <t>137-042</t>
  </si>
  <si>
    <t>서울 서초구 반포2동 18-1 래미안퍼스티지 122-1802</t>
  </si>
  <si>
    <t>집 02 3476 3070</t>
  </si>
  <si>
    <t>010 5229 8221</t>
  </si>
  <si>
    <t>137-882</t>
  </si>
  <si>
    <t>서울 서초구 서초4동 1687 유원서초아파트 103-1710</t>
  </si>
  <si>
    <t>집 070 7582 0870</t>
  </si>
  <si>
    <t>010 9013 5200</t>
  </si>
  <si>
    <t>152-053</t>
  </si>
  <si>
    <t>서울 구로구 구로3동 184-1 우림 e-Biz 센터 4층 403호</t>
  </si>
  <si>
    <t>집 2295 1081</t>
  </si>
  <si>
    <t>011 398 5611</t>
  </si>
  <si>
    <t>baiksunlee@paran.com</t>
  </si>
  <si>
    <t>회 02 3282 2702</t>
  </si>
  <si>
    <t>중국</t>
  </si>
  <si>
    <t>135-820</t>
  </si>
  <si>
    <t>서울 강남구 논현2동 15 동현아파트 3동 703호</t>
  </si>
  <si>
    <t>137-900</t>
  </si>
  <si>
    <t>서울 서초구 우면동 57 대림아파트 105-704</t>
  </si>
  <si>
    <t>이메일통보</t>
  </si>
  <si>
    <t>연락완료</t>
  </si>
  <si>
    <t>010 4259 1361</t>
  </si>
  <si>
    <t>010 9040  5170</t>
  </si>
  <si>
    <t>제주도 워크샵yhkim@tovism.com</t>
  </si>
  <si>
    <t>010 4205 9801</t>
  </si>
  <si>
    <t>010 2322 7560</t>
  </si>
  <si>
    <t>김재주</t>
  </si>
  <si>
    <t>princekimme@yahoo.co.kr</t>
  </si>
  <si>
    <t>010 4300 0363</t>
  </si>
  <si>
    <t>golf appoinment</t>
  </si>
  <si>
    <t>010 5385 0105</t>
  </si>
  <si>
    <t>윤지관</t>
  </si>
  <si>
    <t>010 6406 8194</t>
  </si>
  <si>
    <t>조이수</t>
  </si>
  <si>
    <t>한동대 재무관리 교수  isoojoy1@handong.edu</t>
  </si>
  <si>
    <t>010 5286 4701</t>
  </si>
  <si>
    <t>010 2232 7633</t>
  </si>
  <si>
    <t>361-150</t>
  </si>
  <si>
    <t>충북 청주시 흥덕구 수곡동 135 청주교육대학교 초등교육과</t>
  </si>
  <si>
    <t>010 3253 0600</t>
  </si>
  <si>
    <t>cck@kbs.co.kr  12/15일 골프모임 참가</t>
  </si>
  <si>
    <t>010 5151 4646</t>
  </si>
  <si>
    <t>017 211 7282</t>
  </si>
  <si>
    <t>최창근이 연락</t>
  </si>
  <si>
    <t>010 6655 6290</t>
  </si>
  <si>
    <t>011 307 4662</t>
  </si>
  <si>
    <t>138-931</t>
  </si>
  <si>
    <t>서울 송파구 신천동 파크리오아파트 228-2703</t>
  </si>
  <si>
    <t>010 8707 9556</t>
  </si>
  <si>
    <t>135-970</t>
  </si>
  <si>
    <t>서울 강남구 대치동316 은마아파트  26동 1205호</t>
  </si>
  <si>
    <t>010 9035 0910</t>
  </si>
  <si>
    <t>443-817</t>
  </si>
  <si>
    <t>경기도 수원시 영통구 영통동 황골 신명아파트 203동 505호</t>
  </si>
  <si>
    <t>010 6724 2024</t>
  </si>
  <si>
    <t>류천태</t>
  </si>
  <si>
    <t>기배포</t>
  </si>
  <si>
    <t>Ref NO</t>
  </si>
  <si>
    <t>손님이름</t>
  </si>
  <si>
    <t>소분류</t>
  </si>
  <si>
    <t>대분류</t>
  </si>
  <si>
    <t>Host</t>
  </si>
  <si>
    <t>축의금</t>
  </si>
  <si>
    <t>참석인원</t>
  </si>
  <si>
    <t>참석여부</t>
  </si>
  <si>
    <t>비고1</t>
  </si>
  <si>
    <t>비고2</t>
  </si>
  <si>
    <t>북경한인교회</t>
  </si>
  <si>
    <t>교회</t>
  </si>
  <si>
    <t>아빠</t>
  </si>
  <si>
    <t>불참</t>
  </si>
  <si>
    <t>RMB800</t>
  </si>
  <si>
    <t>나정인</t>
  </si>
  <si>
    <t>친가</t>
  </si>
  <si>
    <t>OB</t>
  </si>
  <si>
    <t>화학</t>
  </si>
  <si>
    <t>본인참석</t>
  </si>
  <si>
    <t>율촌화학</t>
  </si>
  <si>
    <t>학교</t>
  </si>
  <si>
    <t>RMB1000</t>
  </si>
  <si>
    <t>66회</t>
  </si>
  <si>
    <t>2013.3.24결혼피로연1000rmb축의금</t>
  </si>
  <si>
    <t>RMB2000</t>
  </si>
  <si>
    <t>나정자/양희용</t>
  </si>
  <si>
    <t>현직임원</t>
  </si>
  <si>
    <t>프라임켐</t>
  </si>
  <si>
    <t>YB</t>
  </si>
  <si>
    <t>전화내도</t>
  </si>
  <si>
    <t>현금5만원미발견</t>
  </si>
  <si>
    <t>64회</t>
  </si>
  <si>
    <t>RMB500</t>
  </si>
  <si>
    <t>48회</t>
  </si>
  <si>
    <t>입사동기</t>
  </si>
  <si>
    <t>중국에서</t>
  </si>
  <si>
    <t>이시용</t>
  </si>
  <si>
    <t>전자</t>
  </si>
  <si>
    <t>LG따샤</t>
  </si>
  <si>
    <t>Lafuma BJ</t>
  </si>
  <si>
    <t>옥영민</t>
  </si>
  <si>
    <t>Montbell</t>
  </si>
  <si>
    <t>16구역</t>
  </si>
  <si>
    <t>rmb2000</t>
  </si>
  <si>
    <t>김문식/공순복</t>
  </si>
  <si>
    <t>rmb500</t>
  </si>
  <si>
    <t>김옥미권사</t>
  </si>
  <si>
    <t>LGCNS</t>
  </si>
  <si>
    <t>부부참석</t>
  </si>
  <si>
    <t>이월희권사</t>
  </si>
  <si>
    <t>rmb3000</t>
  </si>
  <si>
    <t>종철수/윤현숙</t>
  </si>
  <si>
    <t>손진방/조금자</t>
  </si>
  <si>
    <t>rmb1000</t>
  </si>
  <si>
    <t>김의숙권사</t>
  </si>
  <si>
    <t>스톤카페</t>
  </si>
  <si>
    <t>LGF</t>
  </si>
  <si>
    <t>유순남집사/조학형</t>
  </si>
  <si>
    <t>이미경</t>
  </si>
  <si>
    <t>이명주</t>
  </si>
  <si>
    <t>엄마친구</t>
  </si>
  <si>
    <t>아내</t>
  </si>
  <si>
    <t>부인참석</t>
  </si>
  <si>
    <t>김형준/김계숙</t>
  </si>
  <si>
    <t>처가</t>
  </si>
  <si>
    <t>퇴임임원</t>
  </si>
  <si>
    <t>박민부/김주경</t>
  </si>
  <si>
    <t>김명남</t>
  </si>
  <si>
    <t>임병남/최정윤</t>
  </si>
  <si>
    <t>감규식/이순옥</t>
  </si>
  <si>
    <t>조명제</t>
  </si>
  <si>
    <t>삼진프라스틱공업</t>
  </si>
  <si>
    <t>연주팀참석</t>
  </si>
  <si>
    <t>피바디음대 연주자 엄마</t>
  </si>
  <si>
    <t>중복번호</t>
  </si>
  <si>
    <t>케이피텍</t>
  </si>
  <si>
    <t>홍일산업</t>
  </si>
  <si>
    <t>대전에서</t>
  </si>
  <si>
    <t>문상이</t>
  </si>
  <si>
    <t>지엽</t>
  </si>
  <si>
    <t>아이2</t>
  </si>
  <si>
    <t>접수책임</t>
  </si>
  <si>
    <t>유제양</t>
  </si>
  <si>
    <t>화환</t>
  </si>
  <si>
    <t>41회 SK부회장</t>
  </si>
  <si>
    <t>신년수</t>
  </si>
  <si>
    <t>그냥감</t>
  </si>
  <si>
    <t>41회 중국동문회</t>
  </si>
  <si>
    <t>박수덕</t>
  </si>
  <si>
    <t>47회 화남동문회</t>
  </si>
  <si>
    <t>디엠아이테크</t>
  </si>
  <si>
    <t>베트남</t>
  </si>
  <si>
    <t>사랑의교회</t>
  </si>
  <si>
    <t>55회</t>
  </si>
  <si>
    <t>오수진</t>
  </si>
  <si>
    <t>이정완/김양숙</t>
  </si>
  <si>
    <t>현보혜</t>
  </si>
  <si>
    <t>외가</t>
  </si>
  <si>
    <t>나윤경/최창헌</t>
  </si>
  <si>
    <t>신한은행엄마구역</t>
  </si>
  <si>
    <t>구좌10만+봉투10만</t>
  </si>
  <si>
    <t>권기영</t>
  </si>
  <si>
    <t>남편참석</t>
  </si>
  <si>
    <t>46회</t>
  </si>
  <si>
    <t>노기수</t>
  </si>
  <si>
    <t>상해한인교회</t>
  </si>
  <si>
    <t>김현옥/김영호</t>
  </si>
  <si>
    <t>금액기입안됨</t>
  </si>
  <si>
    <t>SK김영호전무</t>
  </si>
  <si>
    <t>길인옥/김희철</t>
  </si>
  <si>
    <t>김희철장로</t>
  </si>
  <si>
    <t>류동일</t>
  </si>
  <si>
    <t>한좌진</t>
  </si>
  <si>
    <t>진상현</t>
  </si>
  <si>
    <t>이배성</t>
  </si>
  <si>
    <t>이슬기/박승영</t>
  </si>
  <si>
    <t>김지홍</t>
  </si>
  <si>
    <t>LG DAGU</t>
  </si>
  <si>
    <t>모녀참석</t>
  </si>
  <si>
    <t>김성열</t>
  </si>
  <si>
    <t>판토스</t>
  </si>
  <si>
    <t>이진열</t>
  </si>
  <si>
    <t>손종욱/서은영</t>
  </si>
  <si>
    <t>손종욱참석</t>
  </si>
  <si>
    <t>이주헌</t>
  </si>
  <si>
    <t>카투사</t>
  </si>
  <si>
    <t>전효리</t>
  </si>
  <si>
    <t>신현오 부인 별봉</t>
  </si>
  <si>
    <t>신현오</t>
  </si>
  <si>
    <t>이원평 선배 부인</t>
  </si>
  <si>
    <t>윤재욱</t>
  </si>
  <si>
    <t>상해친구</t>
  </si>
  <si>
    <t>현대글로비스</t>
  </si>
  <si>
    <t>박인수/허금복</t>
  </si>
  <si>
    <t>최원석</t>
  </si>
  <si>
    <t>노유근</t>
  </si>
  <si>
    <t>이광호/김윤숙</t>
  </si>
  <si>
    <t>김재희</t>
  </si>
  <si>
    <t>이준회</t>
  </si>
  <si>
    <t>김휴경</t>
  </si>
  <si>
    <t>손석찬</t>
  </si>
  <si>
    <t>상사</t>
  </si>
  <si>
    <t>박명식/박훈/최순단</t>
  </si>
  <si>
    <t>모자참석</t>
  </si>
  <si>
    <t>김소영(제니)</t>
  </si>
  <si>
    <t>김정운</t>
  </si>
  <si>
    <t>친구</t>
  </si>
  <si>
    <t>여친참석</t>
  </si>
  <si>
    <t>김학현</t>
  </si>
  <si>
    <t>태국</t>
  </si>
  <si>
    <t>조용일</t>
  </si>
  <si>
    <t>이호재</t>
  </si>
  <si>
    <t>유가람</t>
  </si>
  <si>
    <t>최홍석</t>
  </si>
  <si>
    <t>이승헌</t>
  </si>
  <si>
    <t>목정욱</t>
  </si>
  <si>
    <t>은승훈</t>
  </si>
  <si>
    <t>유민상</t>
  </si>
  <si>
    <t>민경훈</t>
  </si>
  <si>
    <t>최석진</t>
  </si>
  <si>
    <t>이정호</t>
  </si>
  <si>
    <t>김대욱</t>
  </si>
  <si>
    <t>이병진</t>
  </si>
  <si>
    <t>오   솔</t>
  </si>
  <si>
    <t>조규홍</t>
  </si>
  <si>
    <t>민병상</t>
  </si>
  <si>
    <t>유재균</t>
  </si>
  <si>
    <t>한양대</t>
  </si>
  <si>
    <t>박인영</t>
  </si>
  <si>
    <t>영산화학</t>
  </si>
  <si>
    <t>김승재</t>
  </si>
  <si>
    <t>오종호/박상희</t>
  </si>
  <si>
    <t>이혁진</t>
  </si>
  <si>
    <t>김지회</t>
  </si>
  <si>
    <t>노재동/정숙자</t>
  </si>
  <si>
    <t>김태훈</t>
  </si>
  <si>
    <t>엄미경</t>
  </si>
  <si>
    <t>KAL병소엄마</t>
  </si>
  <si>
    <t>㈜네패스신소재</t>
  </si>
  <si>
    <t>㈜카프로</t>
  </si>
  <si>
    <t>이성조</t>
  </si>
  <si>
    <t>양정모</t>
  </si>
  <si>
    <t>차연경</t>
  </si>
  <si>
    <t>박토마스/김선영</t>
  </si>
  <si>
    <t>최선아</t>
  </si>
  <si>
    <t>강미라</t>
  </si>
  <si>
    <t>이현우</t>
  </si>
  <si>
    <t>서동연</t>
  </si>
  <si>
    <t>황원민</t>
  </si>
  <si>
    <t>오주현</t>
  </si>
  <si>
    <t>정창진</t>
  </si>
  <si>
    <t>임아름</t>
  </si>
  <si>
    <t>박지희</t>
  </si>
  <si>
    <t>신은화</t>
  </si>
  <si>
    <t>최정은</t>
  </si>
  <si>
    <t>미래누나</t>
  </si>
  <si>
    <t>자매참석</t>
  </si>
  <si>
    <t>박지원/박태현</t>
  </si>
  <si>
    <t>황류미</t>
  </si>
  <si>
    <t>현경화/김정수</t>
  </si>
  <si>
    <t>김경래</t>
  </si>
  <si>
    <t>이상락</t>
  </si>
  <si>
    <t>류주경</t>
  </si>
  <si>
    <t>강석균</t>
  </si>
  <si>
    <t>김수미</t>
  </si>
  <si>
    <t>이장우</t>
  </si>
  <si>
    <t>정지민</t>
  </si>
  <si>
    <t>김성욱</t>
  </si>
  <si>
    <t>부산에서</t>
  </si>
  <si>
    <t>전현도</t>
  </si>
  <si>
    <t>김가영</t>
  </si>
  <si>
    <t>영진화성</t>
  </si>
  <si>
    <t>부산</t>
  </si>
  <si>
    <t>심용구</t>
  </si>
  <si>
    <t>이상진/이순환</t>
  </si>
  <si>
    <t>나웅수</t>
  </si>
  <si>
    <t>임종섭</t>
  </si>
  <si>
    <t>일본친구들6명</t>
  </si>
  <si>
    <t>일본친구</t>
  </si>
  <si>
    <t>일본</t>
  </si>
  <si>
    <t>나희원/안재욱</t>
  </si>
  <si>
    <t>김을순</t>
  </si>
  <si>
    <t>카페팀</t>
  </si>
  <si>
    <t>이강섭</t>
  </si>
  <si>
    <t>박정기</t>
  </si>
  <si>
    <t>박세익</t>
  </si>
  <si>
    <t>양승희</t>
  </si>
  <si>
    <t>혜림친구</t>
  </si>
  <si>
    <t>조형근</t>
  </si>
  <si>
    <t>나상민/강명수</t>
  </si>
  <si>
    <t>외할머니</t>
  </si>
  <si>
    <t>이지영</t>
  </si>
  <si>
    <t>이규종집사</t>
  </si>
  <si>
    <t>김 선 사모</t>
  </si>
  <si>
    <t>김광성목사 사모</t>
  </si>
  <si>
    <t>이혜웅 전무</t>
  </si>
  <si>
    <t>송주현</t>
  </si>
  <si>
    <t>서유미</t>
  </si>
  <si>
    <t>김세진</t>
  </si>
  <si>
    <t>김이슬</t>
  </si>
  <si>
    <t>김용섭전무</t>
  </si>
  <si>
    <t>㈜동원</t>
  </si>
  <si>
    <t>김대철</t>
  </si>
  <si>
    <t>윤동민</t>
  </si>
  <si>
    <t>옥창오</t>
  </si>
  <si>
    <t>고아라</t>
  </si>
  <si>
    <t>최성민</t>
  </si>
  <si>
    <t>56회</t>
  </si>
  <si>
    <t>김대호</t>
  </si>
  <si>
    <t>황준석</t>
  </si>
  <si>
    <t>전재형</t>
  </si>
  <si>
    <t>최지일</t>
  </si>
  <si>
    <t>이규운</t>
  </si>
  <si>
    <t>이용균</t>
  </si>
  <si>
    <t>김종배</t>
  </si>
  <si>
    <t>㈜중화</t>
  </si>
  <si>
    <t>49회</t>
  </si>
  <si>
    <t>2013.3.16모친상 조위금20만원</t>
  </si>
  <si>
    <t>류도욱</t>
  </si>
  <si>
    <t>김경탁</t>
  </si>
  <si>
    <t>임철재</t>
  </si>
  <si>
    <t>문제희</t>
  </si>
  <si>
    <t>허영주</t>
  </si>
  <si>
    <t>박   현</t>
  </si>
  <si>
    <t>가족참석</t>
  </si>
  <si>
    <t>승현</t>
  </si>
  <si>
    <t>홍연근</t>
  </si>
  <si>
    <t>2013.3.14빙부상 조위금10만원</t>
  </si>
  <si>
    <t>전윤희</t>
  </si>
  <si>
    <t>조형기</t>
  </si>
  <si>
    <t>심인섭</t>
  </si>
  <si>
    <t>김준근</t>
  </si>
  <si>
    <t>강설희</t>
  </si>
  <si>
    <t>아이1</t>
  </si>
  <si>
    <t>김   진</t>
  </si>
  <si>
    <t>LG전자마케팅전략</t>
  </si>
  <si>
    <t>가인화</t>
  </si>
  <si>
    <t>엄성원</t>
  </si>
  <si>
    <t>최윤의</t>
  </si>
  <si>
    <t>임영민</t>
  </si>
  <si>
    <t>송지현/김황민</t>
  </si>
  <si>
    <t>46회 대한항공</t>
  </si>
  <si>
    <t>김범석</t>
  </si>
  <si>
    <t>서아현</t>
  </si>
  <si>
    <t>제일기획</t>
  </si>
  <si>
    <t>권재범</t>
  </si>
  <si>
    <t>이준성</t>
  </si>
  <si>
    <t>이정주</t>
  </si>
  <si>
    <t>김태경</t>
  </si>
  <si>
    <t>박규도</t>
  </si>
  <si>
    <t>남현주</t>
  </si>
  <si>
    <t>박재현</t>
  </si>
  <si>
    <t>60회</t>
  </si>
  <si>
    <t>정다운</t>
  </si>
  <si>
    <t>이철헌</t>
  </si>
  <si>
    <t>우편환</t>
  </si>
  <si>
    <t>이재두/형은희</t>
  </si>
  <si>
    <t>김시현</t>
  </si>
  <si>
    <t>강석원</t>
  </si>
  <si>
    <t>구좌입금</t>
  </si>
  <si>
    <t>김경원</t>
  </si>
  <si>
    <t>장유준</t>
  </si>
  <si>
    <t>박주성</t>
  </si>
  <si>
    <t>원준용</t>
  </si>
  <si>
    <t>김도년</t>
  </si>
  <si>
    <t>안태성</t>
  </si>
  <si>
    <t>유창준</t>
  </si>
  <si>
    <t>금액안적힘</t>
  </si>
  <si>
    <t>김   원 상무</t>
  </si>
  <si>
    <t>홍정기(경제연)</t>
  </si>
  <si>
    <t>경제연구원</t>
  </si>
  <si>
    <t>전   현</t>
  </si>
  <si>
    <t>구현모</t>
  </si>
  <si>
    <t>신용삼</t>
  </si>
  <si>
    <t>조현아</t>
  </si>
  <si>
    <t>이용한/이은주</t>
  </si>
  <si>
    <t>건설</t>
  </si>
  <si>
    <t>강보라/나홍엽</t>
  </si>
  <si>
    <t>민라홍</t>
  </si>
  <si>
    <t>현진호</t>
  </si>
  <si>
    <t>북경RMB구좌입금</t>
  </si>
  <si>
    <t>최광우</t>
  </si>
  <si>
    <t>미수금</t>
  </si>
  <si>
    <t>최명철</t>
  </si>
  <si>
    <t>임억순/이동분</t>
  </si>
  <si>
    <t>신영수/이광자</t>
  </si>
  <si>
    <t>안선종</t>
  </si>
  <si>
    <t>류인후/송수연</t>
  </si>
  <si>
    <t>권호영</t>
  </si>
  <si>
    <t>영진화학</t>
  </si>
  <si>
    <t>경희</t>
  </si>
  <si>
    <t>배선우</t>
  </si>
  <si>
    <t>민동은</t>
  </si>
  <si>
    <t>해태음료</t>
  </si>
  <si>
    <t>김율호</t>
  </si>
  <si>
    <t>임지은</t>
  </si>
  <si>
    <t>김대연</t>
  </si>
  <si>
    <t>김민화</t>
  </si>
  <si>
    <t>진소희</t>
  </si>
  <si>
    <t>최호승</t>
  </si>
  <si>
    <t>이성호</t>
  </si>
  <si>
    <t>신영두</t>
  </si>
  <si>
    <t>이기래</t>
  </si>
  <si>
    <t>최태순</t>
  </si>
  <si>
    <t>임걸찬</t>
  </si>
  <si>
    <t>박상우</t>
  </si>
  <si>
    <t>이문훈</t>
  </si>
  <si>
    <t>우리은행 트윈타워 지점장</t>
  </si>
  <si>
    <t>박성희 누나</t>
  </si>
  <si>
    <t>성준호</t>
  </si>
  <si>
    <t>권주영</t>
  </si>
  <si>
    <t>윤선영</t>
  </si>
  <si>
    <t>배선주(빈봉투)</t>
  </si>
  <si>
    <t>이승진</t>
  </si>
  <si>
    <t>김예니</t>
  </si>
  <si>
    <t>양범솔</t>
  </si>
  <si>
    <t>박준근</t>
  </si>
  <si>
    <t>성영훈</t>
  </si>
  <si>
    <t>김수인</t>
  </si>
  <si>
    <t>김민수</t>
  </si>
  <si>
    <t>김주란</t>
  </si>
  <si>
    <t>박종찬</t>
  </si>
  <si>
    <t>김두영</t>
  </si>
  <si>
    <t>정현정(민규엄마)</t>
  </si>
  <si>
    <t>김효갑</t>
  </si>
  <si>
    <t>박영준</t>
  </si>
  <si>
    <t>최낙성</t>
  </si>
  <si>
    <t>김상식 상무</t>
  </si>
  <si>
    <t>이상헌</t>
  </si>
  <si>
    <t>송기윤</t>
  </si>
  <si>
    <t>박지홍</t>
  </si>
  <si>
    <t>박주현</t>
  </si>
  <si>
    <t>박윤홍</t>
  </si>
  <si>
    <t>한은영</t>
  </si>
  <si>
    <t>박준우</t>
  </si>
  <si>
    <t>권성수/김난숙</t>
  </si>
  <si>
    <t>박원조</t>
  </si>
  <si>
    <t>골든타워귀금속</t>
  </si>
  <si>
    <t>1-1</t>
  </si>
  <si>
    <t>2-1</t>
  </si>
  <si>
    <t>흥한산업</t>
  </si>
  <si>
    <t>배원복</t>
  </si>
  <si>
    <t>LGE부사장</t>
  </si>
  <si>
    <t>결혼식 후 접수 내역</t>
  </si>
  <si>
    <t>류맹기집사</t>
  </si>
  <si>
    <t>Rmb500</t>
  </si>
  <si>
    <t>Herman</t>
  </si>
  <si>
    <t>Rmb5000</t>
  </si>
  <si>
    <t>Rmb10000</t>
  </si>
  <si>
    <t>Rmb3000</t>
  </si>
  <si>
    <t>Xumin</t>
  </si>
  <si>
    <t>ZhangFu</t>
  </si>
  <si>
    <t>Rmb8000</t>
  </si>
  <si>
    <t>MaoJinYou</t>
  </si>
  <si>
    <t>LongChangzhang</t>
  </si>
  <si>
    <t>Rmb7000</t>
  </si>
  <si>
    <t>XiaoWang</t>
  </si>
  <si>
    <t>Rmb2000</t>
  </si>
  <si>
    <t>ZhangJinJi</t>
  </si>
  <si>
    <t>Rmb1000</t>
  </si>
  <si>
    <t>AnDajian</t>
  </si>
  <si>
    <t>ShenMingYu</t>
  </si>
  <si>
    <t>Rmb6000</t>
  </si>
  <si>
    <t>홍석승장인상10만2013.4.3</t>
  </si>
  <si>
    <t>현재</t>
  </si>
  <si>
    <t>총발생비용</t>
  </si>
  <si>
    <t>총185명 축의금(추정)/122명 식사(추정)/1232만원</t>
  </si>
  <si>
    <t>총식수인원</t>
  </si>
  <si>
    <t>인당비용</t>
  </si>
  <si>
    <t>인당순수식대</t>
  </si>
  <si>
    <t>185명 축의금입금</t>
  </si>
  <si>
    <t>식음료ttl</t>
  </si>
  <si>
    <t>2:1분담(우리:사돈)</t>
  </si>
  <si>
    <t>122명 식대</t>
  </si>
  <si>
    <t>인당88134x122명</t>
  </si>
  <si>
    <t>부대비용</t>
  </si>
  <si>
    <t>19%부담</t>
  </si>
  <si>
    <t>부대비용ttl</t>
  </si>
  <si>
    <t>1:1분담(우리:사돈)</t>
  </si>
  <si>
    <t>비용합계</t>
  </si>
  <si>
    <t>Balance</t>
  </si>
  <si>
    <t>보증금Refund</t>
  </si>
  <si>
    <t>합계</t>
  </si>
  <si>
    <t>최종정산금액</t>
  </si>
  <si>
    <t>계약금(지엽)</t>
  </si>
  <si>
    <t>본인축의금미입금</t>
  </si>
  <si>
    <t>예식장실지급분</t>
  </si>
  <si>
    <t>Final Balance</t>
  </si>
  <si>
    <t>비중</t>
  </si>
  <si>
    <t>축의금실입고</t>
  </si>
  <si>
    <t>결혼식 당일 발생비용</t>
  </si>
  <si>
    <t>폐백</t>
  </si>
  <si>
    <t>고모2분 차비</t>
  </si>
  <si>
    <t>축가/연주사례</t>
  </si>
  <si>
    <t>주례사례</t>
  </si>
  <si>
    <t>지엽미수금</t>
  </si>
  <si>
    <t>축의금 통장잔고</t>
  </si>
  <si>
    <t>(외환은행 넘버엔통장)</t>
  </si>
  <si>
    <t>통장잔고</t>
  </si>
  <si>
    <t>예약금</t>
  </si>
  <si>
    <t>초청자</t>
  </si>
  <si>
    <t>참석자</t>
  </si>
  <si>
    <t>그룹사</t>
  </si>
  <si>
    <t>기타</t>
  </si>
  <si>
    <t>ok</t>
  </si>
  <si>
    <t>감사장인사</t>
  </si>
  <si>
    <t>라푸마</t>
  </si>
  <si>
    <t>동문</t>
  </si>
  <si>
    <t>ky305070@hanmail.net</t>
  </si>
  <si>
    <t>rgb79@lafuma.com.cn</t>
  </si>
  <si>
    <t>kjkim@lgchem.com</t>
  </si>
  <si>
    <t>kwkim310@gmail.com</t>
  </si>
  <si>
    <t>terrykim@wlgore.com</t>
  </si>
  <si>
    <t>jckimc@lghausys.com</t>
  </si>
  <si>
    <t>irene@lafuma.com.cn</t>
  </si>
  <si>
    <t>korea@worldchemcorp.com</t>
  </si>
  <si>
    <t>xudonghe@lafuma.com.cn</t>
  </si>
  <si>
    <t>leeyh0514@hanmail.net</t>
  </si>
  <si>
    <t>vincentbae@hanmail.net</t>
  </si>
  <si>
    <t>jhjungb@daum.net</t>
  </si>
  <si>
    <t>sdpark@163.com</t>
  </si>
  <si>
    <t>깁정중</t>
  </si>
  <si>
    <t>jjkim@youlchon.com</t>
  </si>
  <si>
    <t>sepk1964@hanmail.net</t>
  </si>
  <si>
    <t>chinapae@gmail.com</t>
  </si>
  <si>
    <t>richard@lgchem.com</t>
  </si>
  <si>
    <t>davidkwon2000@hanmail.net</t>
  </si>
  <si>
    <t>lgesjb@hanmail.net</t>
  </si>
  <si>
    <t>ctmedi@yahoo.co.kr</t>
  </si>
  <si>
    <t>전화요</t>
  </si>
  <si>
    <t>이메일 인사</t>
  </si>
  <si>
    <t>youngho.park@sk.com</t>
  </si>
  <si>
    <t>hshamtai@hanwha.co.kr</t>
  </si>
  <si>
    <t>symanchoi@hanmail.net</t>
  </si>
  <si>
    <t>kimdon@seoultech.ac.kr&amp;gt</t>
  </si>
  <si>
    <t>dslee@skku.edu&amp;gt</t>
  </si>
  <si>
    <t>전화함</t>
  </si>
  <si>
    <t>syoon@ktbvc.com</t>
  </si>
  <si>
    <t>감사장</t>
  </si>
  <si>
    <t>추가 스티커</t>
  </si>
  <si>
    <t>No way</t>
  </si>
  <si>
    <t>엘지패션 구본걸</t>
  </si>
  <si>
    <t>엘지화학 김반석</t>
  </si>
  <si>
    <t>엘지전자 구본준</t>
  </si>
  <si>
    <t>구본준</t>
  </si>
  <si>
    <t>경복고 중국동문회 김민식</t>
  </si>
  <si>
    <t>서울대 영문과</t>
  </si>
  <si>
    <t>삼정회계법인</t>
  </si>
  <si>
    <t>SK부회장</t>
  </si>
  <si>
    <t>대한항공 사장</t>
  </si>
  <si>
    <t>라푸마 차이나</t>
  </si>
  <si>
    <t>건축구조기술사회?</t>
  </si>
  <si>
    <t>서울특별시 강남구 신사동 617-3번지 LG패션 서관5층</t>
  </si>
  <si>
    <t>서울특별시 강남구 신사동 618-4번지 태승빌딩2층</t>
  </si>
  <si>
    <t>서울특별시 강남구 신사동 637-7번지  신관3층</t>
  </si>
  <si>
    <t>서울특별시 강남구 신사동 618-3번지  뉴서울빌딩9층</t>
  </si>
  <si>
    <t>서울특별시 강남구 신사동 618-3번지  뉴서울빌딩10층</t>
  </si>
  <si>
    <t>서울 영등포구 여의도동 20 LG트윈타워 동관 LG화학 아크릴/가소제 영업담당</t>
  </si>
  <si>
    <t>서울 강남구 개포동 177번지 현대3차아파트 2동 202호</t>
  </si>
  <si>
    <t>서울 영등포구 여의도동 20 LG트윈타워 동관 LG화학 고무/특수수지사업부장</t>
  </si>
  <si>
    <t>서울 영등포구 여의도동 20 LG트윈타워 동관 LG화학 ABS사업부장</t>
  </si>
  <si>
    <t>석유화학.공무총괄</t>
  </si>
  <si>
    <t>서울 영등포구 여의도동 20 LG트윈타워 동관 LG화학 PVC사업부장</t>
  </si>
  <si>
    <t>150-042</t>
  </si>
  <si>
    <t>서울 영등포구 당산동 2가 30-2 영등포 유통상가 603호</t>
  </si>
  <si>
    <t>서울 영등포구 여의도동 20 LG트윈타워 동관 LG화학 고무/특수수지 영업담당</t>
  </si>
  <si>
    <t>157-864</t>
  </si>
  <si>
    <t>서울 강서구 염창동 281-22 한화꿈에그린아파트 107-401</t>
  </si>
  <si>
    <t>강태길 전무 귀하</t>
  </si>
  <si>
    <t>서울 영등포구 여의도동 20 LG트윈타워 서관 LG전자 정도경영팀</t>
  </si>
  <si>
    <t>이강우 전무 귀하</t>
  </si>
  <si>
    <t>서울 영등포구 여의도동 20 LG트윈타워 동관 LG상사</t>
  </si>
  <si>
    <t>이시용 상무 귀하</t>
  </si>
  <si>
    <t>이재성 전무 귀하</t>
  </si>
  <si>
    <t>서울 영등포구 여의도동 20 LG트윈타워 서관 LG CNS</t>
  </si>
  <si>
    <t>정우성 상무 귀하</t>
  </si>
  <si>
    <t>서울 영등포구 여의도동 20 LG트윈타워 서관 LG전자</t>
  </si>
  <si>
    <t>함재경 전무 귀하</t>
  </si>
  <si>
    <t>홍정기 상무 귀하</t>
  </si>
  <si>
    <t>서울 영등포구 여의도동 20 LG트윈타워 동관  LG경제연구원</t>
  </si>
  <si>
    <t>권성수 목사 귀하</t>
  </si>
  <si>
    <t>706-808</t>
  </si>
  <si>
    <t>대구시 수성구 만촌3동 856-4번지 대구동신교회</t>
  </si>
  <si>
    <t>이정완 님 귀하</t>
  </si>
  <si>
    <t>136-037</t>
  </si>
  <si>
    <t>서울시 성북구 동소문동7가 23 한신휴 아파트 122동401호</t>
  </si>
  <si>
    <t>김형준 교수 귀하</t>
  </si>
  <si>
    <t>480-702</t>
  </si>
  <si>
    <t>경기도 의정부시 서부로 545 경민대학교</t>
  </si>
  <si>
    <t>김   돈 교수 귀하</t>
  </si>
  <si>
    <t>EMAIL</t>
  </si>
  <si>
    <t>서울특별시 노원구 공릉로 232 서울과학기술대학교</t>
  </si>
  <si>
    <t>박상영 교수 귀하</t>
  </si>
  <si>
    <t>361-742</t>
  </si>
  <si>
    <t>충북 청주시 흥덕구 모충동 231 서원대학교 회계학과</t>
  </si>
  <si>
    <t>박영호 부회장 귀하</t>
  </si>
  <si>
    <t>110-110</t>
  </si>
  <si>
    <t>서울 종로구 서린동 99 SK빌딩 SK그룹</t>
  </si>
  <si>
    <t>천진시</t>
  </si>
  <si>
    <t>626-220</t>
  </si>
  <si>
    <t>경남 양산시 어곡동858-5 ㈜위스텍</t>
  </si>
  <si>
    <t>100-813</t>
  </si>
  <si>
    <t>서울시 중구 서소문동 41-3 대한항공 빌딩 9층</t>
  </si>
  <si>
    <t>sticker</t>
  </si>
  <si>
    <t>우편</t>
  </si>
  <si>
    <t>pk</t>
  </si>
  <si>
    <t>스카이 70명</t>
  </si>
  <si>
    <t>노랑 159명</t>
  </si>
  <si>
    <t>합계 229명</t>
  </si>
  <si>
    <t>참석율</t>
  </si>
  <si>
    <t>아빠/엄마</t>
  </si>
  <si>
    <t>총184명 축의금(추정)/123명 식사(추정)/1247만원</t>
  </si>
  <si>
    <t>인당평균축의금</t>
  </si>
  <si>
    <t>참석자인당축의금</t>
  </si>
  <si>
    <t>2:1분담</t>
  </si>
  <si>
    <t>123명 식대</t>
  </si>
  <si>
    <t>1:1분담</t>
  </si>
  <si>
    <t>계약금</t>
  </si>
  <si>
    <t>전체 축의금 봉투</t>
  </si>
  <si>
    <t>502명</t>
  </si>
  <si>
    <t>실제비용분담</t>
  </si>
  <si>
    <t>지엽실축의금</t>
  </si>
  <si>
    <t>실분담금</t>
  </si>
  <si>
    <t>(-)</t>
  </si>
  <si>
    <t>==&gt;</t>
  </si>
  <si>
    <t>4백만원</t>
  </si>
  <si>
    <t>-----Original Message-----</t>
  </si>
  <si>
    <t>From: "serero"&lt;mrokim@hanmail.net&gt;</t>
  </si>
  <si>
    <t>To: "김규호"&lt;khokim03@hotmail.com&gt;; "김성주"&lt;esjaykim@naver.com&gt;; "김정오"&lt;jokimd@lgchem.com&gt;; "나상진"&lt;sjna08@naver.com&gt;; "박영민"&lt;pym5545@naver.com&gt;; "배원붕"&lt;vincentbae@hanmail.net&gt;; "송주섭"&lt;songjuseop@hanmail.net&gt;; "유영직"&lt;dyclg@hanmail.net&gt;; "윤병찬"&lt;biosyoon@naver.com&gt;; "이강우"&lt;kwlee@lgi.co.kr&gt;; "이성백"&lt;jungjin4941@yahoo.co.kr&gt;; "이인대"&lt;idlee123@naver.com&gt;; "이재환"&lt;joseph.lee5213@yahoo.co.kr&gt;; "이종민"&lt;jm1957@daum.net&gt;; "황경주"&lt;kjhwanga@hanmail.net&gt;;</t>
  </si>
  <si>
    <t>Cc:</t>
  </si>
  <si>
    <t>Sent: 2012-10-10 (수) 10:08:43</t>
  </si>
  <si>
    <t>Subject: 동기회 모임 안내</t>
  </si>
  <si>
    <t>From: "김종철"&lt;jckim6799@naver.com&gt;</t>
  </si>
  <si>
    <t>From: "이화정"&lt;hjleef@lghausys.com&gt;</t>
  </si>
  <si>
    <t>한명호사장</t>
  </si>
  <si>
    <t>박현신상무</t>
  </si>
  <si>
    <t>박승배상무</t>
  </si>
  <si>
    <t>황진형상무</t>
  </si>
  <si>
    <t>이은철상무</t>
  </si>
  <si>
    <t>정은철부장</t>
  </si>
  <si>
    <t>김윤구부장</t>
  </si>
  <si>
    <t>울산시 울주군 온양급 망양리 388, LG하우시스 울산공장 인사팀장</t>
  </si>
  <si>
    <t>송진갑수석부장</t>
  </si>
  <si>
    <t>울산시 울주군 온양급 망양리 388, LG하우시스 울산공장 관리담당</t>
  </si>
  <si>
    <t>김영석담당</t>
  </si>
  <si>
    <t>From: "M.S. KIM"&lt;mskims@chol.com&gt;</t>
  </si>
  <si>
    <t>To: "'강재원 동문(47회)'"&lt;jay1kang@hotmail.com&gt;; "'고희석 동문(57회)'"&lt;hsko@cj.net&gt;; "'김경징 동문(69회)'"&lt;kkj@buttle.cn&gt;; "김기형 동문(60회)"&lt;khkim@orion.com.cn&gt;; "김동한 동문 (61회)"&lt;asap@goodi.com&gt;; "김시철 동문(55회)"&lt;kimbo10@nate.com&gt;; "'김주환 동문(49회)'"&lt;harbinjhk@hanmail.net&gt;; "김한구 동문(64회)"&lt;josephkim@cj.net&gt;; "'나상진 동문(48회)'"&lt;sjna08@naver.com&gt;; "'노재천 동문(59회)'"&lt;jcnoh@sk.com&gt;; "박근영 동문 (44회)"&lt;dangdailiren@163.com&gt;; "박민부 동문(50회)"&lt;parkmb5511@gmail.com&gt;; "'박영호 동문(41회)'"&lt;youngho.park@sk.com&gt;; "방창수 동문(54회)"&lt;csbang66@hotmail.com&gt;; "배중한 동문(55회)"&lt;chinapae@gmail.com&gt;; "'성재덕 동문(58회)'"&lt;stragos@sk.com&gt;; "양세정 동문(48회)"&lt;ysj3647@naver.com&gt;; "'양재완 동문(49회)'"&lt;ceoland8@hanmail.net&gt;; "유왕재 동문(48회)"&lt;ratecle@hanmail.net&gt;; "윤승용 동문(61회)"&lt;syoon@ktbvc.com&gt;; "윤희선 동문(56회)"&lt;hsyoon@pulmuone.com&gt;; "은유진 동문 (64회)"&lt;yjeun@sgacorp.kr&gt;; "이승기 동문(66회)"&lt;ctmedi@yahoo.co.kr&gt;; "'이영규 동문(64회)'"&lt;ceo@anlang.com&gt;; "'이정수 동문(50회)'"&lt;jolypont@hanmail.net&gt;; "'임기택 동문(57회)'"&lt;ktim@sk.com&gt;; "'정웅찬 동문(56회)'"&lt;xiongcan@meccait.com&gt;; "'조현서 동문(48회)'"&lt;issuechina@yahoo.co.kr&gt;; "'최덕준 동문(47회)'"&lt;huxiaoja@hotmail.com&gt;; "'최영식 동문(48회)'"&lt;symanchoi@hanmail.net&gt;; "'한상우 동문(54회)'"&lt;suhanmr@hanmail.net&gt;; "'허윤범 동문(57회)'"&lt;huryunbum@hanmail.net&gt;; "'홍원기 동문(64회)'"&lt;wonki@kt.com&gt;; "'홍창화 동문(58회)'"&lt;chhong@bhmc.com.cn&gt;; "김광원 동문(60회)"&lt;kwkim310@gmail.com&gt;; "'김영진 동문(41회)'"&lt;yjkimchina@gmail.com&gt;; "'김재식 동문(52회)'"&lt;kjschina@naver.com&gt;; "'김종범 동문(51회)'"&lt;jbk44@hanmail.net&gt;; "'김종수 동문(66회)'"&lt;kjsoo2006@daum.net&gt;; "김헌성 동문(49회)"&lt;heon.s.kim@samsung.com&gt;; "'서경호 동문(54회)'"&lt;proskh@hanmail.net&gt;; "'손상태 동문(74회)'"&lt;sangtae24@naver.com&gt;; "'송한욱 동문(52회)'"&lt;songhw-cn@danu.com.cn&gt;; "'엄건하 동문(47회)'"&lt;gheom@hotmail.com&gt;; "'오충렬 동문(56회)'"&lt;ochoongyul@sempio.com&gt;; "'원남연 동문(54회)'"&lt;namyeon.won@gm.com&gt;; "'유성수 동문(58회)'"&lt;robinyoo64@hanmail.net&gt;; "'유승렬 동문(75회)'"&lt;zombieryu@hotmail.com&gt;; "'이일권 동문(68회)'"&lt;ilkwan74@yahoo.co.kr&gt;; "'정의석 동문(64회)'"&lt;optchung@naver.com&gt;; "'정이준 동문(58회)'"&lt;ejoonchung@hotmail.com&gt;; "'정종민 동문(75회)'"&lt;sueinrain@hanmail.net&gt;; "'최성래 선배님(38회)'"&lt;sungraichoi@hanmail.net&gt;; "'최정길 동문(48회)'"&lt;choii9872@gmail.com&gt;; "'함진수 동문(50회)'"&lt;jshaham@hanmail.net&gt;; "'홍경선 동문(61회)'"&lt;kshong@hyosung.com&gt;; "'홍민수 동문(41회)'"&lt;chengheleather@163.com&gt;; "'강창훈 동문(55회)'"&lt;chkang@keb.co.kr&gt;; "'고찬환 동문(56회)'"&lt;chko@kolon.com.hk&gt;; "'김광수 동문(46회)'"&lt;kriskim@philconic.com&gt;; "'김덕제 선배님(34회)'"&lt;djkim@diplushtoys.com&gt;; "'박홍훈 동문(48회)'"&lt;hhpark@osglobal.com.hk&gt;; "'손창섭 동문(49회)'"&lt;csshon@keb.co.kr&gt;; "'윤기중 동문(47회)'"&lt;kjyoon@genex.com.hk&gt;; "'이광우 동문(50회)'"&lt;slrx@netvigator.com&gt;; "'이병근 동문(42회)'"&lt;bklee@gphongkong.com&gt;; "'이승훈 동문(61회)'"&lt;franklee@collworld.com&gt;; "'이창희 동문(60회)'"&lt;tedlee@green-logistics.com&gt;; "'임성재 동문(50회)'"&lt;sjlim@globallinkcor.com.hk&gt;; "'임양순 동문(63회)'"&lt;seanyim@dainong.com.hk&gt;; "'주홍민 동문(57회)'"&lt;jualba@biznetvigator.com&gt;; "'김승현 동문(60회)'"&lt;seounghyeon.kim@gz.chn.tuv.com&gt;; "문병욱 동문(54회)"&lt;jmgerizim@daum.net&gt;; "'박수덕 동문(47회)'"&lt;sdpark@163.com&gt;; "'배홍규 동문(49회)'"&lt;hkb8899@naver.com&gt;; "'신창호 동문(60회)'"&lt;jp_lab@naver.com&gt;; "'이능환 동문(53회)'"&lt;udam59@hotmail.com&gt;; "'장재근 동문(50회)'"&lt;jangjg@dreamwiz.com&gt;;</t>
  </si>
  <si>
    <t>윤승용 동문(61회)&lt;syoon@ktbvc.com&gt;</t>
  </si>
  <si>
    <t>kimdon@seoultech.ac.kr;</t>
  </si>
  <si>
    <t>LG화학YB</t>
  </si>
  <si>
    <t>임원</t>
  </si>
  <si>
    <t>email공지</t>
  </si>
  <si>
    <t>김난경</t>
  </si>
  <si>
    <t>사원</t>
  </si>
  <si>
    <t>본인</t>
  </si>
  <si>
    <t>게시판</t>
  </si>
  <si>
    <t>LG화학OB</t>
  </si>
  <si>
    <t>화우회</t>
  </si>
  <si>
    <t>010-2366-9888</t>
  </si>
  <si>
    <t>010-2488-6321</t>
  </si>
  <si>
    <t>019-673-1887;070-7443-7173</t>
  </si>
  <si>
    <t>대륙동지회</t>
  </si>
  <si>
    <t>010-7600-6888</t>
  </si>
  <si>
    <t>LG패션</t>
  </si>
  <si>
    <t>LG그룹</t>
  </si>
  <si>
    <t>영문과</t>
  </si>
  <si>
    <t>010-9040-5170</t>
  </si>
  <si>
    <t>경복고</t>
  </si>
  <si>
    <t>서울동문</t>
  </si>
  <si>
    <t>010-8703-9328;010-5479-4840</t>
  </si>
  <si>
    <t>중국동문</t>
  </si>
  <si>
    <t>019-9277-2202</t>
  </si>
  <si>
    <t>본인/아내</t>
  </si>
  <si>
    <t>본가</t>
  </si>
  <si>
    <t>010-9866-6556</t>
  </si>
  <si>
    <t>010-5630-7074</t>
  </si>
  <si>
    <t>한국</t>
  </si>
  <si>
    <t>상해 이수회</t>
  </si>
  <si>
    <t>사장님 귀하</t>
  </si>
  <si>
    <t>공장장님 귀하</t>
  </si>
  <si>
    <t>부장님 귀하</t>
  </si>
  <si>
    <t>님 귀하</t>
  </si>
  <si>
    <t>대표님 귀하</t>
  </si>
  <si>
    <t>서울 강남구 삼성동 78-1 동흥빌딩 5층  코엔펙</t>
  </si>
  <si>
    <t>011-874-7306</t>
  </si>
  <si>
    <t>604-846</t>
  </si>
  <si>
    <t>부산광역시 시하구 장림동 519 ㈜럭키화성</t>
  </si>
  <si>
    <t>송파구 신천동 7번지 장미아파트 12동 806호</t>
  </si>
  <si>
    <t>베트남에 있음</t>
  </si>
  <si>
    <t>율촌화학주식회사 서울시 동작구 신대방동 370-1 도연관빌딩 15층</t>
  </si>
  <si>
    <t>백승호사장님 주소 사용하세요 (사업지 옮긴곳 모르겠어요)</t>
  </si>
  <si>
    <t>현재 북경에 있음 : 서울시 구로구 구로동 611-26  오퍼스빌딩 625호</t>
  </si>
  <si>
    <t>부서</t>
  </si>
  <si>
    <t>직위</t>
  </si>
  <si>
    <t>전화번호
(휴대폰or사무실)</t>
  </si>
  <si>
    <t>15-721</t>
  </si>
  <si>
    <t>LG화학 대표이사</t>
  </si>
  <si>
    <t>대표이사</t>
  </si>
  <si>
    <t>부회장</t>
  </si>
  <si>
    <t>동관 24층</t>
  </si>
  <si>
    <t>02-3773-3007</t>
  </si>
  <si>
    <t>석유화학사업본부</t>
  </si>
  <si>
    <t>사업본부장</t>
  </si>
  <si>
    <t>사장</t>
  </si>
  <si>
    <t>동관 23층</t>
  </si>
  <si>
    <t>02-3773-3040</t>
  </si>
  <si>
    <t>NCC/PO사업부</t>
  </si>
  <si>
    <t>사업부장</t>
  </si>
  <si>
    <t>부사장</t>
  </si>
  <si>
    <t>010-5684-7014</t>
  </si>
  <si>
    <t>LG KAZAK</t>
  </si>
  <si>
    <t>동관 25층</t>
  </si>
  <si>
    <t>010-2232-7330</t>
  </si>
  <si>
    <t>PVC사업부</t>
  </si>
  <si>
    <t>ABS/EP.국내영업담당</t>
  </si>
  <si>
    <t>부문담당</t>
  </si>
  <si>
    <t>상무</t>
  </si>
  <si>
    <t>ABS/EP사업부</t>
  </si>
  <si>
    <t>전무</t>
  </si>
  <si>
    <t>010-8479-3353</t>
  </si>
  <si>
    <t>소형전지사업부</t>
  </si>
  <si>
    <t>동관 26층</t>
  </si>
  <si>
    <t>010-2232-7141</t>
  </si>
  <si>
    <t>LGCE NJ</t>
  </si>
  <si>
    <t>법인장</t>
  </si>
  <si>
    <t>중국/LGCE NJ(남경)</t>
  </si>
  <si>
    <t>156-0159-0303</t>
  </si>
  <si>
    <t>자동차전지.마케팅2담당</t>
  </si>
  <si>
    <t>동관 10층</t>
  </si>
  <si>
    <t>010-8242-5177</t>
  </si>
  <si>
    <t>정보전자소재사업본부</t>
  </si>
  <si>
    <t>One IFC빌딩 14F</t>
  </si>
  <si>
    <t>02-3773-3050</t>
  </si>
  <si>
    <t>IT Film사업담당</t>
  </si>
  <si>
    <t>한국/청주공장</t>
  </si>
  <si>
    <t>전자재료사업부</t>
  </si>
  <si>
    <t>010-2206-6902</t>
  </si>
  <si>
    <t>광학소재.마케팅담당</t>
  </si>
  <si>
    <t>수석부장</t>
  </si>
  <si>
    <t>One IFC 빌딩</t>
  </si>
  <si>
    <t>010-2232-7153</t>
  </si>
  <si>
    <t>광학소재사업부</t>
  </si>
  <si>
    <t>한국/오창1공장</t>
  </si>
  <si>
    <t>010-5553-7479</t>
  </si>
  <si>
    <t>중국지역총괄</t>
  </si>
  <si>
    <t>부문총괄</t>
  </si>
  <si>
    <t>중국트윈타워 서관 22층</t>
  </si>
  <si>
    <t>159-0111-9967</t>
  </si>
  <si>
    <t>LGCAI</t>
  </si>
  <si>
    <t>미국/LGCAI(뉴저지)</t>
  </si>
  <si>
    <t>+1-201-638-6535</t>
  </si>
  <si>
    <t>LGCEG</t>
  </si>
  <si>
    <t>독일/LGCEG(프랑크푸르트)</t>
  </si>
  <si>
    <t>0172-308-0060</t>
  </si>
  <si>
    <t>기술연구원</t>
  </si>
  <si>
    <t>원장</t>
  </si>
  <si>
    <t>한국/기술연구원/테크센타</t>
  </si>
  <si>
    <t>010-5736-2586</t>
  </si>
  <si>
    <t>CRD연구소.PMS PJT</t>
  </si>
  <si>
    <t>연구위원</t>
  </si>
  <si>
    <t>010-7759-2859</t>
  </si>
  <si>
    <t>조왕제</t>
  </si>
  <si>
    <t>CNOOC LG</t>
  </si>
  <si>
    <t>중국 광동성 혜주시 대아만개발구</t>
  </si>
  <si>
    <t>158-1988-0666</t>
  </si>
  <si>
    <t>석유화학.대산.경영지원담당</t>
  </si>
  <si>
    <t>한국/대산공장</t>
  </si>
  <si>
    <t>010-5662-1600</t>
  </si>
  <si>
    <t>CFO</t>
  </si>
  <si>
    <t>동관 22층</t>
  </si>
  <si>
    <t>02-3773-7004</t>
  </si>
  <si>
    <t>LG생명과학</t>
  </si>
  <si>
    <t>019-232-7501</t>
  </si>
  <si>
    <t>경리담당</t>
  </si>
  <si>
    <t>한국/트윈빌딩</t>
  </si>
  <si>
    <t>010-5710-7028</t>
  </si>
  <si>
    <t>경영기획담당</t>
  </si>
  <si>
    <t>010-2275-0547</t>
  </si>
  <si>
    <t>(주)LG</t>
  </si>
  <si>
    <t>인사,노경,교육,총무</t>
  </si>
  <si>
    <t>CHO</t>
  </si>
  <si>
    <t>010-2273-2040</t>
  </si>
  <si>
    <t>인사담당</t>
  </si>
  <si>
    <t>010-8149-0984</t>
  </si>
  <si>
    <t>인재개발담당 겸 Leadership Center장</t>
  </si>
  <si>
    <t>010-2232-7357</t>
  </si>
  <si>
    <t>석유화학.경영진단담당</t>
  </si>
  <si>
    <t>010-8273-1600</t>
  </si>
  <si>
    <t>010-7501-4460</t>
  </si>
  <si>
    <t>석유화학.신사업개발담당</t>
  </si>
  <si>
    <t>LG MMA</t>
  </si>
  <si>
    <t>One IFC 빌딩 27F</t>
  </si>
  <si>
    <t>02-6930-3810</t>
  </si>
  <si>
    <t>카자흐스탄PJT 
(신사업발굴담당)</t>
  </si>
  <si>
    <t>019-9599-6605</t>
  </si>
  <si>
    <t>대외협력담당</t>
  </si>
  <si>
    <t>010-2232-7033</t>
  </si>
  <si>
    <t>석유화학.구매담당</t>
  </si>
  <si>
    <t>010-8146-4650</t>
  </si>
  <si>
    <t>정보전자소재.품질/혁신담당</t>
  </si>
  <si>
    <t>One IFC 빌딩 14F</t>
  </si>
  <si>
    <t>정보전략담당</t>
  </si>
  <si>
    <t>019-621-1001</t>
  </si>
  <si>
    <t>고문</t>
  </si>
  <si>
    <t>하나증권빌딩</t>
  </si>
  <si>
    <t>019-232-7793</t>
  </si>
  <si>
    <t>자문</t>
  </si>
  <si>
    <t>(주)씨텍</t>
  </si>
  <si>
    <t>010-2232-7142</t>
  </si>
  <si>
    <t>ABS/EP.해외영업담당</t>
  </si>
  <si>
    <t>010-9341-4644</t>
  </si>
  <si>
    <t>PVC.영업1팀</t>
  </si>
  <si>
    <t>팀장</t>
  </si>
  <si>
    <t>부장</t>
  </si>
  <si>
    <t>PVC.영업담당</t>
  </si>
  <si>
    <t>010-8232-7404</t>
  </si>
  <si>
    <t>ABS/EP.혁신팀</t>
  </si>
  <si>
    <t>010-7592-6064</t>
  </si>
  <si>
    <t>LGCE TP</t>
  </si>
  <si>
    <t>차장</t>
  </si>
  <si>
    <t>대만/LGCE TP(대만)</t>
  </si>
  <si>
    <t>886-97-273-8102</t>
  </si>
  <si>
    <t>CNOOC LG (영업/구매)</t>
  </si>
  <si>
    <t>중국 (Huizhou)</t>
  </si>
  <si>
    <t>158-1988-0777</t>
  </si>
  <si>
    <t>NCC/PO.특수영업1팀</t>
  </si>
  <si>
    <t>019-403-9884</t>
  </si>
  <si>
    <t>PVC.S/T해외영업팀</t>
  </si>
  <si>
    <t>PVC.여수.PVC공장</t>
  </si>
  <si>
    <t>공장장</t>
  </si>
  <si>
    <t>한국/여수공장(PVC공장)</t>
  </si>
  <si>
    <t>아크릴/가소제.아크릴레이트영업팀</t>
  </si>
  <si>
    <t>010-2311-1481</t>
  </si>
  <si>
    <t>LG KAZAK (경영관리)</t>
  </si>
  <si>
    <t>010-5749-1888</t>
  </si>
  <si>
    <t>소형전지.Pack개발담당</t>
  </si>
  <si>
    <t>010-2375-9723</t>
  </si>
  <si>
    <t>금융팀</t>
  </si>
  <si>
    <t>010-7665-8450</t>
  </si>
  <si>
    <t>홍보팀</t>
  </si>
  <si>
    <t>010-2232-7600</t>
  </si>
  <si>
    <t>LCD유리.기획팀</t>
  </si>
  <si>
    <t>한국/파주공장</t>
  </si>
  <si>
    <t>010-7610-2485</t>
  </si>
  <si>
    <t>010-5886-4284</t>
  </si>
  <si>
    <t>ABS/EP.여수.공정기술팀</t>
  </si>
  <si>
    <t>한국/여수공장 (ABS/EP공장)</t>
  </si>
  <si>
    <t>010-3930-1640</t>
  </si>
  <si>
    <t>아크릴/가소제.여수.3AA팀</t>
  </si>
  <si>
    <t>생산파트장</t>
  </si>
  <si>
    <t>한국/여수공장 (3AA팀)</t>
  </si>
  <si>
    <t>010-5605-4979</t>
  </si>
  <si>
    <t>아크릴/가소제.점착제/유동화제영업팀</t>
  </si>
  <si>
    <t>010-8465-7228</t>
  </si>
  <si>
    <t>ABS/EP.구미주팀(미주P)</t>
  </si>
  <si>
    <t>010-5584-9411</t>
  </si>
  <si>
    <t>LGCE WR</t>
  </si>
  <si>
    <t>폴란드/LGCE WR(브로츠와프)</t>
  </si>
  <si>
    <t>48-600-497-111</t>
  </si>
  <si>
    <t>전지.경영진단팀</t>
  </si>
  <si>
    <t>동관 27층</t>
  </si>
  <si>
    <t>010-2232-7048</t>
  </si>
  <si>
    <t>중국지역총괄 (재무팀장)</t>
  </si>
  <si>
    <t>134-6677-3090</t>
  </si>
  <si>
    <t>회계관리팀</t>
  </si>
  <si>
    <t>동관 21층</t>
  </si>
  <si>
    <t>010-7758-3182</t>
  </si>
  <si>
    <t>LG DAGU (생산담당)</t>
  </si>
  <si>
    <t>중국/LG DAGU(천진)</t>
  </si>
  <si>
    <t>139-2070-2280</t>
  </si>
  <si>
    <t>PVC.마케팅팀</t>
  </si>
  <si>
    <t>010-8175-1999</t>
  </si>
  <si>
    <t>석유화학연구소.CNT PJT</t>
  </si>
  <si>
    <t>한국/기술연구원/테크센타 (특파2동2층)</t>
  </si>
  <si>
    <t>010-8363-5568</t>
  </si>
  <si>
    <t>PVC.P/T영업팀</t>
  </si>
  <si>
    <t>010-2338-9030</t>
  </si>
  <si>
    <t>LG BOHAI</t>
  </si>
  <si>
    <t>중국/LG BOHAI(천진)</t>
  </si>
  <si>
    <t>150-2247-6933</t>
  </si>
  <si>
    <t>PVC.영업2팀(영남영업소)</t>
  </si>
  <si>
    <t>영업소장</t>
  </si>
  <si>
    <t>한국/부산영업소</t>
  </si>
  <si>
    <t>010-2241-5718</t>
  </si>
  <si>
    <t>LGCIN</t>
  </si>
  <si>
    <t>인도/LGCIN(뉴델리)</t>
  </si>
  <si>
    <t>91-98-9901-0876</t>
  </si>
  <si>
    <t>이스탄불지사</t>
  </si>
  <si>
    <t>지사장</t>
  </si>
  <si>
    <t>터키/이스탄불지사</t>
  </si>
  <si>
    <t>+90 530 2655600</t>
  </si>
  <si>
    <t>010-7579-0327</t>
  </si>
  <si>
    <t>과장</t>
  </si>
  <si>
    <t>010-2227-2228</t>
  </si>
  <si>
    <t>영업담당</t>
  </si>
  <si>
    <t>139-2077-9885</t>
  </si>
  <si>
    <t>PVC.영업2팀</t>
  </si>
  <si>
    <t>010-8224-7405</t>
  </si>
  <si>
    <t>아크릴/가소제.가소제영업팀</t>
  </si>
  <si>
    <t>010-8289-9279</t>
  </si>
  <si>
    <t>LGCC TJ</t>
  </si>
  <si>
    <t>중국/LGCC TJ(천진EP) (무창개발구)</t>
  </si>
  <si>
    <t>186-2281-0566</t>
  </si>
  <si>
    <t>LGCCI/광주.석유화학영업담당</t>
  </si>
  <si>
    <t>중국/LGCCI(광주)</t>
  </si>
  <si>
    <t>LG YX(영업)</t>
  </si>
  <si>
    <t>중국/LG YX, YC, YL(영파)</t>
  </si>
  <si>
    <t>139-0661-4022</t>
  </si>
  <si>
    <t>LGCEG(유럽 총괄)</t>
  </si>
  <si>
    <t>독일/LGCEG(독일) (프랑크푸르트)</t>
  </si>
  <si>
    <t>아크릴/가소제.알콜영업팀</t>
  </si>
  <si>
    <t>010-8232-7051</t>
  </si>
  <si>
    <t>ABS/EP.여수.EPS생산P</t>
  </si>
  <si>
    <t>실장</t>
  </si>
  <si>
    <t>한국/여수공장</t>
  </si>
  <si>
    <t>010-2299-2063</t>
  </si>
  <si>
    <t>아크릴/가소제.NPG/IPA영업팀(NPG수출)</t>
  </si>
  <si>
    <t>동관 20층</t>
  </si>
  <si>
    <t>010-3905-7581</t>
  </si>
  <si>
    <t>010-8332-7410</t>
  </si>
  <si>
    <t>019-386-7416</t>
  </si>
  <si>
    <t>동경지사</t>
  </si>
  <si>
    <t>일본/일본 동경 지사 (Akasaka Twin BD)</t>
  </si>
  <si>
    <t>81-80-8475-7773</t>
  </si>
  <si>
    <t>ABS/EP.익산.기술팀</t>
  </si>
  <si>
    <t>한국/익산공장 (ABS/EP 기술팀)</t>
  </si>
  <si>
    <t>010-5559-4039</t>
  </si>
  <si>
    <t>LGCCI(정보전자소재영업)</t>
  </si>
  <si>
    <t>중국/LGCE BJ(북경)</t>
  </si>
  <si>
    <t>158-0515-8278</t>
  </si>
  <si>
    <t>886-97-0077-001</t>
  </si>
  <si>
    <t>한국/One IFC 빌딩</t>
  </si>
  <si>
    <t>아크릴/가소제.마케팅팀</t>
  </si>
  <si>
    <t>010-7747-8108</t>
  </si>
  <si>
    <t>LGCCI.Staff부문.재무팀.IT지원</t>
  </si>
  <si>
    <t>모스크바지사</t>
  </si>
  <si>
    <t>러시아/모스크바지사</t>
  </si>
  <si>
    <t>+7(495)960-7974</t>
  </si>
  <si>
    <t>한국/트윈빌딩 (특수영업1팀)</t>
  </si>
  <si>
    <t>010-8461-3600</t>
  </si>
  <si>
    <t>LG BOTIAN</t>
  </si>
  <si>
    <t>중국/LG BOTIAN(천진) (总经理)</t>
  </si>
  <si>
    <t>137-5236-1012</t>
  </si>
  <si>
    <t>PVC.기획팀</t>
  </si>
  <si>
    <t>010-5638-1998</t>
  </si>
  <si>
    <t>석유화학.경영지원팀</t>
  </si>
  <si>
    <t>010-2468-7360</t>
  </si>
  <si>
    <t>소형전지.마케팅1담당</t>
  </si>
  <si>
    <t>010-8233-5820</t>
  </si>
  <si>
    <t>전화번호</t>
  </si>
  <si>
    <t>재무회계</t>
  </si>
  <si>
    <t>010-7637-1500</t>
  </si>
  <si>
    <t>김요완</t>
  </si>
  <si>
    <t>ABS/EP.중국팀</t>
  </si>
  <si>
    <t>010-7769-3770</t>
  </si>
  <si>
    <t>ABS/EP.신소재시장개척팀</t>
  </si>
  <si>
    <t>010-2280-6944</t>
  </si>
  <si>
    <t>아크릴/가소제.신사업개발팀</t>
  </si>
  <si>
    <t>동관 21 층</t>
  </si>
  <si>
    <t>010-2305-9452</t>
  </si>
  <si>
    <t>아크릴/가소제.NPG/IPA영업팀</t>
  </si>
  <si>
    <t>010-5777-4298</t>
  </si>
  <si>
    <t>TECH센터.기획팀</t>
  </si>
  <si>
    <t>010-2432-8501</t>
  </si>
  <si>
    <t>TECH센터.IT/OA팀</t>
  </si>
  <si>
    <t>010-8383-8758</t>
  </si>
  <si>
    <t>TECH센터.고무/특수수지팀</t>
  </si>
  <si>
    <t>010-8460-8545</t>
  </si>
  <si>
    <t>ABS/EP.익산.Color Design팀</t>
  </si>
  <si>
    <t>한국/익산공장</t>
  </si>
  <si>
    <t>010-5686-8636</t>
  </si>
  <si>
    <t>고무/특수수지.SBS영업팀</t>
  </si>
  <si>
    <t>동관20층</t>
  </si>
  <si>
    <t>010-2280-0939</t>
  </si>
  <si>
    <t>조직문화팀</t>
  </si>
  <si>
    <t>동관22층</t>
  </si>
  <si>
    <t>010-7635-8886</t>
  </si>
  <si>
    <t>석유화학.여수.경영지원팀</t>
  </si>
  <si>
    <t>010-8237-3018</t>
  </si>
  <si>
    <t>법무팀</t>
  </si>
  <si>
    <t>010-2372-3388</t>
  </si>
  <si>
    <t>PVC.여수.VCM공정기술팀</t>
  </si>
  <si>
    <t>한국/여수공장 (VCM 공장)</t>
  </si>
  <si>
    <t>010-5684-6830</t>
  </si>
  <si>
    <t>PVC.혁신TFT</t>
  </si>
  <si>
    <t>한국/여수공장 (PVC공정기술팀)</t>
  </si>
  <si>
    <t>010-3949-2871</t>
  </si>
  <si>
    <t>LGCE NJ 관리담당</t>
  </si>
  <si>
    <t>관리담당</t>
  </si>
  <si>
    <t>1560-514-8899</t>
  </si>
  <si>
    <t>IT Film.QA팀</t>
  </si>
  <si>
    <t>010-7526-3370</t>
  </si>
  <si>
    <t>이명석</t>
  </si>
  <si>
    <t>LGCPI</t>
  </si>
  <si>
    <t>미국/LGCPI(Troy, Michigan)</t>
  </si>
  <si>
    <t>248-808-2660</t>
  </si>
  <si>
    <t>010-8469-6120</t>
  </si>
  <si>
    <t>동명이인인가? 모르겠네..</t>
  </si>
  <si>
    <t>카자흐스탄PJT</t>
  </si>
  <si>
    <t>TECH센터.PVC팀</t>
  </si>
  <si>
    <t>한국/기술연구원/테크센타 (PVC팀)</t>
  </si>
  <si>
    <t>010-8306-8876</t>
  </si>
  <si>
    <t>■ 임원 현황</t>
  </si>
  <si>
    <t>1) 임원(22명)</t>
  </si>
  <si>
    <t>기초인적사항</t>
  </si>
  <si>
    <t>추가인적사항</t>
  </si>
  <si>
    <t>입사일자</t>
  </si>
  <si>
    <t>연락처</t>
  </si>
  <si>
    <t>근무지</t>
  </si>
  <si>
    <t>사번</t>
  </si>
  <si>
    <t>성명</t>
  </si>
  <si>
    <t>직군</t>
  </si>
  <si>
    <t>소속</t>
  </si>
  <si>
    <t>성별</t>
  </si>
  <si>
    <t>건물</t>
  </si>
  <si>
    <t>회장</t>
  </si>
  <si>
    <t>등기임원</t>
  </si>
  <si>
    <t>남성</t>
  </si>
  <si>
    <t>019-000-0000</t>
  </si>
  <si>
    <t>02-3441-8000</t>
  </si>
  <si>
    <t>서관5층</t>
  </si>
  <si>
    <t>서관</t>
  </si>
  <si>
    <t>서울특별시 강남구 신사동 617-3번지 LG패션</t>
  </si>
  <si>
    <t>010-2233-5125</t>
  </si>
  <si>
    <t>02-3441-8006</t>
  </si>
  <si>
    <t>동관</t>
  </si>
  <si>
    <t>서울특별시 강남구 신사동 637-1번지 LG패션</t>
  </si>
  <si>
    <t>부문장</t>
  </si>
  <si>
    <t>경영지원부문</t>
  </si>
  <si>
    <t>010-5688-9888</t>
  </si>
  <si>
    <t>02-3441-8003</t>
  </si>
  <si>
    <t>별관</t>
  </si>
  <si>
    <t>서울특별시 강남구 신사동 637-3번지</t>
  </si>
  <si>
    <t>스포츠부문</t>
  </si>
  <si>
    <t>010-2233-5070</t>
  </si>
  <si>
    <t>02-3441-8617</t>
  </si>
  <si>
    <t>뉴서울빌딩10층</t>
  </si>
  <si>
    <t>신관</t>
  </si>
  <si>
    <t>서울특별시 강남구 신사동 637-7번지</t>
  </si>
  <si>
    <t>전략사업부문</t>
  </si>
  <si>
    <t>010-9636-7578</t>
  </si>
  <si>
    <t>02-3441-4700</t>
  </si>
  <si>
    <t>보담6층</t>
  </si>
  <si>
    <t>보담</t>
  </si>
  <si>
    <t>서울특별시 강남구 청담동 31-11</t>
  </si>
  <si>
    <t>숙녀캐주얼부문</t>
  </si>
  <si>
    <t>010-8321-3355</t>
  </si>
  <si>
    <t>02-3441-8540</t>
  </si>
  <si>
    <t>동관6층</t>
  </si>
  <si>
    <t>뉴서</t>
  </si>
  <si>
    <t>서울특별시 강남구 신사동 618-3번지</t>
  </si>
  <si>
    <t>김신홍</t>
  </si>
  <si>
    <t>본부장</t>
  </si>
  <si>
    <t>경영혁신본부</t>
  </si>
  <si>
    <t>010-3000-3116</t>
  </si>
  <si>
    <t>02-3441-8150</t>
  </si>
  <si>
    <t>태승</t>
  </si>
  <si>
    <t>서울특별시 신사동 618-4번지</t>
  </si>
  <si>
    <t>조규원</t>
  </si>
  <si>
    <t>감사</t>
  </si>
  <si>
    <t>감사위원</t>
  </si>
  <si>
    <t>감사실</t>
  </si>
  <si>
    <t>010-2238-3823</t>
  </si>
  <si>
    <t>02-3441-9123</t>
  </si>
  <si>
    <t>서관4층</t>
  </si>
  <si>
    <t>조원준</t>
  </si>
  <si>
    <t>신사캐주얼영업본부</t>
  </si>
  <si>
    <t>010-2378-3420</t>
  </si>
  <si>
    <t>02-3441-8400</t>
  </si>
  <si>
    <t>태승빌딩5층</t>
  </si>
  <si>
    <t>숙녀2사업부</t>
  </si>
  <si>
    <t>010-7671-1301</t>
  </si>
  <si>
    <t>02-3441-8555</t>
  </si>
  <si>
    <t>동관5층</t>
  </si>
  <si>
    <t>해외사업부</t>
  </si>
  <si>
    <t>여성</t>
  </si>
  <si>
    <t>010-7755-2090</t>
  </si>
  <si>
    <t>02-3441-8070</t>
  </si>
  <si>
    <t>신사캐주얼부문</t>
  </si>
  <si>
    <t>010-2233-5120</t>
  </si>
  <si>
    <t>02-3441-8230</t>
  </si>
  <si>
    <t>태승빌딩2층</t>
  </si>
  <si>
    <t>강철</t>
  </si>
  <si>
    <t>e-Biz사업부</t>
  </si>
  <si>
    <t>010-3785-2881</t>
  </si>
  <si>
    <t>02-3441-8340</t>
  </si>
  <si>
    <t>보담4층</t>
  </si>
  <si>
    <t>이종호</t>
  </si>
  <si>
    <t>상무보</t>
  </si>
  <si>
    <t>스포츠영업본부</t>
  </si>
  <si>
    <t>010-2233-7585</t>
  </si>
  <si>
    <t>02-3441-8686</t>
  </si>
  <si>
    <t>뉴서울빌딩2층</t>
  </si>
  <si>
    <t>경영관리실</t>
  </si>
  <si>
    <t>010-2343-6721</t>
  </si>
  <si>
    <t>02-3441-8073</t>
  </si>
  <si>
    <t>신관3층</t>
  </si>
  <si>
    <t>인재개발실</t>
  </si>
  <si>
    <t>010-9889-2426</t>
  </si>
  <si>
    <t>02-3441-8289</t>
  </si>
  <si>
    <t>정승기</t>
  </si>
  <si>
    <t>Acc사업부</t>
  </si>
  <si>
    <t>010-3199-1570</t>
  </si>
  <si>
    <t>02-3441-8691</t>
  </si>
  <si>
    <t>동관2층</t>
  </si>
  <si>
    <t>김덕희</t>
  </si>
  <si>
    <t>숙녀1사업부</t>
  </si>
  <si>
    <t>010-9009-2266</t>
  </si>
  <si>
    <t>02-3441-9127</t>
  </si>
  <si>
    <t>강태수</t>
  </si>
  <si>
    <t>숙녀캐주얼영업본부</t>
  </si>
  <si>
    <t>010-7685-1624</t>
  </si>
  <si>
    <t>02-3441-9142</t>
  </si>
  <si>
    <t>동관8층</t>
  </si>
  <si>
    <t>VZ사업부</t>
  </si>
  <si>
    <t>010-2333-1812</t>
  </si>
  <si>
    <t>02-3441-8102</t>
  </si>
  <si>
    <t>별관3층</t>
  </si>
  <si>
    <t>스포츠아웃도어사업부</t>
  </si>
  <si>
    <t>010-3933-5964</t>
  </si>
  <si>
    <t>02-3441-8646</t>
  </si>
  <si>
    <t>뉴서울빌딩9층</t>
  </si>
  <si>
    <t>윤석진</t>
  </si>
  <si>
    <t>가두사업부(인터스포츠)</t>
  </si>
  <si>
    <t>010-4284-0473</t>
  </si>
  <si>
    <t>02-3441-4940</t>
  </si>
  <si>
    <t>2) CD(Creative Director, 5명)</t>
  </si>
  <si>
    <t>나효진</t>
  </si>
  <si>
    <t>CD</t>
  </si>
  <si>
    <t>010-2271-2822</t>
  </si>
  <si>
    <t>02-3441-8520</t>
  </si>
  <si>
    <t>이지은</t>
  </si>
  <si>
    <t>010-5656-4010</t>
  </si>
  <si>
    <t>02-3441-8210</t>
  </si>
  <si>
    <t>조수빈</t>
  </si>
  <si>
    <t>패션리서치&amp;컨설팅실</t>
  </si>
  <si>
    <t>010-9971-7471</t>
  </si>
  <si>
    <t>02-3441-8539</t>
  </si>
  <si>
    <t>별관6층</t>
  </si>
  <si>
    <t>김선영</t>
  </si>
  <si>
    <t>Acc부문</t>
  </si>
  <si>
    <t>010-4213-8505</t>
  </si>
  <si>
    <t>02-3441-4780</t>
  </si>
  <si>
    <t>동관3층</t>
  </si>
  <si>
    <t>스포츠디자인센터</t>
  </si>
  <si>
    <t>010-5220-7177</t>
  </si>
  <si>
    <t>02-3441-8349</t>
  </si>
  <si>
    <t>뉴서울빌딩5층</t>
  </si>
  <si>
    <t>친인척 주소록</t>
  </si>
  <si>
    <t>작성기준일:2012.9.30</t>
  </si>
  <si>
    <t>연번</t>
  </si>
  <si>
    <t>HP</t>
  </si>
  <si>
    <t>집전화</t>
  </si>
  <si>
    <t>주                                  소</t>
  </si>
  <si>
    <t>참고사항</t>
  </si>
  <si>
    <t>비  고</t>
  </si>
  <si>
    <t>010-8670-5611</t>
  </si>
  <si>
    <t>02-473-5181</t>
  </si>
  <si>
    <t>송갑순</t>
  </si>
  <si>
    <t>016-9700-5989</t>
  </si>
  <si>
    <t>박용학</t>
  </si>
  <si>
    <t>02-300-5283</t>
  </si>
  <si>
    <t>122-873</t>
  </si>
  <si>
    <t>031-900-2580</t>
  </si>
  <si>
    <t>02-952-1688</t>
  </si>
  <si>
    <t>412-818</t>
  </si>
  <si>
    <t>박형춘</t>
  </si>
  <si>
    <t>016-614-2271</t>
  </si>
  <si>
    <t>062-529-2271</t>
  </si>
  <si>
    <t>양병현</t>
  </si>
  <si>
    <t>010-7196-9641</t>
  </si>
  <si>
    <t>010-8445-5146</t>
  </si>
  <si>
    <t>432-762</t>
  </si>
  <si>
    <t>정순애에서 개명</t>
  </si>
  <si>
    <t>017-263-6200</t>
  </si>
  <si>
    <t>불명</t>
  </si>
  <si>
    <t>010-9869-7875</t>
  </si>
  <si>
    <t>010-8577-1636</t>
  </si>
  <si>
    <t>02-3142-1429</t>
  </si>
  <si>
    <t>010-2128-1636김신혜</t>
  </si>
  <si>
    <t>010-9855-1681</t>
  </si>
  <si>
    <t>063-250-1681</t>
  </si>
  <si>
    <t>전북 전주시 덕진구 효성동 1가 진흥더블파크 1단지(아) 104동 906호</t>
  </si>
  <si>
    <t>011-711-5777</t>
  </si>
  <si>
    <t>02-441-4854</t>
  </si>
  <si>
    <t>011-753-4103</t>
  </si>
  <si>
    <t>화엽동생</t>
  </si>
  <si>
    <t>010-3728-9036</t>
  </si>
  <si>
    <t>042-864-4273</t>
  </si>
  <si>
    <t>010-8738-6558</t>
  </si>
  <si>
    <t>070-8288-2295</t>
  </si>
  <si>
    <t>서울 서초구 방배2동 968-25 한신빌라A 6동 105호</t>
  </si>
  <si>
    <t>016-655-1808</t>
  </si>
  <si>
    <t>063-225-3228</t>
  </si>
  <si>
    <t>560-241</t>
  </si>
  <si>
    <t>전주시 완산구 효자동 남양황실(아) 2동 1205호</t>
  </si>
  <si>
    <t>010-8665-4706</t>
  </si>
  <si>
    <t>주소확인요</t>
  </si>
  <si>
    <t>010-8668-6644</t>
  </si>
  <si>
    <t>063-252-1011</t>
  </si>
  <si>
    <t>전북 전주시 덕진구 진북도유동국해성(아) 103동 1206호</t>
  </si>
  <si>
    <t>010-6655-1996</t>
  </si>
  <si>
    <t>063-228-6829</t>
  </si>
  <si>
    <t>010-6393-5483</t>
  </si>
  <si>
    <t>02-885-5483</t>
  </si>
  <si>
    <t>서울 관악구 성천동 일두(아) 4동 202호</t>
  </si>
  <si>
    <t>나화연아들</t>
  </si>
  <si>
    <t>010-7125-8943</t>
  </si>
  <si>
    <t>02-6223-2949</t>
  </si>
  <si>
    <t>최낙촌할머니친척</t>
  </si>
  <si>
    <t>누나남편</t>
  </si>
  <si>
    <t>011-670-4327</t>
  </si>
  <si>
    <t>dragonyhr@hanmail.net</t>
  </si>
  <si>
    <t>011-9641-1805</t>
  </si>
  <si>
    <t>063-241-1805</t>
  </si>
  <si>
    <t>왕래전혀없다함</t>
  </si>
  <si>
    <t>02-775-3610</t>
  </si>
  <si>
    <t>137-821</t>
  </si>
  <si>
    <t>서울 용산구 후암동 남산브라운스톤 5층 502호</t>
  </si>
  <si>
    <t>1.외가는 순애(우현)에게  전화하여 보완하고</t>
  </si>
  <si>
    <t>2.우종상은 전주에서도 래왕이 없다하니 참고하고</t>
  </si>
  <si>
    <t>3.박명식은 창신동 살 때 할머니 친척이라 들었는데 통상 우리는 누나라고 불렀고 희원이 홍엽이 예식때 참석했었다.</t>
  </si>
  <si>
    <t>아이들 이름이 박경희는 시집 갔고 박 훈이는 나이 40이 가까운데 아직 장가를 들지 못했다던가..</t>
  </si>
  <si>
    <t>4.상현주소가 불명타.</t>
  </si>
  <si>
    <t>경기 용인시수지구 성복동155 성동마을 LG빌리지1차102-1604</t>
  </si>
  <si>
    <t>경기 고양시 일산구 일산동1654 산들마을 305-902</t>
  </si>
  <si>
    <t>서울 중구 장충동1가 104 상지리츠빌 카일룸빌라 202호</t>
  </si>
  <si>
    <t>경기 안양시 동안구 관양동 현대아파트 1-1306</t>
  </si>
  <si>
    <t>서울 강남구 일원1동 665-9호</t>
  </si>
  <si>
    <t>서울 강남구 대치2동 미도아파트 209-508</t>
  </si>
  <si>
    <t>서울 구로구 신도림동 대림아파트 406-2101</t>
  </si>
  <si>
    <t>서울 강남구 역삼1동 금호어울림아파트 102-1503</t>
  </si>
  <si>
    <t>경기 안양시 동안구 범계동 경남동아아파트 801-904</t>
  </si>
  <si>
    <t>경기 김포시 장기동 청송마을 현대홈타운 208-1402</t>
  </si>
  <si>
    <t>서울 용산구 이촌1동 한강자이아파트 107-801</t>
  </si>
  <si>
    <t>경기 고양시 일산서구 주엽2동 32 문촌우성아파트 306-802</t>
  </si>
  <si>
    <t>서울 송파구 오륜동 올림픽선수촌아파트 124-301</t>
  </si>
  <si>
    <t>서울 송파구 문정2동 150 훼미리아파트 217-701</t>
  </si>
  <si>
    <t>서울 강남구 대치동 670 동부센트레빌 105-2103</t>
  </si>
  <si>
    <t>서울 서초구 방배동 884-21 방배e-편한세상1차 102-301</t>
  </si>
  <si>
    <t>서울 강남구 압구정1동 현대아파트 80-1401</t>
  </si>
  <si>
    <t>경기 고양시 일산동구 마두1동 739 백마마을 극동아파트 207-901</t>
  </si>
  <si>
    <t>경기 과천시 원문동 래미안 슈르아파트 330-1503</t>
  </si>
  <si>
    <t>서울 강남구 삼성1동 87 아이파크 삼성동 이스트윈 1703호</t>
  </si>
  <si>
    <t>서울 강동구 암사3동 한강 현대아파트 103-201</t>
  </si>
  <si>
    <t>서울 양천구 신정동 목동아파트 1021-501</t>
  </si>
  <si>
    <t>경기 성남시 분당구 야탑동 탑마을 대우아파트 211-702</t>
  </si>
  <si>
    <t>서울 송파구 문정2동 150 훼미리아파트 219-1404</t>
  </si>
  <si>
    <t>서울 성북구 정릉2동 192-272</t>
  </si>
  <si>
    <t>경기 용인시 기흥구 보정동 1282 신촌마을 포스홈타운아파트 1단지 211-702</t>
  </si>
  <si>
    <t>경기 김포시 장기동 우남퍼스트빌 514-1301</t>
  </si>
  <si>
    <t>경기 부천시 소사구 범박동 현대홈타운 606-2201</t>
  </si>
  <si>
    <t>서울 송파구 잠실6동 롯데캐슬골드 101-2907</t>
  </si>
  <si>
    <t>서울 중구 회현동1가 206 남산SK리더스뷰 윌로우2604호</t>
  </si>
  <si>
    <t>서울 서초구</t>
  </si>
  <si>
    <t>서울 송파구 방이동 198-9 현대홈타운스위트 104-503</t>
  </si>
  <si>
    <t>경기 용인시 수지구 신봉동 LG신자이2차아파트 217-1802</t>
  </si>
  <si>
    <t>서울 송파구 가락2동 극동아파트 4-1201</t>
  </si>
  <si>
    <t>서울 서초구 서초중앙로 188 아크로비스타 C-2502</t>
  </si>
  <si>
    <t>서울 서초구 서초4동 서초래미안아파트 108-1603</t>
  </si>
  <si>
    <t>서울 송파구 방이동 212-8 코오롱 아파트 101-1406</t>
  </si>
  <si>
    <t>경기 용인시 수지구 성복동 155 성동마을 LG빌리지1차 115-1602</t>
  </si>
  <si>
    <t>경기 공양시 일산구 마두동 백마마을 극동아파트 213-901</t>
  </si>
  <si>
    <t>서울 서초구 방배동 롯데캐슬로제 103-204</t>
  </si>
  <si>
    <t>경기 용인시 성복동 155 성동마을 LG빌리지 1차 114-1003</t>
  </si>
  <si>
    <t>경남 창원시 성주동 대동프리빌리지 110-1006</t>
  </si>
  <si>
    <t>서울 서초구 우면동 57 대림아파트 103-1002</t>
  </si>
  <si>
    <t>서울 서초구 방배1동 888-53 GS방배자이아파트 103-102</t>
  </si>
  <si>
    <t>서울 강남구 삼성2동11번지 롯데캐슬프레미어 106-104</t>
  </si>
  <si>
    <t>서울 광진구 광장동 218-1 극동아파트 2-704</t>
  </si>
  <si>
    <t>서울 강서구 염창동 동아2차아파트 201-106</t>
  </si>
  <si>
    <t>경기 용인시 수지구 성복동 155 성동마을 LG빌리지1차 114-1001</t>
  </si>
  <si>
    <t>대전시 유성구 지족동 반석마을 3단지아파트 302-704</t>
  </si>
  <si>
    <t>서울 양천구 신정1동 목동신시가지아파트 1027-501</t>
  </si>
  <si>
    <t>서울 양천구 신정동 327 목동아파트 1309-507</t>
  </si>
  <si>
    <t>서울 양천구 신정2동 목동 현대아파트 106-607</t>
  </si>
  <si>
    <t>서울 송파구 문정2동 150 훼미리아파트 222-1204</t>
  </si>
  <si>
    <t>서울 영등포구 여의도동 여의도시범아파트 22-12</t>
  </si>
  <si>
    <t>서울 마포구 염리동 521(25/3)LG마포자이아파트 105-2202</t>
  </si>
  <si>
    <t>서울 관악구 청룡동 1572-24번지 1015호</t>
  </si>
  <si>
    <t>서울 강서구염창동 281-22 한화꿈에그린아파트 107-401</t>
  </si>
  <si>
    <t>서울 서초구 서초3동 1467-62 서초e-편한세상 501-706</t>
  </si>
  <si>
    <t>서울 강남구 역삼1동 793-32 일건빌라 2-102</t>
  </si>
  <si>
    <t>경기 고양시 일산서구 대화동 2259-11 2F</t>
  </si>
  <si>
    <t>경기 용인시 수서구 동천동 938 래미안이스트팰리스 1203-1601</t>
  </si>
  <si>
    <t>서울 송파구 잠실7동 아시아선수촌 아파트 5-1401</t>
  </si>
  <si>
    <t>서울 용산구 한강로1가64 대우월드마크오피스텔 102-1602</t>
  </si>
  <si>
    <t>서울 마포구 도화1동 현대1차 아파트 103-1303호</t>
  </si>
  <si>
    <t>서울 양천구 목2동 e-편한세상 102-1101</t>
  </si>
  <si>
    <t>서울 영등포구 여의도동 50 여의도 시범아파트 14-13</t>
  </si>
  <si>
    <t>서울 송파구 잠실7동 아시아선수촌 아파트 16-1501</t>
  </si>
  <si>
    <t>경기 부천시 원미구 약대동 209번지 두산위브트레지움 211-201</t>
  </si>
  <si>
    <t>⊙ 8191동기 주소록</t>
  </si>
  <si>
    <t>성 명</t>
  </si>
  <si>
    <t>회사번호</t>
  </si>
  <si>
    <t>핸드폰</t>
  </si>
  <si>
    <t>FAX</t>
  </si>
  <si>
    <t>회사주소</t>
  </si>
  <si>
    <t>010-7774-3040</t>
  </si>
  <si>
    <t>khokim03@hotmail.com</t>
  </si>
  <si>
    <t>전남 여수시 월하동 769번지
(주)지수물류</t>
  </si>
  <si>
    <t>mrokim@hanmail.net</t>
  </si>
  <si>
    <t>esjaykim@naver.com</t>
  </si>
  <si>
    <t>강남구 개포동 177번지 현대3차아파트 2동 202호</t>
  </si>
  <si>
    <t>86-10-6563-2114,001-8613311130708</t>
  </si>
  <si>
    <t>010-4381-5545</t>
  </si>
  <si>
    <t>pym5545@naver.com</t>
  </si>
  <si>
    <t>중국 광주</t>
  </si>
  <si>
    <t>019-352-7448</t>
  </si>
  <si>
    <t>dyclg@hanmail.net</t>
  </si>
  <si>
    <t>경기도 수원시 팔달구 인계동 944-2 평은빌딩 307호 
㈜대영화학</t>
  </si>
  <si>
    <t>019-232-7181</t>
  </si>
  <si>
    <t>biosyoon@naver.com</t>
  </si>
  <si>
    <t>010-5597-5030</t>
  </si>
  <si>
    <t>사무실: 3773-5030</t>
  </si>
  <si>
    <t>010-2335-4943</t>
  </si>
  <si>
    <t>jungjin4941@yahoo.co.kr</t>
  </si>
  <si>
    <t>영등포구 당산동 2가 30-2 영등포 유통상가 603호</t>
  </si>
  <si>
    <t>019-461-7010</t>
  </si>
  <si>
    <t>idlee123@naver.com</t>
  </si>
  <si>
    <t>서울 양천구 신정2동 목동현대APT 106-607</t>
  </si>
  <si>
    <t>사무실: 043-838-8537</t>
  </si>
  <si>
    <t>010-8153-7675</t>
  </si>
  <si>
    <t>011-9705-7677</t>
  </si>
  <si>
    <t>aya0707@hanmir.com</t>
  </si>
  <si>
    <t>영등포구 영등포동 7가 94-46 제일빌딩 13층 
㈜새한화학</t>
  </si>
  <si>
    <t>010-2232-7316</t>
  </si>
  <si>
    <t>kjhwanga@hanmail.net</t>
  </si>
  <si>
    <t>서울 노원구 중계1동 롯데APT 109-601</t>
  </si>
  <si>
    <t>6형제연락처</t>
  </si>
  <si>
    <t>성 명주   소</t>
  </si>
  <si>
    <t>(e-mail)</t>
  </si>
  <si>
    <t>직장전화비 고</t>
  </si>
  <si>
    <t>羅相哲(150-806)</t>
  </si>
  <si>
    <t>영등포구 당산동 4가 95</t>
  </si>
  <si>
    <t>금호어울림㉵ 103-401호</t>
  </si>
  <si>
    <t>nscc47@hanmir.com</t>
  </si>
  <si>
    <t>홍엽(강보라)</t>
  </si>
  <si>
    <t>희원(안재욱)</t>
  </si>
  <si>
    <t>경인형수 김연임</t>
  </si>
  <si>
    <t>羅相?(426-729)</t>
  </si>
  <si>
    <t>경기도안산시상록구본오2동 871신안㉵ 103-1502호</t>
  </si>
  <si>
    <t>smna1948@hanmail.net</t>
  </si>
  <si>
    <t>정인(김호학)</t>
  </si>
  <si>
    <t>민정</t>
  </si>
  <si>
    <t>윤정임동순</t>
  </si>
  <si>
    <t>010-8956-9219</t>
  </si>
  <si>
    <t>羅相雲▶(137-846)서울 방배2동 968 -25(서초대로8길 80) 한신빌라 301호</t>
  </si>
  <si>
    <t>▶(487-821)경기도 포천시 소흘읍 직동리 315-1</t>
  </si>
  <si>
    <t>nsu51@naver.com</t>
  </si>
  <si>
    <t>애진(김진학)</t>
  </si>
  <si>
    <t>윤경(최창헌)</t>
  </si>
  <si>
    <t>의엽제수 신일중</t>
  </si>
  <si>
    <t>010-6623-2295</t>
  </si>
  <si>
    <t>羅相鎭▶(150-771)영등포구 당산동 5가 11-1 삼성래미안4차㉵ 410</t>
  </si>
  <si>
    <t>-1601호</t>
  </si>
  <si>
    <t>▶(138-918)송파구 잠실6동</t>
  </si>
  <si>
    <t>장미㉵ 16-902</t>
  </si>
  <si>
    <t>(중국)86-1861-135-3098</t>
  </si>
  <si>
    <t>지엽(김민정)</t>
  </si>
  <si>
    <t>010-2926-8613제수 김찬숙</t>
  </si>
  <si>
    <t>010-5052-9556</t>
  </si>
  <si>
    <t>羅相賢▶(152-786)서울 영등포구 신도림e편한세상7차㉵ 803-703</t>
  </si>
  <si>
    <t>▶(500-795)광주광역시 북구 일곡동 삼호㉵ 102-303</t>
  </si>
  <si>
    <t>inash@nate.com</t>
  </si>
  <si>
    <t>도엽</t>
  </si>
  <si>
    <t>진실</t>
  </si>
  <si>
    <t>부산고리원자력발전소내 (주)세종기업</t>
  </si>
  <si>
    <t>051-726-5148제수 권필례</t>
  </si>
  <si>
    <t>010-2080-7153</t>
  </si>
  <si>
    <t>羅相珉(435-754)</t>
  </si>
  <si>
    <t>경기도 군포시 수리동(수리산로40) 한양㉵ 823동 1603호</t>
  </si>
  <si>
    <t>smnah@innopolis.or.kr</t>
  </si>
  <si>
    <t>대구기술사업화센터/연구개발특구지원본부(740-948)대구 달서구 성서공단로 11길 62대구융합R&amp;D센터1131호053-592-8360</t>
  </si>
  <si>
    <t>www.innopolis.or.kr제수 강명수</t>
  </si>
  <si>
    <t>혜원</t>
  </si>
  <si>
    <t>준엽</t>
  </si>
  <si>
    <t>주   소</t>
  </si>
  <si>
    <t>자택전화</t>
  </si>
  <si>
    <t>직장전화</t>
  </si>
  <si>
    <t>비 고</t>
  </si>
  <si>
    <t>羅相哲</t>
  </si>
  <si>
    <t>(150-806)</t>
  </si>
  <si>
    <t>02-932-5566</t>
  </si>
  <si>
    <t>형수 김연임</t>
  </si>
  <si>
    <t>경인</t>
  </si>
  <si>
    <t>羅相?</t>
  </si>
  <si>
    <t>(426-729)</t>
  </si>
  <si>
    <t>031-406-9219</t>
  </si>
  <si>
    <t>윤정</t>
  </si>
  <si>
    <t>羅相雲</t>
  </si>
  <si>
    <t>▶(137-846)서울 방배2동 968 -25(서초대로8길 80) 한신빌라 301호</t>
  </si>
  <si>
    <t>제수 신일중</t>
  </si>
  <si>
    <t>의엽</t>
  </si>
  <si>
    <t>羅相鎭</t>
  </si>
  <si>
    <t>▶(150-771)영등포구 당산동 5가 11-1 삼성래미안4차㉵ 410</t>
  </si>
  <si>
    <t>집 : 070-7592-9556</t>
  </si>
  <si>
    <t>제수 김찬숙</t>
  </si>
  <si>
    <t>010-2926-8613</t>
  </si>
  <si>
    <t>상진:010-7600-9556</t>
  </si>
  <si>
    <t>羅相賢</t>
  </si>
  <si>
    <t>▶(152-786)서울 영등포구 신도림e편한세상7차㉵ 803-703</t>
  </si>
  <si>
    <t>070-7502-7153</t>
  </si>
  <si>
    <t>제수 권필례</t>
  </si>
  <si>
    <t>062-575-4005</t>
  </si>
  <si>
    <t>010-2080-1654</t>
  </si>
  <si>
    <t>051-726-5148</t>
  </si>
  <si>
    <t>羅相珉</t>
  </si>
  <si>
    <t>(435-754)</t>
  </si>
  <si>
    <t>031-397-9643</t>
  </si>
  <si>
    <t>제수 강명수</t>
  </si>
  <si>
    <t>www.innopolis.or.kr</t>
  </si>
  <si>
    <t>친 척 연 락 처</t>
  </si>
  <si>
    <t>□ 고모?고종사촌</t>
  </si>
  <si>
    <t>성 명주          소우편</t>
  </si>
  <si>
    <t>번호</t>
  </si>
  <si>
    <t>큰고모</t>
  </si>
  <si>
    <t>이강윤</t>
  </si>
  <si>
    <t>병원고모</t>
  </si>
  <si>
    <t>한문옥</t>
  </si>
  <si>
    <t>정자고모</t>
  </si>
  <si>
    <t>(35년생)</t>
  </si>
  <si>
    <t>김신혜</t>
  </si>
  <si>
    <t>막내고모</t>
  </si>
  <si>
    <t>(37년생)</t>
  </si>
  <si>
    <t>소병호</t>
  </si>
  <si>
    <t>순옥고모</t>
  </si>
  <si>
    <t>주          소</t>
  </si>
  <si>
    <t>전   화   번   호</t>
  </si>
  <si>
    <t>사 무 실</t>
  </si>
  <si>
    <t>자   택</t>
  </si>
  <si>
    <t>휴 대  폰</t>
  </si>
  <si>
    <t>나정순</t>
  </si>
  <si>
    <t>2003.7.9. 돌아가심</t>
  </si>
  <si>
    <t>1920.9.15.생</t>
  </si>
  <si>
    <t>063-635-7887</t>
  </si>
  <si>
    <t>전주시 덕진구 호성동 주공㉵217-1303</t>
  </si>
  <si>
    <t>063-243-5373</t>
  </si>
  <si>
    <t>1931.6.15.</t>
  </si>
  <si>
    <t>김용수</t>
  </si>
  <si>
    <t>전북 전주시 덕진구 효성동 1가 진흥더블파크</t>
  </si>
  <si>
    <t>1단지㉵ 104-906</t>
  </si>
  <si>
    <t>서울 강동구 명일1동 352-18 태천해오름㉵</t>
  </si>
  <si>
    <t>134-830</t>
  </si>
  <si>
    <t>010-3711-5777</t>
  </si>
  <si>
    <t>102-605</t>
  </si>
  <si>
    <t>김은숙</t>
  </si>
  <si>
    <t>김은실</t>
  </si>
  <si>
    <t>서울대학병원근방에서 약국</t>
  </si>
  <si>
    <t>전주시 완산구 삼천동1가 주공㉵ 4단지</t>
  </si>
  <si>
    <t>1936.11.9</t>
  </si>
  <si>
    <t>401동 506호</t>
  </si>
  <si>
    <t>전주시 덕진구 쪽구름2길 22(동산동 685)</t>
  </si>
  <si>
    <t>063-225-4327</t>
  </si>
  <si>
    <t>전주우석고교 교사</t>
  </si>
  <si>
    <t>우석고등학교</t>
  </si>
  <si>
    <t>전주시 완산구 효자동1가 418 현대㉵ 106-906</t>
  </si>
  <si>
    <t>560-885</t>
  </si>
  <si>
    <t>서울 서초구 서초2동 우성㉵ 2-808</t>
  </si>
  <si>
    <t>137-773</t>
  </si>
  <si>
    <t>011-775-1429</t>
  </si>
  <si>
    <t>현대자동차유럽수출팀</t>
  </si>
  <si>
    <t>010-2128-1636</t>
  </si>
  <si>
    <t>전주시 덕진구 진북동 동국해성㉵ 103-1206</t>
  </si>
  <si>
    <t>011-9668-6644</t>
  </si>
  <si>
    <t>1938.3.11</t>
  </si>
  <si>
    <t>형병권</t>
  </si>
  <si>
    <t>서울 용산구 후암동 브라운스톤 남산 104동 502호</t>
  </si>
  <si>
    <t>2214-3724</t>
  </si>
  <si>
    <t>010-9360-4140</t>
  </si>
  <si>
    <t>2214-3751</t>
  </si>
  <si>
    <t>010-8921-8099</t>
  </si>
  <si>
    <t>형영수</t>
  </si>
  <si>
    <t>011-670-6115</t>
  </si>
  <si>
    <t>063-278-9649</t>
  </si>
  <si>
    <t>011-9649-6100</t>
  </si>
  <si>
    <t>형은실</t>
  </si>
  <si>
    <t>형은영</t>
  </si>
  <si>
    <t>전북도의회근무</t>
  </si>
  <si>
    <t>사위(소병호)는 정읍시 시기동사무소 근무</t>
  </si>
  <si>
    <t>나순옥</t>
  </si>
  <si>
    <t>016-9250-2583</t>
  </si>
  <si>
    <t>전북 전주시 덕진구 호성동 주공㉵ 212-1503</t>
  </si>
  <si>
    <t>063-280-2226</t>
  </si>
  <si>
    <t>전북도청 근무</t>
  </si>
  <si>
    <t>권영숙</t>
  </si>
  <si>
    <t>안양시 동안구 비산3동 305-51(대성하이츠B01호(종합운동장 비산초등교정문앞)</t>
  </si>
  <si>
    <t>431-843</t>
  </si>
  <si>
    <t>010-9920-5177</t>
  </si>
  <si>
    <t>□ 외가</t>
  </si>
  <si>
    <t>성 명주     소우편</t>
  </si>
  <si>
    <t>舊병현</t>
  </si>
  <si>
    <t>정소자</t>
  </si>
  <si>
    <t>舊영애</t>
  </si>
  <si>
    <t>주     소</t>
  </si>
  <si>
    <t>(양수인)</t>
  </si>
  <si>
    <t>광주 북구 임동 194-33(5/9)</t>
  </si>
  <si>
    <t>010-3003-2271</t>
  </si>
  <si>
    <t>일동중학교장</t>
  </si>
  <si>
    <t>(새주소:광주광역시 경양로 63번길 8-1)</t>
  </si>
  <si>
    <t>정년퇴임</t>
  </si>
  <si>
    <t>(노재동)</t>
  </si>
  <si>
    <t>경기도 군포시 산본동 한양㉵ 817-1102</t>
  </si>
  <si>
    <t>031-395-0253</t>
  </si>
  <si>
    <t>011-263-4377</t>
  </si>
  <si>
    <t>(1002호는착오?)</t>
  </si>
  <si>
    <t>(박형춘)</t>
  </si>
  <si>
    <t>전남 보성군 웅치면 봉산리 1구 742</t>
  </si>
  <si>
    <t>010-9884-5315</t>
  </si>
  <si>
    <t>경기 김포시 장기동 수정마을 쌍용예가 107-2003</t>
  </si>
  <si>
    <t>415-060</t>
  </si>
  <si>
    <t>010-3613-5315</t>
  </si>
  <si>
    <t>경기도 광명시 하안4동 주공㉵ 10단지 1005-</t>
  </si>
  <si>
    <t>423-762</t>
  </si>
  <si>
    <t>031-893-5897</t>
  </si>
  <si>
    <t>018-601-3438?</t>
  </si>
  <si>
    <t>舊순애</t>
  </si>
  <si>
    <t>401(장남:지열,차남:웅열)</t>
  </si>
  <si>
    <t>(강광희)</t>
  </si>
  <si>
    <t>경기도 고양시 덕양구 행신2동 소만마을 3단지</t>
  </si>
  <si>
    <t>952-1699(5호)</t>
  </si>
  <si>
    <t>010-7380-6224</t>
  </si>
  <si>
    <t>㉵ 303동 1507호</t>
  </si>
  <si>
    <t>(조윤래)</t>
  </si>
  <si>
    <t>강원도 양양군 강현면 주청리 8-4</t>
  </si>
  <si>
    <t>010-2343-2830</t>
  </si>
  <si>
    <t>낙산해명모텔</t>
  </si>
  <si>
    <t>경기도 광명시 하안로 364 하안㉵ 908-804</t>
  </si>
  <si>
    <t>423-845</t>
  </si>
  <si>
    <t>011-243-2949</t>
  </si>
  <si>
    <t>(舊住所 : 하안4동 13)</t>
  </si>
  <si>
    <t>인천 남구 학익2동 신동아㉵ 5차 31-803</t>
  </si>
  <si>
    <t>032-8308-551www.heraeus.com</t>
  </si>
  <si>
    <t>02-893-3730</t>
  </si>
  <si>
    <t>010-7134-8559</t>
  </si>
  <si>
    <t>hsjung@heraeus.co.kr</t>
  </si>
  <si>
    <t>이  모</t>
  </si>
  <si>
    <t>영섭자녀:재은(77年),선화(80年),은주(86年)</t>
  </si>
  <si>
    <t>445-3335</t>
  </si>
  <si>
    <t>3411-8289</t>
  </si>
  <si>
    <t>신영섭</t>
  </si>
  <si>
    <t>경북 상주시 은척면 도곡리 69(두곡침례교회)</t>
  </si>
  <si>
    <t>732-932</t>
  </si>
  <si>
    <t>054-541-8848</t>
  </si>
  <si>
    <t>010-9036-4620</t>
  </si>
  <si>
    <t>(황진수)</t>
  </si>
  <si>
    <t>(송갑순)</t>
  </si>
  <si>
    <t>서울 송파구 풍납동 269-3(업소)</t>
  </si>
  <si>
    <t>02-415-2009</t>
  </si>
  <si>
    <t>(박용학)</t>
  </si>
  <si>
    <t>경기 군포시 수리동 한양㉵ 823-1603</t>
  </si>
  <si>
    <t>010-6391-7139</t>
  </si>
  <si>
    <t>청첩장 직장으로발송요</t>
  </si>
  <si>
    <t>(조진희)</t>
  </si>
  <si>
    <t>큰외숙모</t>
  </si>
  <si>
    <t>작  은</t>
  </si>
  <si>
    <t>경기 고양시 덕양구 화정2동 옥빛마을㉵ 1501-</t>
  </si>
  <si>
    <t>412-745</t>
  </si>
  <si>
    <t>031-972-0993</t>
  </si>
  <si>
    <t>010-2263-0993</t>
  </si>
  <si>
    <t>동주엄마</t>
  </si>
  <si>
    <t>(하태응)</t>
  </si>
  <si>
    <t>경기도 고양시 일산동구 장항2동 751 삼성라끄빌 603호</t>
  </si>
  <si>
    <t>411-837</t>
  </si>
  <si>
    <t>02-3647-7312</t>
  </si>
  <si>
    <t>031-905-2198</t>
  </si>
  <si>
    <t>미국(옷장사)</t>
  </si>
  <si>
    <t>663-8582</t>
  </si>
  <si>
    <t>□ 기타 친척</t>
  </si>
  <si>
    <t>박기영</t>
  </si>
  <si>
    <t>전주시 완산구 효자동 남양황실㉵ 2-1205</t>
  </si>
  <si>
    <t>560-012</t>
  </si>
  <si>
    <t>063-255-5757</t>
  </si>
  <si>
    <t>미미컬렉션</t>
  </si>
  <si>
    <t>전주시 완산구 중앙동 2가 12-1</t>
  </si>
  <si>
    <t>(박기영)</t>
  </si>
  <si>
    <t>나엽연</t>
  </si>
  <si>
    <t>서울 관악구 성현동 일두㉵4-202호</t>
  </si>
  <si>
    <t>02)885-5483</t>
  </si>
  <si>
    <t>(나화연)</t>
  </si>
  <si>
    <t>2010.4.12. 소천</t>
  </si>
  <si>
    <t>화연의 子</t>
  </si>
  <si>
    <t>나정엽</t>
  </si>
  <si>
    <t>경기도 고양시 덕양구 행신1동 샘터마을 227-1404</t>
  </si>
  <si>
    <t>017-363-7945</t>
  </si>
  <si>
    <t>서울 노원구 중계3동 무지개아파트 208-505</t>
  </si>
  <si>
    <t>02)6223-2949</t>
  </si>
  <si>
    <t>매형38년생</t>
  </si>
  <si>
    <t>최순단</t>
  </si>
  <si>
    <t>(아들 디지털회사근무)</t>
  </si>
  <si>
    <t>아들74년생</t>
  </si>
  <si>
    <t>최차길</t>
  </si>
  <si>
    <t>의정부</t>
  </si>
  <si>
    <t>031-879-1526</t>
  </si>
  <si>
    <t>⊙ 럭수회 주소록</t>
  </si>
  <si>
    <t>회사명</t>
  </si>
  <si>
    <t>직 위</t>
  </si>
  <si>
    <t>자택번호</t>
  </si>
  <si>
    <t>자택주소</t>
  </si>
  <si>
    <t>1</t>
  </si>
  <si>
    <t>한국 (주)SMT</t>
  </si>
  <si>
    <t>031-934-3000
/ 548-1555</t>
  </si>
  <si>
    <t>031-934-3099
/ 548-1556</t>
  </si>
  <si>
    <t>경기도 파주시 월롱면 덕은리 1007 파주 LCD 지방산업단지
/ 강남구 삼성동 44-1번지 소암빌딩4층 401호 한국㈜SMT</t>
  </si>
  <si>
    <t>542-8853</t>
  </si>
  <si>
    <t>서울시 강남구 압구정동 한양APT 43동 1101호</t>
  </si>
  <si>
    <t>2</t>
  </si>
  <si>
    <t>우성INC (LG상사 퇴임)</t>
  </si>
  <si>
    <t>02-2107-6520</t>
  </si>
  <si>
    <t>010-2220-8001</t>
  </si>
  <si>
    <t>3773-5838</t>
  </si>
  <si>
    <t>영등포구 여의도동 20번지 LG트윈타워 동관14층</t>
  </si>
  <si>
    <t>562-0654</t>
  </si>
  <si>
    <t>강남구 대치동 511 한보미도아파트 209동 508호</t>
  </si>
  <si>
    <t>3</t>
  </si>
  <si>
    <t>GIMS</t>
  </si>
  <si>
    <t>784-7656</t>
  </si>
  <si>
    <t>784-7655</t>
  </si>
  <si>
    <t>서울시 영등포구 여의도동 43번지 미원빌딩 506호</t>
  </si>
  <si>
    <t>3273-7728</t>
  </si>
  <si>
    <t>용산구 이촌동 한강대우아파트 104동 1402호</t>
  </si>
  <si>
    <t>jason@gncmat.com</t>
  </si>
  <si>
    <t>4</t>
  </si>
  <si>
    <t>(주)LG화학 아크릴/가소제사업부</t>
  </si>
  <si>
    <t>3773-7130</t>
  </si>
  <si>
    <t>3773-7935</t>
  </si>
  <si>
    <t>영등포구 여의도동 20번지 LG트윈타워 동관20층</t>
  </si>
  <si>
    <t>448-0716</t>
  </si>
  <si>
    <t>서울 서초구 서초동 1685 삼풍아파트 23동 1203호</t>
  </si>
  <si>
    <t>5</t>
  </si>
  <si>
    <t>GREEN WOOD21</t>
  </si>
  <si>
    <t>525-1847</t>
  </si>
  <si>
    <t>서초구 서초동 1640-25 화니빌딩 2층</t>
  </si>
  <si>
    <t>448-6042</t>
  </si>
  <si>
    <t>6</t>
  </si>
  <si>
    <t>LG CAI 법인장 (미국)</t>
  </si>
  <si>
    <t>3773-7158</t>
  </si>
  <si>
    <t>010-7758-7158</t>
  </si>
  <si>
    <t>영등포구 여의도동 20번지 LG트윈타워 동관25층</t>
  </si>
  <si>
    <t>749-0724</t>
  </si>
  <si>
    <t>서울시 용산구 이촌동 415번지 한강대우 APT 104동 1901호</t>
  </si>
  <si>
    <t>jckimc@lgchem.com</t>
  </si>
  <si>
    <t>7</t>
  </si>
  <si>
    <t>구룡수 약국(wife)</t>
  </si>
  <si>
    <t>6265-2920</t>
  </si>
  <si>
    <t>서울 서초구 양재동 5-1(세원빌)구룡수 약국</t>
  </si>
  <si>
    <t>930-2604</t>
  </si>
  <si>
    <t>서울 서초구 양재동 7-59 현대빌라 102호</t>
  </si>
  <si>
    <t>8</t>
  </si>
  <si>
    <t>HS INTERNATIONAL</t>
  </si>
  <si>
    <t>540-5932</t>
  </si>
  <si>
    <t>영등포구 여의도동 44-26 중앙빌딩 805호</t>
  </si>
  <si>
    <t>543-5909</t>
  </si>
  <si>
    <t>9</t>
  </si>
  <si>
    <t>LG DAGU 법인장(前)</t>
  </si>
  <si>
    <t>(02)2538-6666</t>
  </si>
  <si>
    <t>86-133-1113-0708</t>
  </si>
  <si>
    <t>(22)2538-8311</t>
  </si>
  <si>
    <t>중국지역</t>
  </si>
  <si>
    <t>564-3337</t>
  </si>
  <si>
    <t>서울시 송파구 잠실6동 장미아파트 1단지 16동902호</t>
  </si>
  <si>
    <t>10</t>
  </si>
  <si>
    <t>서브원</t>
  </si>
  <si>
    <t>3773-7966</t>
  </si>
  <si>
    <t>서울시 영등포구 여의도동 26-4번지 교보증권빌딩 13층</t>
  </si>
  <si>
    <t>031-309-1196</t>
  </si>
  <si>
    <t>11</t>
  </si>
  <si>
    <t>(주)LG하우시스</t>
  </si>
  <si>
    <t>6930-0200</t>
  </si>
  <si>
    <t>010-7673-6620</t>
  </si>
  <si>
    <t>미국지역</t>
  </si>
  <si>
    <t>1-201-594-0179</t>
  </si>
  <si>
    <t>서울시 양천구 목동 목동신시가지 A-307 1102호</t>
  </si>
  <si>
    <t>12</t>
  </si>
  <si>
    <t>(주)FOMSCO(현재 미국)</t>
  </si>
  <si>
    <t>783-2364</t>
  </si>
  <si>
    <t>여의도동 14-11 대하빌딩 1010호</t>
  </si>
  <si>
    <t>3426-7329</t>
  </si>
  <si>
    <t>강동구 암사동 한강현대Apt 103동 201호</t>
  </si>
  <si>
    <t>13</t>
  </si>
  <si>
    <t>(주)LG화학 자문실</t>
  </si>
  <si>
    <t>3773-7915</t>
  </si>
  <si>
    <t>2645-1067</t>
  </si>
  <si>
    <t>14</t>
  </si>
  <si>
    <t>성우상사</t>
  </si>
  <si>
    <t>705-0220</t>
  </si>
  <si>
    <t>용산구 한강로 3가 16-49 삼구빌딩 1514호</t>
  </si>
  <si>
    <t>919-4527</t>
  </si>
  <si>
    <t>서울 성북구 정릉동 192-272번지</t>
  </si>
  <si>
    <t>15</t>
  </si>
  <si>
    <t>545-3992</t>
  </si>
  <si>
    <t>545-8295</t>
  </si>
  <si>
    <t>16</t>
  </si>
  <si>
    <t>CMG</t>
  </si>
  <si>
    <t>528-3357</t>
  </si>
  <si>
    <t>서울시 강남구 대치3동 944-31 섬유센터빌딩 2층</t>
  </si>
  <si>
    <t>031)276-1626</t>
  </si>
  <si>
    <t>경기 용인시 신봉동 LG자이 2차 APT 217동 1802호</t>
  </si>
  <si>
    <t>17</t>
  </si>
  <si>
    <t>LG 클럽</t>
  </si>
  <si>
    <t>522-5039</t>
  </si>
  <si>
    <t>경기도 용인시 수지읍 성복리155번지</t>
  </si>
  <si>
    <t>031)264-9779</t>
  </si>
  <si>
    <t>경기 용인시 성복동 155번지 LG빌리지 1차APT 114동 1003호</t>
  </si>
  <si>
    <t>18</t>
  </si>
  <si>
    <t>벨류트리상사</t>
  </si>
  <si>
    <t>031-717-5514</t>
  </si>
  <si>
    <t>경기 성남시 분당구 구미동 192 엘지트윈하우스 234호</t>
  </si>
  <si>
    <t>031)266-6606</t>
  </si>
  <si>
    <t>19</t>
  </si>
  <si>
    <t>(주) 초이스오픈넷</t>
  </si>
  <si>
    <t>3775-0131</t>
  </si>
  <si>
    <t>영등포구 여의도동 14-5 아크로폴리스 911호</t>
  </si>
  <si>
    <t>3775-0208</t>
  </si>
  <si>
    <t>서울시 영등포구 여의도동 28번지 광장APT 3동 706호</t>
  </si>
  <si>
    <t>20</t>
  </si>
  <si>
    <t>02-525-3297</t>
  </si>
  <si>
    <t>서울 서초구 서초동 1676-4 1 부호빌딩</t>
  </si>
  <si>
    <t>447-1425</t>
  </si>
  <si>
    <t>서울 광진구 광장동 218-1 광장극동A 2동 1306호</t>
  </si>
  <si>
    <t>21</t>
  </si>
  <si>
    <t>(주)NPK</t>
  </si>
  <si>
    <t>031)265-5597</t>
  </si>
  <si>
    <t>경기 용인시 수지읍 성복리 LG수지 빌리지1차 114동 1001호</t>
  </si>
  <si>
    <t>22</t>
  </si>
  <si>
    <t>희성엥겔하드 고문</t>
  </si>
  <si>
    <t>752-4436</t>
  </si>
  <si>
    <t>2187-7428</t>
  </si>
  <si>
    <t>강남구 도곡동 467-6 대림   아크로빌 A동 1104호</t>
  </si>
  <si>
    <t>23</t>
  </si>
  <si>
    <t>OTIS LG(엘리베이터)</t>
  </si>
  <si>
    <t>6007-3036</t>
  </si>
  <si>
    <t>영등포구 여의도동 15번지 한섬빌딩 10층</t>
  </si>
  <si>
    <t>(02)338-3373</t>
  </si>
  <si>
    <t>24</t>
  </si>
  <si>
    <t>James International Corp.</t>
  </si>
  <si>
    <t>459-6559</t>
  </si>
  <si>
    <t>강남구 수서동 724, 로즈데일 오피스텔 1628 호</t>
  </si>
  <si>
    <t>552-2949</t>
  </si>
  <si>
    <t>25</t>
  </si>
  <si>
    <t>LG생활건강 고문</t>
  </si>
  <si>
    <t>525-3297</t>
  </si>
  <si>
    <t>418-2835</t>
  </si>
  <si>
    <t>26</t>
  </si>
  <si>
    <t>(주) 파리크라상 (문자 원함)</t>
  </si>
  <si>
    <t>경기도 성남시 중원구 상대원1동 149-3번지 파리크라상</t>
  </si>
  <si>
    <t>2646-3750</t>
  </si>
  <si>
    <t>27</t>
  </si>
  <si>
    <t>CNJ 상사</t>
  </si>
  <si>
    <t>3412-4061</t>
  </si>
  <si>
    <t>서울 수서동 724번지 로즈데이 빌딩 1938호</t>
  </si>
  <si>
    <t>3436-7922</t>
  </si>
  <si>
    <t>서울시 광진구 광장동 극동APT 1단지 1007호</t>
  </si>
  <si>
    <t>28</t>
  </si>
  <si>
    <t>(주)폴리플러스 퇴임임원</t>
  </si>
  <si>
    <t>783-9973</t>
  </si>
  <si>
    <t>영등포구 여의도동 26-5번지 대오빌딩 1103호</t>
  </si>
  <si>
    <t>3274-0136</t>
  </si>
  <si>
    <t>서울 마포구 도화동 현대1차A 103동 1303호</t>
  </si>
  <si>
    <t>29</t>
  </si>
  <si>
    <t>LG화학 자문</t>
  </si>
  <si>
    <t>6342-3356</t>
  </si>
  <si>
    <t>30</t>
  </si>
  <si>
    <t>LG하우시스 (미국) (퇴임)</t>
  </si>
  <si>
    <t>3773-7707</t>
  </si>
  <si>
    <t>영등포구 여의도동 20번지 LG트윈타워 동관</t>
  </si>
  <si>
    <t>416-5270</t>
  </si>
  <si>
    <t>LG화학</t>
  </si>
  <si>
    <t>070-7557-6643</t>
  </si>
  <si>
    <t>070-8292-0524</t>
  </si>
  <si>
    <t>주 소 록</t>
  </si>
  <si>
    <t>직함</t>
  </si>
  <si>
    <t>용산구 한남동 리버탑아파트 101동 802호</t>
  </si>
  <si>
    <t>종로구 재동 84-2 보헌빌딩 PING</t>
  </si>
  <si>
    <t>서울 영등포구 여의도동 23번지 국제금융센터 One IFC 17층 
㈜LG하우시스 알루미늄 사업담당</t>
  </si>
  <si>
    <t>이사</t>
  </si>
  <si>
    <t>손원익</t>
  </si>
  <si>
    <t>마포구 도화동 삼성트라펠리스 B동 2712호
㈜원켐</t>
  </si>
  <si>
    <t>강남구 개포동 주공아파트 703동 702호</t>
  </si>
  <si>
    <t>경기도 안양시 동안구 관양동 1594
아크로펠리스 1312호</t>
  </si>
  <si>
    <t>서초구 양재동 70-1 진정빌딩 3층 
㈜루트제이드</t>
  </si>
  <si>
    <t>마포구 공덕동 풍림빌딩 825호</t>
  </si>
  <si>
    <t>여의도동 20, LG트윈타워 동관 ㈜LG 정도경영TFT</t>
  </si>
  <si>
    <t>서울 영등포구 여의도동 23번지 One IFC 19F LG하우시스</t>
  </si>
  <si>
    <t>( 제 26기 제자반 주소록)</t>
  </si>
  <si>
    <t>이  름</t>
  </si>
  <si>
    <t>전 화 번 호</t>
  </si>
  <si>
    <t>e-Mail 직장/직위</t>
  </si>
  <si>
    <t>심 경 섭</t>
  </si>
  <si>
    <t>H) 533-2273</t>
  </si>
  <si>
    <t>sim2000@samsungfire.com</t>
  </si>
  <si>
    <t>서초구 반포 4동</t>
  </si>
  <si>
    <t>O) 031-703-7114</t>
  </si>
  <si>
    <t>삼성화재</t>
  </si>
  <si>
    <t>미도 1차 303- 1207</t>
  </si>
  <si>
    <t>C) 011-454-1620</t>
  </si>
  <si>
    <t>137-769</t>
  </si>
  <si>
    <t>정 연 태</t>
  </si>
  <si>
    <t>H) 521-4656</t>
  </si>
  <si>
    <t>ytjeong@ssyrecord.co.kr</t>
  </si>
  <si>
    <t>서초구 서초3동 1454-32</t>
  </si>
  <si>
    <t>O) 575-9937</t>
  </si>
  <si>
    <t>쌍용레코드사</t>
  </si>
  <si>
    <t>한신 102-406</t>
  </si>
  <si>
    <t>C) 011-216-9937</t>
  </si>
  <si>
    <t>대표</t>
  </si>
  <si>
    <t>137-867</t>
  </si>
  <si>
    <t>정 현 진</t>
  </si>
  <si>
    <t>H) 2226-1608</t>
  </si>
  <si>
    <t>hj52jung@lycos.co.kr</t>
  </si>
  <si>
    <t>강남구 개포 3동</t>
  </si>
  <si>
    <t>O) 2002-4100/1</t>
  </si>
  <si>
    <t>한빛은행</t>
  </si>
  <si>
    <t>주공 501-410</t>
  </si>
  <si>
    <t>C) 011-382-0280</t>
  </si>
  <si>
    <t>종합금융단장</t>
  </si>
  <si>
    <t>135-992</t>
  </si>
  <si>
    <t>이 백 선</t>
  </si>
  <si>
    <t>H) 2279-1081</t>
  </si>
  <si>
    <t>bslee@kdnetwork.co.kr</t>
  </si>
  <si>
    <t>성동구 옥수2동</t>
  </si>
  <si>
    <t>O) 3282-3180</t>
  </si>
  <si>
    <t>㈜ kdnet</t>
  </si>
  <si>
    <t>극동APT 4동 1106</t>
  </si>
  <si>
    <t>C) 011-398-5611</t>
  </si>
  <si>
    <t>전무이사</t>
  </si>
  <si>
    <t>133-759</t>
  </si>
  <si>
    <t>나 상 진</t>
  </si>
  <si>
    <t>O) (22)2538-6666</t>
  </si>
  <si>
    <t>중국천전시 광고구 화순도</t>
  </si>
  <si>
    <t>C)13803093908</t>
  </si>
  <si>
    <t>LG DAGU(천진약금대고과학유한공사)</t>
  </si>
  <si>
    <t>1233호</t>
  </si>
  <si>
    <t>총경리</t>
  </si>
  <si>
    <t>한 갑 수</t>
  </si>
  <si>
    <t>H) 872-6254</t>
  </si>
  <si>
    <t>gshan@doowon.ac.kr</t>
  </si>
  <si>
    <t>서울시 관악구 봉천2동</t>
  </si>
  <si>
    <t>O) 031-670-7217</t>
  </si>
  <si>
    <t>두원공과대학</t>
  </si>
  <si>
    <t>동아 APT 105-103</t>
  </si>
  <si>
    <t>C) 011-472-6254</t>
  </si>
  <si>
    <t>조교수</t>
  </si>
  <si>
    <t>151-762</t>
  </si>
  <si>
    <t>박 민 부</t>
  </si>
  <si>
    <t>O)001-86-10-8440-2806</t>
  </si>
  <si>
    <t>C)001-001-86-1390-103-7071</t>
  </si>
  <si>
    <t>신 갑 용</t>
  </si>
  <si>
    <t>H) 3477-1276</t>
  </si>
  <si>
    <t>kyshin57@hotmail.com</t>
  </si>
  <si>
    <t>서초구 반포동 577-76</t>
  </si>
  <si>
    <t>O) 534-1335</t>
  </si>
  <si>
    <t>㈜ 성소엔지니어링</t>
  </si>
  <si>
    <t>반포 아드빌라 301</t>
  </si>
  <si>
    <t>C) 019-9174-1276</t>
  </si>
  <si>
    <t>137-040</t>
  </si>
  <si>
    <t>송 정 면</t>
  </si>
  <si>
    <t>H) 6242-8343</t>
  </si>
  <si>
    <t>jimisong@netian.com</t>
  </si>
  <si>
    <t>서초구 서초 4동</t>
  </si>
  <si>
    <t>O) 595-8311</t>
  </si>
  <si>
    <t>하나은행 방배중앙</t>
  </si>
  <si>
    <t>금호 다동 1013</t>
  </si>
  <si>
    <t>C) 011-521-9216</t>
  </si>
  <si>
    <t>지점장</t>
  </si>
  <si>
    <t>137-929</t>
  </si>
  <si>
    <t>김     광</t>
  </si>
  <si>
    <t>H) 031-604-6361</t>
  </si>
  <si>
    <t>kikk@kr.ibm.com</t>
  </si>
  <si>
    <t>성남시 분당구 수내동</t>
  </si>
  <si>
    <t>O) 3781-6361</t>
  </si>
  <si>
    <t>한국 IBM ITS.TO</t>
  </si>
  <si>
    <t>신성 APT 404-601</t>
  </si>
  <si>
    <t>C) 011-898-6361</t>
  </si>
  <si>
    <t>463-779</t>
  </si>
  <si>
    <t>임 계 열</t>
  </si>
  <si>
    <t>H) 031-609-5119</t>
  </si>
  <si>
    <t>cedent@korea.com</t>
  </si>
  <si>
    <t>성남시 분당구 수내동 33-2</t>
  </si>
  <si>
    <t>O) 717-2812</t>
  </si>
  <si>
    <t>궁전프라자 303호</t>
  </si>
  <si>
    <t>C) 011-894-4354</t>
  </si>
  <si>
    <t>김 해 용</t>
  </si>
  <si>
    <t>H) 3473-5375</t>
  </si>
  <si>
    <t>hykim@sarang.org</t>
  </si>
  <si>
    <t>서초구 서초2동 1349-17</t>
  </si>
  <si>
    <t>O) 3479-7734</t>
  </si>
  <si>
    <t>사랑의 교회</t>
  </si>
  <si>
    <t>서초 골드빌라 502</t>
  </si>
  <si>
    <t>C) 011-9707-5375</t>
  </si>
  <si>
    <t>부목사</t>
  </si>
  <si>
    <t>137-861</t>
  </si>
  <si>
    <t>※ 모 임 일 시  :   매달 3째주 주일</t>
  </si>
  <si>
    <t>(부득이한 경우 변경될 수 있음)</t>
  </si>
  <si>
    <t>2012년 하반기 북경한인교회 예배위원 명단</t>
  </si>
  <si>
    <t>차</t>
  </si>
  <si>
    <t>월</t>
  </si>
  <si>
    <t>일</t>
  </si>
  <si>
    <t>주요행사</t>
  </si>
  <si>
    <t>1부예배(08:30)</t>
  </si>
  <si>
    <t>2부예배(10:00)</t>
  </si>
  <si>
    <t>3부예배(11:30)</t>
  </si>
  <si>
    <t>사회</t>
  </si>
  <si>
    <t>기도</t>
  </si>
  <si>
    <t>설교</t>
  </si>
  <si>
    <t>찬양</t>
  </si>
  <si>
    <t>권사 임직식</t>
  </si>
  <si>
    <t>온가족 예배</t>
  </si>
  <si>
    <t>권사임직식</t>
  </si>
  <si>
    <t>온가족예배</t>
  </si>
  <si>
    <t>이현진</t>
  </si>
  <si>
    <t>남성중찬</t>
  </si>
  <si>
    <t>관현악</t>
  </si>
  <si>
    <t>비아 영어캠프</t>
  </si>
  <si>
    <t>채종석</t>
  </si>
  <si>
    <t>윤현숙</t>
  </si>
  <si>
    <t>에스더</t>
  </si>
  <si>
    <t>강정숙</t>
  </si>
  <si>
    <t>홈커밍데이</t>
  </si>
  <si>
    <t>가을학기 개강</t>
  </si>
  <si>
    <t>청소년 가을캠프</t>
  </si>
  <si>
    <t>추수감사주일</t>
  </si>
  <si>
    <t>25일 성탄(유아세례식)</t>
  </si>
  <si>
    <t>31일 송구영신예배</t>
  </si>
  <si>
    <t>개인 사정상 순서를 담당하시기 어려우실 때에는 미리 다른분과 교체를 해주시고 사무실 or 최현성강도사(1861-014-8692) 에 통보해 주시기 바랍니다.</t>
  </si>
  <si>
    <t>중문</t>
  </si>
  <si>
    <t>기수</t>
  </si>
  <si>
    <t>전화</t>
  </si>
  <si>
    <t>이동전화</t>
  </si>
  <si>
    <t>E-Mail</t>
  </si>
  <si>
    <t>비고</t>
  </si>
  <si>
    <t>金英俊</t>
  </si>
  <si>
    <t>재중 한인회 자문위원 (변호사)</t>
  </si>
  <si>
    <t>010)8471-7471</t>
  </si>
  <si>
    <t>kimyoungjoon2007@hotmail.com</t>
  </si>
  <si>
    <t>朴永浩</t>
  </si>
  <si>
    <t>SK중국 총재</t>
  </si>
  <si>
    <t>010)5928-0081</t>
  </si>
  <si>
    <t>金珉植</t>
  </si>
  <si>
    <t>㈜엠씨에스인터내쇼날</t>
  </si>
  <si>
    <t>822)5531621</t>
  </si>
  <si>
    <t>822)5531626</t>
  </si>
  <si>
    <t>AM-China 대표</t>
  </si>
  <si>
    <t>dangdailiren@163.com</t>
  </si>
  <si>
    <t>대련</t>
  </si>
  <si>
    <t>현대정공 동사장</t>
  </si>
  <si>
    <t>jay1kang@hotmail.net</t>
  </si>
  <si>
    <t>崔德俊</t>
  </si>
  <si>
    <t>한씨정형미용의원 구강과원장</t>
  </si>
  <si>
    <t>huxiaoja@hotmail.com</t>
  </si>
  <si>
    <t>제남</t>
  </si>
  <si>
    <t>赵显瑞</t>
  </si>
  <si>
    <t>현대오태과기유한공사 동사장</t>
  </si>
  <si>
    <t>010)6480-4030</t>
  </si>
  <si>
    <t>010)6480-0705</t>
  </si>
  <si>
    <t>柳旺材</t>
  </si>
  <si>
    <t>大鉉産業株式會社</t>
  </si>
  <si>
    <t>010)6474-0670</t>
  </si>
  <si>
    <t>010)8471-1494</t>
  </si>
  <si>
    <t>罗相镇</t>
  </si>
  <si>
    <t>Lafuma 중국 법인장</t>
  </si>
  <si>
    <t>010)5120-8888</t>
  </si>
  <si>
    <t>崔英植</t>
  </si>
  <si>
    <t>심양</t>
  </si>
  <si>
    <t>梁世政</t>
  </si>
  <si>
    <t>梁在完</t>
  </si>
  <si>
    <t>北京住皇房地産信息咨詢有限公司</t>
  </si>
  <si>
    <t>010)6464-8888</t>
  </si>
  <si>
    <t>010)6461-6666</t>
  </si>
  <si>
    <t>金周煥</t>
  </si>
  <si>
    <t>하얼빈 서라벌 식품유한공사</t>
  </si>
  <si>
    <t>0451)5488-4298</t>
  </si>
  <si>
    <t>하얼빈</t>
  </si>
  <si>
    <t>朴敏夫</t>
  </si>
  <si>
    <t>G&amp;G사 동사장</t>
  </si>
  <si>
    <t>010)8472-5940/5942</t>
  </si>
  <si>
    <t>李正洙</t>
  </si>
  <si>
    <t>LAFARGE 씨멘트</t>
  </si>
  <si>
    <t>성도</t>
  </si>
  <si>
    <t>韩相宇</t>
  </si>
  <si>
    <t>천진금흥양행국제무역유한공사</t>
  </si>
  <si>
    <t>022)2858-3881</t>
  </si>
  <si>
    <t>suhanmr@hanmail.net</t>
  </si>
  <si>
    <t>천진</t>
  </si>
  <si>
    <t>진영유한공사 동사장</t>
  </si>
  <si>
    <t>csbang66@hotmail.com</t>
  </si>
  <si>
    <t>裴重翰</t>
  </si>
  <si>
    <t>북경 NAITS China Co.,Ltd 대표</t>
  </si>
  <si>
    <t>010)5642-9545</t>
  </si>
  <si>
    <t>010)5738-9711</t>
  </si>
  <si>
    <t>18611489117
13911627117</t>
  </si>
  <si>
    <t>金是喆</t>
  </si>
  <si>
    <t>천진진평전자유한공사 자재/물류부장</t>
  </si>
  <si>
    <t>022)8398-9800-879</t>
  </si>
  <si>
    <t>022)8398-9810</t>
  </si>
  <si>
    <t>kimbo10@nate.com</t>
  </si>
  <si>
    <t>郑雄灿</t>
  </si>
  <si>
    <t>Mecca Information Technology 동사장</t>
  </si>
  <si>
    <t>022)5839-2270</t>
  </si>
  <si>
    <t>022)5869-7244</t>
  </si>
  <si>
    <t>bearc@paran.com</t>
  </si>
  <si>
    <t>尹熙善</t>
  </si>
  <si>
    <t>풀무원 중국 총경리</t>
  </si>
  <si>
    <t>hsyoon@pulmuone.co.kr</t>
  </si>
  <si>
    <t>许允范</t>
  </si>
  <si>
    <t>SEWOO 캐미칼 대표</t>
  </si>
  <si>
    <t>010)6439-2887</t>
  </si>
  <si>
    <t>010)6439-2522</t>
  </si>
  <si>
    <t>huryunbum@hanmail.net</t>
  </si>
  <si>
    <t>林杞泽</t>
  </si>
  <si>
    <t>SK중국 부장</t>
  </si>
  <si>
    <t>010)5928-0006</t>
  </si>
  <si>
    <t>010)5928-0060</t>
  </si>
  <si>
    <t>ktim@sk.com.cn</t>
  </si>
  <si>
    <t>高熙锡</t>
  </si>
  <si>
    <t>북경 CJ신선식품 총경리</t>
  </si>
  <si>
    <t>成宰德</t>
  </si>
  <si>
    <t>SK중국 상무</t>
  </si>
  <si>
    <t>010)5920-7759</t>
  </si>
  <si>
    <t>stragos@sktelecom.com</t>
  </si>
  <si>
    <t>洪昌和</t>
  </si>
  <si>
    <t>현대자동차 사업기획부 부장</t>
  </si>
  <si>
    <t>010)5963-8600</t>
  </si>
  <si>
    <t>chhong@hyundai.com</t>
  </si>
  <si>
    <t>中國經濟新聞社(상해근무)</t>
  </si>
  <si>
    <t>021)38760001</t>
  </si>
  <si>
    <t>021)38765001</t>
  </si>
  <si>
    <t>卢载天</t>
  </si>
  <si>
    <t>SK C&amp;C 중국법인 사업본부장</t>
  </si>
  <si>
    <t>010)5977-0900 ext181</t>
  </si>
  <si>
    <t>010)5977-0800</t>
  </si>
  <si>
    <t>jcnoh@sk.com</t>
  </si>
  <si>
    <t>金起亨</t>
  </si>
  <si>
    <t>동양오리온 중국마케팅 총감</t>
  </si>
  <si>
    <t>khkim@orion.com.cn</t>
  </si>
  <si>
    <t>KTB Investments 동사총경리</t>
  </si>
  <si>
    <t>010)6568-1391</t>
  </si>
  <si>
    <t>010)6568-1392</t>
  </si>
  <si>
    <t>李荣揆</t>
  </si>
  <si>
    <t>SGA 북경지해창신과기유한공사 대표</t>
  </si>
  <si>
    <t>010)8235-5116</t>
  </si>
  <si>
    <t>010)8235-8365</t>
  </si>
  <si>
    <t>SGA 대표</t>
  </si>
  <si>
    <t>yjeun@sgacorp.kr</t>
  </si>
  <si>
    <t>CJ Entertainment</t>
  </si>
  <si>
    <t>010)8591-0780</t>
  </si>
  <si>
    <t>010)8591-0783</t>
  </si>
  <si>
    <t>josephkim@cj.net</t>
  </si>
  <si>
    <t>洪源基</t>
  </si>
  <si>
    <t>KT중국투자 해외업무개발총감</t>
  </si>
  <si>
    <t>010)5129 5550-273</t>
  </si>
  <si>
    <t>wonki@kt.com</t>
  </si>
  <si>
    <t>李胜基</t>
  </si>
  <si>
    <t>참 한의원 원장</t>
  </si>
  <si>
    <t>010)8471-3282</t>
  </si>
  <si>
    <t>金庚惩</t>
  </si>
  <si>
    <t>북경신식기술유한공사 부장</t>
  </si>
  <si>
    <t>010)6567-5565</t>
  </si>
  <si>
    <t>kkj@buttle.cn</t>
  </si>
  <si>
    <t>경복 화동 동문회 회원 명단 (2012.08.12.현재)</t>
  </si>
  <si>
    <t>지역</t>
  </si>
  <si>
    <t>NO</t>
  </si>
  <si>
    <t>핸  드  폰</t>
  </si>
  <si>
    <t>전     화</t>
  </si>
  <si>
    <t>팩     스</t>
  </si>
  <si>
    <t>이   메   일</t>
  </si>
  <si>
    <t>회   사   명</t>
  </si>
  <si>
    <t>근     황</t>
  </si>
  <si>
    <t>0512)58983211</t>
  </si>
  <si>
    <t>0512)58983210</t>
  </si>
  <si>
    <t>강소남양기차배건유한공사</t>
  </si>
  <si>
    <t>스킨푸드 화장품 고문</t>
  </si>
  <si>
    <t>2008.7 연결됨.</t>
  </si>
  <si>
    <t>mshong123@gmail.com</t>
  </si>
  <si>
    <t>무석 성화피혁</t>
  </si>
  <si>
    <t>02)5531621</t>
  </si>
  <si>
    <t>02)5531626</t>
  </si>
  <si>
    <t>MCS Int'l (HK) Co.,Ltd.</t>
  </si>
  <si>
    <t>0512-5879-9312</t>
  </si>
  <si>
    <t>모나리자</t>
  </si>
  <si>
    <t>2009.7.1. 장가항으로 복귀</t>
  </si>
  <si>
    <t>021)39596992</t>
  </si>
  <si>
    <t>현대정밀 법인장</t>
  </si>
  <si>
    <t>집)65426393, 13917844882</t>
  </si>
  <si>
    <t>021-5258-2636</t>
  </si>
  <si>
    <t>heon.s.kim@samsung.com</t>
  </si>
  <si>
    <t>삼성전자 중국총제</t>
  </si>
  <si>
    <t>사노라면</t>
  </si>
  <si>
    <t>021)60908405~8X18</t>
  </si>
  <si>
    <t>021)60908409</t>
  </si>
  <si>
    <t>유광광전(상해), RT&amp;I OPTO(남경)</t>
  </si>
  <si>
    <t>0573)2228250</t>
  </si>
  <si>
    <t>0573)2228299</t>
  </si>
  <si>
    <t>james@vpalm.net,</t>
  </si>
  <si>
    <t>개인사업(효성가흥)</t>
  </si>
  <si>
    <t>2004.6.2연결됨</t>
  </si>
  <si>
    <t>0512-6501-0660</t>
  </si>
  <si>
    <t>단우실업 소주공장(봉제완구)</t>
  </si>
  <si>
    <t>021)6774-0634</t>
  </si>
  <si>
    <t>락신물류유한공사   (전LG전자)</t>
  </si>
  <si>
    <t>2007.7 / 송장거주</t>
  </si>
  <si>
    <t>GM</t>
  </si>
  <si>
    <t>ochoongyul@sempio.com</t>
  </si>
  <si>
    <t>샘표 상해 대표(주재원)</t>
  </si>
  <si>
    <t>2010년 등록</t>
  </si>
  <si>
    <t>0512-5728-3689</t>
  </si>
  <si>
    <t>0512-5728-3690</t>
  </si>
  <si>
    <t>곤산 서구지 방직(봉제업)</t>
  </si>
  <si>
    <t>021-6295 0435</t>
  </si>
  <si>
    <t>Shengxin Intl.</t>
  </si>
  <si>
    <t>jwlee88888@hotmail.com</t>
  </si>
  <si>
    <t>삼성전자 부품업체</t>
  </si>
  <si>
    <t>위해 법인장 부임</t>
  </si>
  <si>
    <t>021-3251-5605</t>
  </si>
  <si>
    <t>021-3251-5608</t>
  </si>
  <si>
    <t>CHAOXI T &amp; C 대표</t>
  </si>
  <si>
    <t>2010년 4월 등록</t>
  </si>
  <si>
    <t>0573)82228240</t>
  </si>
  <si>
    <t>0573)82228233</t>
  </si>
  <si>
    <t>가흥 효성박막</t>
  </si>
  <si>
    <t>신규등록 2009.2</t>
  </si>
  <si>
    <t>21)51908152</t>
  </si>
  <si>
    <t>21)51908156</t>
  </si>
  <si>
    <t>insuko</t>
  </si>
  <si>
    <t>021-54325857</t>
  </si>
  <si>
    <t>021-54325867</t>
  </si>
  <si>
    <t>ho-am trading</t>
  </si>
  <si>
    <t>골프 티칭프로</t>
  </si>
  <si>
    <t>하이닉스 무석</t>
  </si>
  <si>
    <t>021-6762-6858</t>
  </si>
  <si>
    <t>zombieryu@hotmail.com</t>
  </si>
  <si>
    <t>한우공정</t>
  </si>
  <si>
    <t>2011년 취업</t>
  </si>
  <si>
    <t>021-5050-4740</t>
  </si>
  <si>
    <t>sueinrain@daum.net</t>
  </si>
  <si>
    <t>SHANDA GAMES</t>
  </si>
  <si>
    <t>201-874-3533</t>
  </si>
  <si>
    <t>212-864-1995</t>
  </si>
  <si>
    <t>K.S. TRADING CORP.</t>
  </si>
  <si>
    <t>미국거주사업,중국공장</t>
  </si>
  <si>
    <t>050)5679-2616</t>
  </si>
  <si>
    <t>018-211-3956</t>
  </si>
  <si>
    <t>효성 전력PU사장</t>
  </si>
  <si>
    <t>남통에 경영 지원차 임시 제직중</t>
  </si>
  <si>
    <t>손정일</t>
  </si>
  <si>
    <t>강대성</t>
  </si>
  <si>
    <t>금호전기 법인장</t>
  </si>
  <si>
    <t>2006.9 재부임</t>
  </si>
  <si>
    <t>치과의사</t>
  </si>
  <si>
    <t>성도에서개업</t>
  </si>
  <si>
    <t>송귀선</t>
  </si>
  <si>
    <t>개인사업</t>
  </si>
  <si>
    <t>소흥으로 이전</t>
  </si>
  <si>
    <t>의류수출업</t>
  </si>
  <si>
    <t>나종민</t>
  </si>
  <si>
    <t>o</t>
  </si>
  <si>
    <t>0510)88152011</t>
  </si>
  <si>
    <t>0510)88152022</t>
  </si>
  <si>
    <t>무석왁슨전자</t>
  </si>
  <si>
    <t>011-258-4746</t>
  </si>
  <si>
    <t>0755)82141350</t>
  </si>
  <si>
    <t>2010년 북경으로 이주</t>
  </si>
  <si>
    <t>025)84730933</t>
  </si>
  <si>
    <t>025)84706509</t>
  </si>
  <si>
    <t>코오롱남경지사겸임</t>
  </si>
  <si>
    <t>개인사업도 병행</t>
  </si>
  <si>
    <t>현대건설 무석hynix현소장</t>
  </si>
  <si>
    <t>B</t>
  </si>
  <si>
    <t>021)62952610</t>
  </si>
  <si>
    <t>상해영사관 부총영사</t>
  </si>
  <si>
    <t>2009년 일본으로 발령 전배</t>
  </si>
  <si>
    <t>010-6390-0513</t>
  </si>
  <si>
    <t>개인사업(sk윤활유)</t>
  </si>
  <si>
    <t>한국귀국</t>
  </si>
  <si>
    <t>한국산업은행</t>
  </si>
  <si>
    <t>신규등록 2008. 4</t>
  </si>
  <si>
    <t>021-5119-2760~3</t>
  </si>
  <si>
    <t>021-5119-2765</t>
  </si>
  <si>
    <t>프리존 인터내셔날</t>
  </si>
  <si>
    <t>신규등록 2008. 6</t>
  </si>
  <si>
    <t>신종민</t>
  </si>
  <si>
    <t>kotra중국 부본부장 부임</t>
  </si>
  <si>
    <t>2010.7월 귀임</t>
  </si>
  <si>
    <t>s k 북경 근무</t>
  </si>
  <si>
    <t>북경 s k</t>
  </si>
  <si>
    <t>이마트 구매부</t>
  </si>
  <si>
    <t>2009년 7월 등록</t>
  </si>
  <si>
    <t>김현구</t>
  </si>
  <si>
    <t>021-6769-6769</t>
  </si>
  <si>
    <t>021-3777-5299</t>
  </si>
  <si>
    <t>현대자동차</t>
  </si>
  <si>
    <t>021)62417235</t>
  </si>
  <si>
    <t>AIT</t>
  </si>
  <si>
    <t>구민석</t>
  </si>
  <si>
    <t>021-6275-4703</t>
  </si>
  <si>
    <t>021-6275-4974</t>
  </si>
  <si>
    <t>msku@hyundaicorp.com</t>
  </si>
  <si>
    <t>현대종합상사 상해 대표처 수석대표</t>
  </si>
  <si>
    <t>2009년 10월 등록</t>
  </si>
  <si>
    <t>21)054251640</t>
  </si>
  <si>
    <t>21)52245240</t>
  </si>
  <si>
    <t>SESHI Trading</t>
  </si>
  <si>
    <t>2010.5 귀국</t>
  </si>
  <si>
    <t>21)55068783</t>
  </si>
  <si>
    <t>21)55059324</t>
  </si>
  <si>
    <t>sigma lighting</t>
  </si>
  <si>
    <t>현진 상해주재(만도3407호)</t>
  </si>
  <si>
    <t>김경환(1반)</t>
    <phoneticPr fontId="1" type="noConversion"/>
  </si>
  <si>
    <t>2014/08/15</t>
    <phoneticPr fontId="1" type="noConversion"/>
  </si>
  <si>
    <t>장남결혼</t>
    <phoneticPr fontId="1" type="noConversion"/>
  </si>
  <si>
    <t>참석</t>
    <phoneticPr fontId="1" type="noConversion"/>
  </si>
  <si>
    <t>2014/08/14</t>
    <phoneticPr fontId="1" type="noConversion"/>
  </si>
  <si>
    <t>모친상</t>
    <phoneticPr fontId="1" type="noConversion"/>
  </si>
  <si>
    <t>2014/08/23</t>
    <phoneticPr fontId="1" type="noConversion"/>
  </si>
  <si>
    <t>장녀결혼</t>
    <phoneticPr fontId="1" type="noConversion"/>
  </si>
  <si>
    <t>2014/07/05</t>
    <phoneticPr fontId="1" type="noConversion"/>
  </si>
  <si>
    <t>민재결혼</t>
    <phoneticPr fontId="1" type="noConversion"/>
  </si>
  <si>
    <t>부부참석</t>
    <phoneticPr fontId="1" type="noConversion"/>
  </si>
  <si>
    <t>아내참석</t>
    <phoneticPr fontId="1" type="noConversion"/>
  </si>
  <si>
    <t>김인곤</t>
    <phoneticPr fontId="1" type="noConversion"/>
  </si>
  <si>
    <t>2014/06/28</t>
    <phoneticPr fontId="1" type="noConversion"/>
  </si>
  <si>
    <t>2014/06/15</t>
    <phoneticPr fontId="1" type="noConversion"/>
  </si>
  <si>
    <r>
      <rPr>
        <sz val="10"/>
        <color rgb="FF000000"/>
        <rFont val="돋움"/>
        <family val="3"/>
        <charset val="129"/>
      </rPr>
      <t>참석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지엽도</t>
    </r>
    <phoneticPr fontId="1" type="noConversion"/>
  </si>
  <si>
    <t>김명준</t>
    <phoneticPr fontId="1" type="noConversion"/>
  </si>
  <si>
    <t>2014/05/17</t>
    <phoneticPr fontId="1" type="noConversion"/>
  </si>
  <si>
    <t>사돈</t>
    <phoneticPr fontId="1" type="noConversion"/>
  </si>
  <si>
    <t>2014/04/26</t>
    <phoneticPr fontId="1" type="noConversion"/>
  </si>
  <si>
    <t>미수결혼</t>
    <phoneticPr fontId="1" type="noConversion"/>
  </si>
  <si>
    <t>신욱결혼</t>
    <phoneticPr fontId="1" type="noConversion"/>
  </si>
  <si>
    <t>2014/04/19</t>
    <phoneticPr fontId="1" type="noConversion"/>
  </si>
  <si>
    <t>윤정결혼</t>
    <phoneticPr fontId="1" type="noConversion"/>
  </si>
  <si>
    <t>박정석</t>
    <phoneticPr fontId="1" type="noConversion"/>
  </si>
  <si>
    <t>2014/04/12</t>
    <phoneticPr fontId="1" type="noConversion"/>
  </si>
  <si>
    <t>송금</t>
    <phoneticPr fontId="1" type="noConversion"/>
  </si>
  <si>
    <t>2014/04/05</t>
    <phoneticPr fontId="1" type="noConversion"/>
  </si>
  <si>
    <t>자녀결혼</t>
    <phoneticPr fontId="1" type="noConversion"/>
  </si>
  <si>
    <r>
      <t>(</t>
    </r>
    <r>
      <rPr>
        <sz val="10"/>
        <color rgb="FF000000"/>
        <rFont val="돋움"/>
        <family val="3"/>
        <charset val="129"/>
      </rPr>
      <t>최호욱</t>
    </r>
    <r>
      <rPr>
        <sz val="10"/>
        <color rgb="FF000000"/>
        <rFont val="Arial"/>
        <family val="2"/>
      </rPr>
      <t>)</t>
    </r>
    <phoneticPr fontId="1" type="noConversion"/>
  </si>
  <si>
    <t>신동석</t>
    <phoneticPr fontId="1" type="noConversion"/>
  </si>
  <si>
    <t>2014/04/04</t>
    <phoneticPr fontId="1" type="noConversion"/>
  </si>
  <si>
    <t>2014/04/02</t>
    <phoneticPr fontId="1" type="noConversion"/>
  </si>
  <si>
    <t>본인상</t>
    <phoneticPr fontId="1" type="noConversion"/>
  </si>
  <si>
    <t>이명수</t>
    <phoneticPr fontId="1" type="noConversion"/>
  </si>
  <si>
    <t>2014/03/07</t>
    <phoneticPr fontId="1" type="noConversion"/>
  </si>
  <si>
    <t>2014/03/08</t>
    <phoneticPr fontId="1" type="noConversion"/>
  </si>
  <si>
    <t>딸결혼부산</t>
    <phoneticPr fontId="1" type="noConversion"/>
  </si>
  <si>
    <t>2014/01/11</t>
    <phoneticPr fontId="1" type="noConversion"/>
  </si>
  <si>
    <t>소려결혼</t>
    <phoneticPr fontId="1" type="noConversion"/>
  </si>
  <si>
    <t>2014/01/19</t>
    <phoneticPr fontId="1" type="noConversion"/>
  </si>
  <si>
    <t>조영선</t>
    <phoneticPr fontId="1" type="noConversion"/>
  </si>
  <si>
    <t>2014/09/28</t>
    <phoneticPr fontId="1" type="noConversion"/>
  </si>
  <si>
    <t>차남결혼</t>
    <phoneticPr fontId="1" type="noConversion"/>
  </si>
  <si>
    <t>472-866</t>
    <phoneticPr fontId="1" type="noConversion"/>
  </si>
  <si>
    <r>
      <rPr>
        <sz val="10"/>
        <color rgb="FF000000"/>
        <rFont val="돋움"/>
        <family val="3"/>
        <charset val="129"/>
      </rPr>
      <t>경기도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남양주시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진접읍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장현</t>
    </r>
    <r>
      <rPr>
        <sz val="10"/>
        <color rgb="FF000000"/>
        <rFont val="Arial"/>
        <family val="2"/>
      </rPr>
      <t>4</t>
    </r>
    <r>
      <rPr>
        <sz val="10"/>
        <color rgb="FF000000"/>
        <rFont val="돋움"/>
        <family val="3"/>
        <charset val="129"/>
      </rPr>
      <t>리</t>
    </r>
    <r>
      <rPr>
        <sz val="10"/>
        <color rgb="FF000000"/>
        <rFont val="Arial"/>
        <family val="2"/>
      </rPr>
      <t xml:space="preserve"> 477-3</t>
    </r>
    <phoneticPr fontId="1" type="noConversion"/>
  </si>
  <si>
    <t>2014/09/20</t>
    <phoneticPr fontId="1" type="noConversion"/>
  </si>
  <si>
    <t>본인참석축의</t>
    <phoneticPr fontId="1" type="noConversion"/>
  </si>
  <si>
    <t>금전달후류영철장녀결혼식</t>
    <phoneticPr fontId="1" type="noConversion"/>
  </si>
  <si>
    <r>
      <rPr>
        <sz val="10"/>
        <color rgb="FF000000"/>
        <rFont val="돋움"/>
        <family val="3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감</t>
    </r>
    <phoneticPr fontId="1" type="noConversion"/>
  </si>
  <si>
    <t>본인참석</t>
    <phoneticPr fontId="1" type="noConversion"/>
  </si>
  <si>
    <t>302-771</t>
    <phoneticPr fontId="1" type="noConversion"/>
  </si>
  <si>
    <r>
      <rPr>
        <sz val="10"/>
        <color rgb="FF000000"/>
        <rFont val="돋움"/>
        <family val="3"/>
        <charset val="129"/>
      </rPr>
      <t>대전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둔산남로</t>
    </r>
    <r>
      <rPr>
        <sz val="10"/>
        <color rgb="FF000000"/>
        <rFont val="Arial"/>
        <family val="2"/>
      </rPr>
      <t xml:space="preserve"> 127 </t>
    </r>
    <r>
      <rPr>
        <sz val="10"/>
        <color rgb="FF000000"/>
        <rFont val="돋움"/>
        <family val="3"/>
        <charset val="129"/>
      </rPr>
      <t>목련아파트</t>
    </r>
    <r>
      <rPr>
        <sz val="10"/>
        <color rgb="FF000000"/>
        <rFont val="Arial"/>
        <family val="2"/>
      </rPr>
      <t xml:space="preserve"> 304</t>
    </r>
    <r>
      <rPr>
        <sz val="10"/>
        <color rgb="FF000000"/>
        <rFont val="돋움"/>
        <family val="3"/>
        <charset val="129"/>
      </rPr>
      <t>동</t>
    </r>
    <r>
      <rPr>
        <sz val="10"/>
        <color rgb="FF000000"/>
        <rFont val="Arial"/>
        <family val="2"/>
      </rPr>
      <t xml:space="preserve"> 1107</t>
    </r>
    <r>
      <rPr>
        <sz val="10"/>
        <color rgb="FF000000"/>
        <rFont val="돋움"/>
        <family val="3"/>
        <charset val="129"/>
      </rPr>
      <t>호</t>
    </r>
    <phoneticPr fontId="1" type="noConversion"/>
  </si>
  <si>
    <t>류영철</t>
    <phoneticPr fontId="1" type="noConversion"/>
  </si>
  <si>
    <t>137-764</t>
    <phoneticPr fontId="1" type="noConversion"/>
  </si>
  <si>
    <r>
      <rPr>
        <sz val="10"/>
        <color rgb="FF000000"/>
        <rFont val="돋움"/>
        <family val="3"/>
        <charset val="129"/>
      </rPr>
      <t>서울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서초구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반포대로</t>
    </r>
    <r>
      <rPr>
        <sz val="10"/>
        <color rgb="FF000000"/>
        <rFont val="Arial"/>
        <family val="2"/>
      </rPr>
      <t xml:space="preserve"> 275,127</t>
    </r>
    <r>
      <rPr>
        <sz val="10"/>
        <color rgb="FF000000"/>
        <rFont val="돋움"/>
        <family val="3"/>
        <charset val="129"/>
      </rPr>
      <t>동</t>
    </r>
    <r>
      <rPr>
        <sz val="10"/>
        <color rgb="FF000000"/>
        <rFont val="Arial"/>
        <family val="2"/>
      </rPr>
      <t xml:space="preserve"> 1401</t>
    </r>
    <r>
      <rPr>
        <sz val="10"/>
        <color rgb="FF000000"/>
        <rFont val="돋움"/>
        <family val="3"/>
        <charset val="129"/>
      </rPr>
      <t>호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반포동</t>
    </r>
    <r>
      <rPr>
        <sz val="10"/>
        <color rgb="FF000000"/>
        <rFont val="Arial"/>
        <family val="2"/>
      </rPr>
      <t>,</t>
    </r>
    <r>
      <rPr>
        <sz val="10"/>
        <color rgb="FF000000"/>
        <rFont val="돋움"/>
        <family val="3"/>
        <charset val="129"/>
      </rPr>
      <t>래미안퍼스티지</t>
    </r>
    <r>
      <rPr>
        <sz val="10"/>
        <color rgb="FF000000"/>
        <rFont val="Arial"/>
        <family val="2"/>
      </rPr>
      <t>)</t>
    </r>
    <phoneticPr fontId="1" type="noConversion"/>
  </si>
  <si>
    <t>부친상</t>
    <phoneticPr fontId="1" type="noConversion"/>
  </si>
  <si>
    <t>2014/11/23</t>
    <phoneticPr fontId="1" type="noConversion"/>
  </si>
  <si>
    <t>2014/11/26</t>
    <phoneticPr fontId="1" type="noConversion"/>
  </si>
  <si>
    <t>일산백병원</t>
    <phoneticPr fontId="1" type="noConversion"/>
  </si>
  <si>
    <t>아산병원</t>
    <phoneticPr fontId="1" type="noConversion"/>
  </si>
  <si>
    <t>2014/11/30</t>
    <phoneticPr fontId="1" type="noConversion"/>
  </si>
  <si>
    <r>
      <rPr>
        <sz val="10"/>
        <color rgb="FF000000"/>
        <rFont val="돋움"/>
        <family val="3"/>
        <charset val="129"/>
      </rPr>
      <t>여동생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나수자</t>
    </r>
    <phoneticPr fontId="1" type="noConversion"/>
  </si>
  <si>
    <t>목동이대병원</t>
    <phoneticPr fontId="1" type="noConversion"/>
  </si>
  <si>
    <r>
      <rPr>
        <sz val="10"/>
        <color rgb="FF000000"/>
        <rFont val="돋움"/>
        <family val="3"/>
        <charset val="129"/>
      </rPr>
      <t>나화연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모친상</t>
    </r>
    <phoneticPr fontId="1" type="noConversion"/>
  </si>
  <si>
    <t>용인장례식장</t>
    <phoneticPr fontId="1" type="noConversion"/>
  </si>
  <si>
    <r>
      <rPr>
        <sz val="10"/>
        <color rgb="FF000000"/>
        <rFont val="돋움"/>
        <family val="3"/>
        <charset val="129"/>
      </rPr>
      <t>큰형</t>
    </r>
    <r>
      <rPr>
        <sz val="10"/>
        <color rgb="FF000000"/>
        <rFont val="Arial"/>
        <family val="2"/>
      </rPr>
      <t>,</t>
    </r>
    <r>
      <rPr>
        <sz val="10"/>
        <color rgb="FF000000"/>
        <rFont val="돋움"/>
        <family val="3"/>
        <charset val="129"/>
      </rPr>
      <t>상묵</t>
    </r>
    <r>
      <rPr>
        <sz val="10"/>
        <color rgb="FF000000"/>
        <rFont val="Arial"/>
        <family val="2"/>
      </rPr>
      <t>,</t>
    </r>
    <r>
      <rPr>
        <sz val="10"/>
        <color rgb="FF000000"/>
        <rFont val="돋움"/>
        <family val="3"/>
        <charset val="129"/>
      </rPr>
      <t>상운</t>
    </r>
    <r>
      <rPr>
        <sz val="10"/>
        <color rgb="FF000000"/>
        <rFont val="Arial"/>
        <family val="2"/>
      </rPr>
      <t>,</t>
    </r>
    <r>
      <rPr>
        <sz val="10"/>
        <color rgb="FF000000"/>
        <rFont val="돋움"/>
        <family val="3"/>
        <charset val="129"/>
      </rPr>
      <t>상현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합</t>
    </r>
    <r>
      <rPr>
        <sz val="10"/>
        <color rgb="FF000000"/>
        <rFont val="Arial"/>
        <family val="2"/>
      </rPr>
      <t>25</t>
    </r>
    <r>
      <rPr>
        <sz val="10"/>
        <color rgb="FF000000"/>
        <rFont val="돋움"/>
        <family val="3"/>
        <charset val="129"/>
      </rPr>
      <t>만원</t>
    </r>
    <phoneticPr fontId="1" type="noConversion"/>
  </si>
  <si>
    <r>
      <rPr>
        <sz val="10"/>
        <color rgb="FF000000"/>
        <rFont val="돋움"/>
        <family val="3"/>
        <charset val="129"/>
      </rPr>
      <t>큰형</t>
    </r>
    <r>
      <rPr>
        <sz val="10"/>
        <color rgb="FF000000"/>
        <rFont val="Arial"/>
        <family val="2"/>
      </rPr>
      <t>,</t>
    </r>
    <r>
      <rPr>
        <sz val="10"/>
        <color rgb="FF000000"/>
        <rFont val="돋움"/>
        <family val="3"/>
        <charset val="129"/>
      </rPr>
      <t>상묵</t>
    </r>
    <r>
      <rPr>
        <sz val="10"/>
        <color rgb="FF000000"/>
        <rFont val="Arial"/>
        <family val="2"/>
      </rPr>
      <t>,</t>
    </r>
    <r>
      <rPr>
        <sz val="10"/>
        <color rgb="FF000000"/>
        <rFont val="돋움"/>
        <family val="3"/>
        <charset val="129"/>
      </rPr>
      <t>상운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합</t>
    </r>
    <r>
      <rPr>
        <sz val="10"/>
        <color rgb="FF000000"/>
        <rFont val="Arial"/>
        <family val="2"/>
      </rPr>
      <t>20</t>
    </r>
    <r>
      <rPr>
        <sz val="10"/>
        <color rgb="FF000000"/>
        <rFont val="돋움"/>
        <family val="3"/>
        <charset val="129"/>
      </rPr>
      <t>만원</t>
    </r>
    <phoneticPr fontId="1" type="noConversion"/>
  </si>
  <si>
    <t>2014/10/18</t>
    <phoneticPr fontId="1" type="noConversion"/>
  </si>
  <si>
    <t>2014/12/6</t>
    <phoneticPr fontId="1" type="noConversion"/>
  </si>
  <si>
    <t>석희결혼</t>
    <phoneticPr fontId="1" type="noConversion"/>
  </si>
  <si>
    <t>코엑스</t>
    <phoneticPr fontId="1" type="noConversion"/>
  </si>
  <si>
    <t>한병돈대납</t>
    <phoneticPr fontId="1" type="noConversion"/>
  </si>
  <si>
    <t>2016/4/2</t>
    <phoneticPr fontId="1" type="noConversion"/>
  </si>
  <si>
    <t>장년결혼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</si>
</sst>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mm&quot;월&quot;\ dd&quot;일&quot;"/>
    <numFmt numFmtId="177" formatCode="0_);[Red]\(0\)"/>
    <numFmt numFmtId="178" formatCode="######\-#######"/>
    <numFmt numFmtId="179" formatCode="m&quot;월&quot;\ d&quot;일&quot;"/>
    <numFmt numFmtId="180" formatCode="#,##0_-;[Red]&quot;△&quot;#,##0_-;\-_-;@"/>
    <numFmt numFmtId="181" formatCode="yy\.mm\.dd"/>
    <numFmt numFmtId="182" formatCode="#,##0_);[Red]\(#,##0\)"/>
    <numFmt numFmtId="183" formatCode="#,##0_ "/>
    <numFmt numFmtId="184" formatCode="0.00_ "/>
    <numFmt numFmtId="185" formatCode="0_ "/>
  </numFmts>
  <fonts count="100" x14ac:knownFonts="1">
    <font>
      <sz val="11"/>
      <color rgb="FF000000"/>
      <name val="돋움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000000"/>
      <name val="Arial"/>
    </font>
    <font>
      <sz val="11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u/>
      <sz val="12"/>
      <color rgb="FF0000FF"/>
      <name val="바탕체"/>
      <family val="1"/>
      <charset val="129"/>
    </font>
    <font>
      <b/>
      <sz val="18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4"/>
      <color rgb="FF000000"/>
      <name val="굴림"/>
      <family val="3"/>
      <charset val="129"/>
    </font>
    <font>
      <u/>
      <sz val="14"/>
      <color rgb="FF0000FF"/>
      <name val="돋움"/>
      <family val="3"/>
      <charset val="129"/>
    </font>
    <font>
      <sz val="12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14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u/>
      <sz val="8"/>
      <color rgb="FF0000FF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6"/>
      <color rgb="FF000000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굴림"/>
      <family val="3"/>
      <charset val="129"/>
    </font>
    <font>
      <u/>
      <sz val="10"/>
      <color rgb="FF0000FF"/>
      <name val="Arial"/>
    </font>
    <font>
      <u/>
      <sz val="10"/>
      <color rgb="FF0000FF"/>
      <name val="굴림"/>
      <family val="3"/>
      <charset val="129"/>
    </font>
    <font>
      <sz val="10"/>
      <color rgb="FF000000"/>
      <name val="바탕"/>
      <family val="1"/>
      <charset val="129"/>
    </font>
    <font>
      <sz val="9"/>
      <color rgb="FF000000"/>
      <name val="Gulim"/>
      <family val="3"/>
      <charset val="129"/>
    </font>
    <font>
      <sz val="10"/>
      <color rgb="FF000000"/>
      <name val="Gulim"/>
      <family val="3"/>
      <charset val="129"/>
    </font>
    <font>
      <sz val="10"/>
      <color rgb="FF333333"/>
      <name val="굴림"/>
      <family val="3"/>
      <charset val="129"/>
    </font>
    <font>
      <b/>
      <sz val="12"/>
      <color rgb="FF000000"/>
      <name val="돋움"/>
      <family val="3"/>
      <charset val="129"/>
    </font>
    <font>
      <b/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u/>
      <sz val="11"/>
      <color rgb="FF0000FF"/>
      <name val="돋움"/>
      <family val="3"/>
      <charset val="129"/>
    </font>
    <font>
      <b/>
      <u/>
      <sz val="9"/>
      <color rgb="FF000000"/>
      <name val="돋움"/>
      <family val="3"/>
      <charset val="129"/>
    </font>
    <font>
      <b/>
      <sz val="10"/>
      <color rgb="FF333333"/>
      <name val="돋움"/>
      <family val="3"/>
      <charset val="129"/>
    </font>
    <font>
      <b/>
      <sz val="8"/>
      <color rgb="FFFF0000"/>
      <name val="돋움"/>
      <family val="3"/>
      <charset val="129"/>
    </font>
    <font>
      <b/>
      <sz val="8"/>
      <color rgb="FF000000"/>
      <name val="굴림"/>
      <family val="3"/>
      <charset val="129"/>
    </font>
    <font>
      <sz val="12"/>
      <color rgb="FF000000"/>
      <name val="Arial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333333"/>
      <name val="돋움"/>
      <family val="3"/>
      <charset val="129"/>
    </font>
    <font>
      <sz val="14"/>
      <color rgb="FF000000"/>
      <name val="HY견고딕"/>
      <family val="1"/>
      <charset val="129"/>
    </font>
    <font>
      <u/>
      <sz val="12"/>
      <color rgb="FF0000FF"/>
      <name val="돋움"/>
      <family val="3"/>
      <charset val="129"/>
    </font>
    <font>
      <sz val="18"/>
      <color rgb="FF000000"/>
      <name val="맑은 고딕"/>
      <family val="3"/>
      <charset val="129"/>
    </font>
    <font>
      <u/>
      <sz val="10"/>
      <color rgb="FF000000"/>
      <name val="맑은 고딕"/>
      <family val="3"/>
      <charset val="129"/>
    </font>
    <font>
      <sz val="10"/>
      <color rgb="FF000000"/>
      <name val="바탕체"/>
      <family val="1"/>
      <charset val="129"/>
    </font>
    <font>
      <sz val="12"/>
      <color rgb="FFFF0000"/>
      <name val="돋움"/>
      <family val="3"/>
      <charset val="129"/>
    </font>
    <font>
      <sz val="14"/>
      <color rgb="FF000000"/>
      <name val="맑은 고딕"/>
      <family val="3"/>
      <charset val="129"/>
    </font>
    <font>
      <sz val="8"/>
      <color rgb="FF000000"/>
      <name val="굴림"/>
      <family val="3"/>
      <charset val="129"/>
    </font>
    <font>
      <sz val="11"/>
      <color rgb="FF333333"/>
      <name val="맑은 고딕"/>
      <family val="3"/>
      <charset val="129"/>
    </font>
    <font>
      <u/>
      <sz val="8"/>
      <color rgb="FF0000FF"/>
      <name val="굴림"/>
      <family val="3"/>
      <charset val="129"/>
    </font>
    <font>
      <sz val="11"/>
      <color rgb="FF000000"/>
      <name val="Arial"/>
    </font>
    <font>
      <b/>
      <sz val="12"/>
      <color rgb="FF333399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2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8"/>
      <color rgb="FF000000"/>
      <name val="Comic Sans MS"/>
    </font>
    <font>
      <b/>
      <sz val="16"/>
      <color rgb="FF000000"/>
      <name val="Comic Sans MS"/>
    </font>
    <font>
      <b/>
      <sz val="16"/>
      <color rgb="FF000000"/>
      <name val="궁서"/>
      <family val="1"/>
      <charset val="129"/>
    </font>
    <font>
      <sz val="16"/>
      <color rgb="FF000000"/>
      <name val="돋움"/>
      <family val="3"/>
      <charset val="129"/>
    </font>
    <font>
      <b/>
      <sz val="16"/>
      <color rgb="FF000000"/>
      <name val="맑은 고딕"/>
      <family val="3"/>
      <charset val="129"/>
    </font>
    <font>
      <sz val="17"/>
      <color rgb="FF000000"/>
      <name val="한양해서"/>
      <family val="3"/>
      <charset val="129"/>
    </font>
    <font>
      <sz val="9"/>
      <color rgb="FF000000"/>
      <name val="한컴돋움"/>
      <family val="3"/>
      <charset val="129"/>
    </font>
    <font>
      <sz val="9"/>
      <color rgb="FF000000"/>
      <name val="궁서"/>
      <family val="1"/>
      <charset val="129"/>
    </font>
    <font>
      <sz val="9"/>
      <color rgb="FF0000FF"/>
      <name val="한컴돋움"/>
      <family val="3"/>
      <charset val="129"/>
    </font>
    <font>
      <u/>
      <sz val="9"/>
      <color rgb="FF0000FF"/>
      <name val="한컴돋움"/>
      <family val="3"/>
      <charset val="129"/>
    </font>
    <font>
      <sz val="8"/>
      <color rgb="FF000000"/>
      <name val="궁서"/>
      <family val="1"/>
      <charset val="129"/>
    </font>
    <font>
      <sz val="8"/>
      <color rgb="FF0000FF"/>
      <name val="한컴돋움"/>
      <family val="3"/>
      <charset val="129"/>
    </font>
    <font>
      <b/>
      <sz val="24"/>
      <color rgb="FF000000"/>
      <name val="함초롬바탕"/>
      <family val="3"/>
      <charset val="129"/>
    </font>
    <font>
      <b/>
      <sz val="14"/>
      <color rgb="FF000000"/>
      <name val="함초롬바탕"/>
      <family val="3"/>
      <charset val="129"/>
    </font>
    <font>
      <b/>
      <sz val="9"/>
      <color rgb="FF000000"/>
      <name val="돋움체"/>
      <family val="3"/>
      <charset val="129"/>
    </font>
    <font>
      <sz val="8"/>
      <color rgb="FF000000"/>
      <name val="돋움체"/>
      <family val="3"/>
      <charset val="129"/>
    </font>
    <font>
      <sz val="8"/>
      <color rgb="FFFF0000"/>
      <name val="돋움체"/>
      <family val="3"/>
      <charset val="129"/>
    </font>
    <font>
      <sz val="7"/>
      <color rgb="FF000000"/>
      <name val="돋움체"/>
      <family val="3"/>
      <charset val="129"/>
    </font>
    <font>
      <b/>
      <sz val="12"/>
      <color rgb="FF000000"/>
      <name val="Times New Roman"/>
      <family val="1"/>
    </font>
    <font>
      <sz val="7"/>
      <color rgb="FF000000"/>
      <name val="돋움"/>
      <family val="3"/>
      <charset val="129"/>
    </font>
    <font>
      <sz val="8"/>
      <color rgb="FFFF0000"/>
      <name val="돋움"/>
      <family val="3"/>
      <charset val="129"/>
    </font>
    <font>
      <sz val="7"/>
      <color rgb="FF000000"/>
      <name val="한컴돋움"/>
      <family val="3"/>
      <charset val="129"/>
    </font>
    <font>
      <sz val="8"/>
      <color rgb="FF0000FF"/>
      <name val="돋움"/>
      <family val="3"/>
      <charset val="129"/>
    </font>
    <font>
      <b/>
      <sz val="12"/>
      <color rgb="FF000000"/>
      <name val="바탕"/>
      <family val="1"/>
      <charset val="129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0000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2"/>
      <color rgb="FF1F497D"/>
      <name val="Arial"/>
      <family val="2"/>
    </font>
    <font>
      <u/>
      <sz val="12"/>
      <color rgb="FF1F497D"/>
      <name val="바탕체"/>
      <family val="1"/>
      <charset val="129"/>
    </font>
    <font>
      <sz val="12"/>
      <color rgb="FF1F497D"/>
      <name val="돋움"/>
      <family val="3"/>
      <charset val="129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0"/>
      <color rgb="FFFF6600"/>
      <name val="Arial"/>
      <family val="2"/>
    </font>
    <font>
      <sz val="10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969696"/>
      </patternFill>
    </fill>
    <fill>
      <patternFill patternType="solid">
        <fgColor rgb="FFFF6600"/>
      </patternFill>
    </fill>
    <fill>
      <patternFill patternType="solid">
        <fgColor rgb="FFCCFFCC"/>
      </patternFill>
    </fill>
    <fill>
      <patternFill patternType="solid">
        <fgColor rgb="FFFFCC00"/>
      </patternFill>
    </fill>
    <fill>
      <patternFill patternType="solid">
        <fgColor rgb="FF339966"/>
      </patternFill>
    </fill>
    <fill>
      <patternFill patternType="solid">
        <fgColor rgb="FFFF8080"/>
      </patternFill>
    </fill>
    <fill>
      <patternFill patternType="solid">
        <fgColor rgb="FF99CCFF"/>
      </patternFill>
    </fill>
    <fill>
      <patternFill patternType="solid">
        <fgColor rgb="FF00FF00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CC99FF"/>
      </patternFill>
    </fill>
    <fill>
      <patternFill patternType="solid">
        <fgColor rgb="FFFFFFCC"/>
      </patternFill>
    </fill>
    <fill>
      <patternFill patternType="solid">
        <fgColor rgb="FFB6DDE8"/>
      </patternFill>
    </fill>
    <fill>
      <patternFill patternType="solid">
        <fgColor rgb="FFFBD4B4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92CDDC"/>
      </patternFill>
    </fill>
    <fill>
      <patternFill patternType="solid">
        <fgColor rgb="FFDAEEF3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2DBDB"/>
      </patternFill>
    </fill>
    <fill>
      <patternFill patternType="solid">
        <fgColor rgb="FFFFC000"/>
      </patternFill>
    </fill>
  </fills>
  <borders count="1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81">
    <xf numFmtId="0" fontId="0" fillId="0" borderId="0" xfId="0">
      <alignment vertical="center"/>
    </xf>
    <xf numFmtId="0" fontId="4" fillId="0" borderId="0" xfId="0" applyFont="1" applyAlignment="1"/>
    <xf numFmtId="0" fontId="4" fillId="2" borderId="0" xfId="0" applyFont="1" applyFill="1" applyAlignment="1"/>
    <xf numFmtId="0" fontId="7" fillId="0" borderId="0" xfId="0" applyFont="1" applyBorder="1" applyAlignment="1">
      <alignment vertical="center"/>
    </xf>
    <xf numFmtId="0" fontId="8" fillId="0" borderId="0" xfId="0" applyFont="1" applyAlignme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4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3" fillId="0" borderId="10" xfId="0" applyNumberFormat="1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77" fontId="18" fillId="3" borderId="13" xfId="0" applyNumberFormat="1" applyFont="1" applyFill="1" applyBorder="1" applyAlignment="1">
      <alignment horizontal="center" vertical="center"/>
    </xf>
    <xf numFmtId="0" fontId="18" fillId="3" borderId="14" xfId="0" applyNumberFormat="1" applyFont="1" applyFill="1" applyBorder="1" applyAlignment="1">
      <alignment horizontal="left" vertical="center" wrapText="1"/>
    </xf>
    <xf numFmtId="178" fontId="18" fillId="3" borderId="13" xfId="0" applyNumberFormat="1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left" vertical="center" wrapText="1"/>
    </xf>
    <xf numFmtId="179" fontId="18" fillId="3" borderId="15" xfId="0" applyNumberFormat="1" applyFont="1" applyFill="1" applyBorder="1" applyAlignment="1">
      <alignment horizontal="left" vertical="center" wrapText="1"/>
    </xf>
    <xf numFmtId="0" fontId="18" fillId="3" borderId="16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6" fillId="0" borderId="17" xfId="0" applyNumberFormat="1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left" vertical="center" wrapText="1"/>
    </xf>
    <xf numFmtId="178" fontId="6" fillId="0" borderId="17" xfId="0" applyNumberFormat="1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/>
    </xf>
    <xf numFmtId="179" fontId="6" fillId="0" borderId="19" xfId="0" applyNumberFormat="1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21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left" vertical="center" wrapText="1"/>
    </xf>
    <xf numFmtId="178" fontId="6" fillId="0" borderId="21" xfId="0" applyNumberFormat="1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 wrapText="1"/>
    </xf>
    <xf numFmtId="179" fontId="6" fillId="0" borderId="23" xfId="0" applyNumberFormat="1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178" fontId="6" fillId="0" borderId="23" xfId="0" applyNumberFormat="1" applyFont="1" applyFill="1" applyBorder="1" applyAlignment="1">
      <alignment horizontal="center" vertical="center"/>
    </xf>
    <xf numFmtId="179" fontId="6" fillId="0" borderId="23" xfId="0" applyNumberFormat="1" applyFont="1" applyFill="1" applyBorder="1" applyAlignment="1">
      <alignment horizontal="left" vertical="center"/>
    </xf>
    <xf numFmtId="49" fontId="20" fillId="0" borderId="24" xfId="0" applyNumberFormat="1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6" fillId="0" borderId="24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left" vertical="center" wrapText="1"/>
    </xf>
    <xf numFmtId="0" fontId="20" fillId="0" borderId="24" xfId="0" applyNumberFormat="1" applyFont="1" applyFill="1" applyBorder="1" applyAlignment="1">
      <alignment horizontal="left" vertical="center"/>
    </xf>
    <xf numFmtId="178" fontId="20" fillId="0" borderId="24" xfId="0" applyNumberFormat="1" applyFont="1" applyFill="1" applyBorder="1" applyAlignment="1">
      <alignment horizontal="left" vertical="center" wrapText="1"/>
    </xf>
    <xf numFmtId="0" fontId="6" fillId="0" borderId="22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0" fillId="0" borderId="24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178" fontId="6" fillId="0" borderId="24" xfId="0" applyNumberFormat="1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0" xfId="0" applyFont="1" applyAlignment="1"/>
    <xf numFmtId="0" fontId="6" fillId="4" borderId="22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left" vertical="center"/>
    </xf>
    <xf numFmtId="179" fontId="6" fillId="0" borderId="23" xfId="0" applyNumberFormat="1" applyFont="1" applyBorder="1" applyAlignment="1">
      <alignment horizontal="left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20" fillId="0" borderId="0" xfId="0" applyFont="1" applyAlignment="1"/>
    <xf numFmtId="0" fontId="20" fillId="0" borderId="24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6" fillId="0" borderId="18" xfId="0" applyNumberFormat="1" applyFont="1" applyFill="1" applyBorder="1" applyAlignment="1">
      <alignment horizontal="left" vertical="center" wrapText="1"/>
    </xf>
    <xf numFmtId="0" fontId="20" fillId="0" borderId="26" xfId="0" applyFont="1" applyFill="1" applyBorder="1" applyAlignment="1">
      <alignment horizontal="left" vertical="center" wrapText="1"/>
    </xf>
    <xf numFmtId="0" fontId="6" fillId="0" borderId="27" xfId="0" applyNumberFormat="1" applyFont="1" applyFill="1" applyBorder="1" applyAlignment="1">
      <alignment horizontal="center" vertical="center"/>
    </xf>
    <xf numFmtId="0" fontId="6" fillId="0" borderId="28" xfId="0" applyNumberFormat="1" applyFont="1" applyFill="1" applyBorder="1" applyAlignment="1">
      <alignment horizontal="left" vertical="center" wrapText="1"/>
    </xf>
    <xf numFmtId="178" fontId="6" fillId="0" borderId="27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/>
    </xf>
    <xf numFmtId="179" fontId="6" fillId="0" borderId="11" xfId="0" applyNumberFormat="1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horizontal="left" vertical="center" wrapText="1"/>
    </xf>
    <xf numFmtId="178" fontId="6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4" borderId="29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5" borderId="30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176" fontId="23" fillId="5" borderId="31" xfId="0" applyNumberFormat="1" applyFont="1" applyFill="1" applyBorder="1" applyAlignment="1">
      <alignment horizontal="center" vertical="center"/>
    </xf>
    <xf numFmtId="176" fontId="23" fillId="5" borderId="3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24" fillId="4" borderId="33" xfId="0" applyFont="1" applyFill="1" applyBorder="1" applyAlignment="1">
      <alignment horizontal="center" vertical="center"/>
    </xf>
    <xf numFmtId="176" fontId="23" fillId="4" borderId="34" xfId="0" applyNumberFormat="1" applyFont="1" applyFill="1" applyBorder="1" applyAlignment="1">
      <alignment horizontal="center" vertical="center"/>
    </xf>
    <xf numFmtId="176" fontId="23" fillId="4" borderId="35" xfId="0" applyNumberFormat="1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5" fillId="4" borderId="24" xfId="0" applyFont="1" applyFill="1" applyBorder="1" applyAlignment="1">
      <alignment horizontal="center" vertical="center"/>
    </xf>
    <xf numFmtId="0" fontId="25" fillId="4" borderId="36" xfId="0" applyFont="1" applyFill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24" fillId="5" borderId="33" xfId="0" applyFont="1" applyFill="1" applyBorder="1" applyAlignment="1">
      <alignment horizontal="center" vertical="center"/>
    </xf>
    <xf numFmtId="176" fontId="23" fillId="5" borderId="34" xfId="0" applyNumberFormat="1" applyFont="1" applyFill="1" applyBorder="1" applyAlignment="1">
      <alignment horizontal="center" vertical="center"/>
    </xf>
    <xf numFmtId="176" fontId="23" fillId="5" borderId="35" xfId="0" applyNumberFormat="1" applyFont="1" applyFill="1" applyBorder="1" applyAlignment="1">
      <alignment horizontal="center" vertical="center"/>
    </xf>
    <xf numFmtId="0" fontId="25" fillId="5" borderId="21" xfId="0" applyFont="1" applyFill="1" applyBorder="1" applyAlignment="1">
      <alignment horizontal="center" vertical="center"/>
    </xf>
    <xf numFmtId="0" fontId="24" fillId="5" borderId="23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/>
    </xf>
    <xf numFmtId="0" fontId="25" fillId="5" borderId="23" xfId="0" applyFont="1" applyFill="1" applyBorder="1" applyAlignment="1">
      <alignment horizontal="center" vertical="center"/>
    </xf>
    <xf numFmtId="0" fontId="25" fillId="5" borderId="24" xfId="0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/>
    </xf>
    <xf numFmtId="0" fontId="24" fillId="5" borderId="37" xfId="0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center" vertical="center"/>
    </xf>
    <xf numFmtId="176" fontId="23" fillId="5" borderId="38" xfId="0" applyNumberFormat="1" applyFont="1" applyFill="1" applyBorder="1" applyAlignment="1">
      <alignment horizontal="center" vertical="center"/>
    </xf>
    <xf numFmtId="0" fontId="25" fillId="5" borderId="39" xfId="0" applyFont="1" applyFill="1" applyBorder="1" applyAlignment="1">
      <alignment horizontal="center" vertical="center"/>
    </xf>
    <xf numFmtId="0" fontId="24" fillId="5" borderId="40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25" fillId="5" borderId="40" xfId="0" applyFont="1" applyFill="1" applyBorder="1" applyAlignment="1">
      <alignment horizontal="center" vertical="center"/>
    </xf>
    <xf numFmtId="0" fontId="25" fillId="5" borderId="43" xfId="0" applyFont="1" applyFill="1" applyBorder="1" applyAlignment="1">
      <alignment horizontal="center" vertical="center"/>
    </xf>
    <xf numFmtId="176" fontId="23" fillId="4" borderId="31" xfId="0" applyNumberFormat="1" applyFont="1" applyFill="1" applyBorder="1" applyAlignment="1">
      <alignment horizontal="center" vertical="center"/>
    </xf>
    <xf numFmtId="176" fontId="23" fillId="4" borderId="32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46" xfId="0" applyFont="1" applyFill="1" applyBorder="1" applyAlignment="1">
      <alignment horizontal="center" vertical="center"/>
    </xf>
    <xf numFmtId="176" fontId="23" fillId="5" borderId="47" xfId="0" applyNumberFormat="1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5" fillId="4" borderId="19" xfId="0" applyFont="1" applyFill="1" applyBorder="1" applyAlignment="1">
      <alignment horizontal="center" vertical="center"/>
    </xf>
    <xf numFmtId="0" fontId="25" fillId="4" borderId="26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vertical="center"/>
    </xf>
    <xf numFmtId="176" fontId="23" fillId="4" borderId="38" xfId="0" applyNumberFormat="1" applyFont="1" applyFill="1" applyBorder="1" applyAlignment="1">
      <alignment horizontal="center" vertical="center"/>
    </xf>
    <xf numFmtId="176" fontId="23" fillId="4" borderId="47" xfId="0" applyNumberFormat="1" applyFont="1" applyFill="1" applyBorder="1" applyAlignment="1">
      <alignment horizontal="center" vertical="center"/>
    </xf>
    <xf numFmtId="0" fontId="25" fillId="4" borderId="39" xfId="0" applyFont="1" applyFill="1" applyBorder="1" applyAlignment="1">
      <alignment horizontal="center" vertical="center"/>
    </xf>
    <xf numFmtId="0" fontId="24" fillId="4" borderId="40" xfId="0" applyFont="1" applyFill="1" applyBorder="1" applyAlignment="1">
      <alignment horizontal="center" vertical="center"/>
    </xf>
    <xf numFmtId="0" fontId="25" fillId="4" borderId="41" xfId="0" applyFont="1" applyFill="1" applyBorder="1" applyAlignment="1">
      <alignment horizontal="center" vertical="center"/>
    </xf>
    <xf numFmtId="0" fontId="25" fillId="4" borderId="40" xfId="0" applyFont="1" applyFill="1" applyBorder="1" applyAlignment="1">
      <alignment horizontal="center" vertical="center"/>
    </xf>
    <xf numFmtId="0" fontId="25" fillId="4" borderId="43" xfId="0" applyFont="1" applyFill="1" applyBorder="1" applyAlignment="1">
      <alignment horizontal="center" vertical="center"/>
    </xf>
    <xf numFmtId="0" fontId="25" fillId="4" borderId="42" xfId="0" applyFont="1" applyFill="1" applyBorder="1" applyAlignment="1">
      <alignment horizontal="center" vertical="center"/>
    </xf>
    <xf numFmtId="0" fontId="25" fillId="5" borderId="44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14" fontId="27" fillId="0" borderId="0" xfId="0" applyNumberFormat="1" applyFont="1" applyAlignment="1">
      <alignment horizontal="center" vertical="center"/>
    </xf>
    <xf numFmtId="0" fontId="27" fillId="4" borderId="40" xfId="0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0" borderId="19" xfId="0" applyFont="1" applyBorder="1" applyAlignment="1">
      <alignment horizontal="center"/>
    </xf>
    <xf numFmtId="0" fontId="28" fillId="0" borderId="0" xfId="0" applyFont="1" applyAlignment="1"/>
    <xf numFmtId="0" fontId="11" fillId="0" borderId="3" xfId="0" applyFont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/>
    <xf numFmtId="0" fontId="11" fillId="0" borderId="23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left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left" vertical="center"/>
    </xf>
    <xf numFmtId="0" fontId="29" fillId="4" borderId="23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left" vertical="center" wrapText="1"/>
    </xf>
    <xf numFmtId="0" fontId="28" fillId="4" borderId="23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4" borderId="23" xfId="0" applyFont="1" applyFill="1" applyBorder="1" applyAlignment="1">
      <alignment horizontal="center" vertical="center" wrapText="1"/>
    </xf>
    <xf numFmtId="0" fontId="31" fillId="0" borderId="48" xfId="0" applyFont="1" applyBorder="1" applyAlignment="1">
      <alignment horizontal="center"/>
    </xf>
    <xf numFmtId="0" fontId="27" fillId="0" borderId="23" xfId="0" applyFont="1" applyBorder="1" applyAlignment="1">
      <alignment horizontal="center" vertical="center"/>
    </xf>
    <xf numFmtId="0" fontId="32" fillId="0" borderId="0" xfId="0" applyFont="1" applyAlignment="1"/>
    <xf numFmtId="0" fontId="32" fillId="0" borderId="2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30" fillId="0" borderId="23" xfId="0" applyFont="1" applyBorder="1" applyAlignment="1">
      <alignment vertical="center"/>
    </xf>
    <xf numFmtId="0" fontId="11" fillId="4" borderId="35" xfId="0" applyFont="1" applyFill="1" applyBorder="1" applyAlignment="1">
      <alignment horizontal="left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32" fillId="0" borderId="5" xfId="0" applyFont="1" applyBorder="1" applyAlignment="1">
      <alignment horizontal="center"/>
    </xf>
    <xf numFmtId="0" fontId="11" fillId="4" borderId="23" xfId="0" applyFont="1" applyFill="1" applyBorder="1" applyAlignment="1">
      <alignment vertical="center" wrapText="1"/>
    </xf>
    <xf numFmtId="0" fontId="33" fillId="0" borderId="23" xfId="0" applyFont="1" applyBorder="1" applyAlignment="1">
      <alignment horizontal="center"/>
    </xf>
    <xf numFmtId="0" fontId="11" fillId="0" borderId="23" xfId="0" applyFont="1" applyBorder="1" applyAlignment="1">
      <alignment vertical="center"/>
    </xf>
    <xf numFmtId="0" fontId="28" fillId="0" borderId="23" xfId="0" applyFont="1" applyBorder="1" applyAlignment="1">
      <alignment horizontal="center" vertical="center"/>
    </xf>
    <xf numFmtId="0" fontId="33" fillId="0" borderId="0" xfId="0" applyFont="1" applyAlignment="1"/>
    <xf numFmtId="0" fontId="6" fillId="4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18" fillId="0" borderId="0" xfId="0" applyFont="1" applyAlignment="1"/>
    <xf numFmtId="0" fontId="35" fillId="2" borderId="23" xfId="0" applyFont="1" applyFill="1" applyBorder="1" applyAlignment="1">
      <alignment horizontal="center"/>
    </xf>
    <xf numFmtId="0" fontId="36" fillId="2" borderId="23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35" fillId="0" borderId="23" xfId="0" applyFont="1" applyFill="1" applyBorder="1" applyAlignment="1">
      <alignment horizontal="center"/>
    </xf>
    <xf numFmtId="0" fontId="35" fillId="0" borderId="23" xfId="0" applyFont="1" applyFill="1" applyBorder="1" applyAlignment="1">
      <alignment horizontal="left"/>
    </xf>
    <xf numFmtId="0" fontId="38" fillId="0" borderId="23" xfId="0" applyFont="1" applyFill="1" applyBorder="1" applyAlignment="1">
      <alignment horizontal="left"/>
    </xf>
    <xf numFmtId="0" fontId="37" fillId="0" borderId="23" xfId="0" applyFont="1" applyFill="1" applyBorder="1" applyAlignment="1">
      <alignment horizontal="left"/>
    </xf>
    <xf numFmtId="0" fontId="37" fillId="0" borderId="23" xfId="0" applyFont="1" applyFill="1" applyBorder="1" applyAlignment="1"/>
    <xf numFmtId="0" fontId="38" fillId="0" borderId="23" xfId="0" applyFont="1" applyFill="1" applyBorder="1" applyAlignment="1"/>
    <xf numFmtId="0" fontId="39" fillId="0" borderId="0" xfId="0" applyFont="1" applyFill="1" applyAlignment="1"/>
    <xf numFmtId="0" fontId="6" fillId="0" borderId="0" xfId="0" applyFont="1" applyBorder="1" applyAlignment="1"/>
    <xf numFmtId="0" fontId="37" fillId="0" borderId="0" xfId="0" applyFont="1" applyFill="1" applyAlignment="1">
      <alignment horizontal="left"/>
    </xf>
    <xf numFmtId="0" fontId="40" fillId="0" borderId="23" xfId="0" applyFont="1" applyFill="1" applyBorder="1" applyAlignment="1">
      <alignment horizontal="left"/>
    </xf>
    <xf numFmtId="0" fontId="37" fillId="0" borderId="0" xfId="0" applyFont="1" applyFill="1" applyBorder="1" applyAlignment="1"/>
    <xf numFmtId="0" fontId="3" fillId="7" borderId="5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35" fillId="7" borderId="23" xfId="0" applyFont="1" applyFill="1" applyBorder="1" applyAlignment="1">
      <alignment horizontal="center"/>
    </xf>
    <xf numFmtId="0" fontId="35" fillId="7" borderId="23" xfId="0" applyFont="1" applyFill="1" applyBorder="1" applyAlignment="1">
      <alignment horizontal="left"/>
    </xf>
    <xf numFmtId="0" fontId="38" fillId="7" borderId="23" xfId="0" applyFont="1" applyFill="1" applyBorder="1" applyAlignment="1"/>
    <xf numFmtId="0" fontId="18" fillId="7" borderId="0" xfId="0" applyFont="1" applyFill="1" applyBorder="1" applyAlignment="1"/>
    <xf numFmtId="0" fontId="37" fillId="7" borderId="23" xfId="0" applyFont="1" applyFill="1" applyBorder="1" applyAlignment="1"/>
    <xf numFmtId="0" fontId="18" fillId="7" borderId="23" xfId="0" applyFont="1" applyFill="1" applyBorder="1" applyAlignment="1"/>
    <xf numFmtId="0" fontId="6" fillId="7" borderId="23" xfId="0" applyFont="1" applyFill="1" applyBorder="1" applyAlignment="1">
      <alignment horizontal="left"/>
    </xf>
    <xf numFmtId="0" fontId="34" fillId="7" borderId="5" xfId="0" applyFont="1" applyFill="1" applyBorder="1" applyAlignment="1">
      <alignment horizontal="center"/>
    </xf>
    <xf numFmtId="0" fontId="35" fillId="0" borderId="0" xfId="0" applyFont="1" applyBorder="1" applyAlignment="1"/>
    <xf numFmtId="0" fontId="41" fillId="7" borderId="23" xfId="0" applyFont="1" applyFill="1" applyBorder="1" applyAlignment="1">
      <alignment horizontal="center"/>
    </xf>
    <xf numFmtId="0" fontId="6" fillId="0" borderId="0" xfId="0" applyFont="1" applyFill="1" applyAlignment="1"/>
    <xf numFmtId="0" fontId="4" fillId="0" borderId="49" xfId="0" applyFont="1" applyBorder="1" applyAlignment="1">
      <alignment wrapText="1"/>
    </xf>
    <xf numFmtId="0" fontId="4" fillId="0" borderId="50" xfId="0" applyFont="1" applyBorder="1" applyAlignment="1">
      <alignment wrapText="1"/>
    </xf>
    <xf numFmtId="0" fontId="7" fillId="0" borderId="0" xfId="0" applyFont="1" applyAlignment="1"/>
    <xf numFmtId="0" fontId="7" fillId="0" borderId="0" xfId="0" applyFont="1" applyBorder="1" applyAlignment="1"/>
    <xf numFmtId="0" fontId="26" fillId="4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7" fillId="0" borderId="0" xfId="0" applyFont="1" applyBorder="1" applyAlignment="1"/>
    <xf numFmtId="0" fontId="26" fillId="4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76" fontId="7" fillId="0" borderId="0" xfId="0" applyNumberFormat="1" applyFont="1" applyAlignment="1"/>
    <xf numFmtId="0" fontId="7" fillId="4" borderId="0" xfId="0" applyFont="1" applyFill="1" applyBorder="1" applyAlignment="1">
      <alignment vertical="center" wrapText="1"/>
    </xf>
    <xf numFmtId="0" fontId="7" fillId="0" borderId="0" xfId="0" applyFont="1" applyAlignment="1"/>
    <xf numFmtId="0" fontId="7" fillId="4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7" fillId="0" borderId="0" xfId="0" applyFont="1" applyAlignment="1">
      <alignment horizontal="center"/>
    </xf>
    <xf numFmtId="0" fontId="7" fillId="2" borderId="0" xfId="0" applyFont="1" applyFill="1" applyAlignment="1"/>
    <xf numFmtId="0" fontId="7" fillId="0" borderId="0" xfId="0" applyFont="1" applyFill="1" applyAlignment="1"/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180" fontId="43" fillId="8" borderId="51" xfId="0" applyNumberFormat="1" applyFont="1" applyFill="1" applyBorder="1" applyAlignment="1">
      <alignment horizontal="centerContinuous" vertical="center"/>
    </xf>
    <xf numFmtId="180" fontId="43" fillId="8" borderId="52" xfId="0" applyNumberFormat="1" applyFont="1" applyFill="1" applyBorder="1" applyAlignment="1">
      <alignment horizontal="centerContinuous" vertical="center"/>
    </xf>
    <xf numFmtId="180" fontId="43" fillId="8" borderId="53" xfId="0" applyNumberFormat="1" applyFont="1" applyFill="1" applyBorder="1" applyAlignment="1">
      <alignment horizontal="centerContinuous" vertical="center"/>
    </xf>
    <xf numFmtId="180" fontId="43" fillId="8" borderId="54" xfId="0" applyNumberFormat="1" applyFont="1" applyFill="1" applyBorder="1" applyAlignment="1">
      <alignment horizontal="centerContinuous" vertical="center"/>
    </xf>
    <xf numFmtId="180" fontId="43" fillId="8" borderId="55" xfId="0" applyNumberFormat="1" applyFont="1" applyFill="1" applyBorder="1" applyAlignment="1">
      <alignment horizontal="centerContinuous" vertical="center"/>
    </xf>
    <xf numFmtId="180" fontId="43" fillId="8" borderId="56" xfId="0" applyNumberFormat="1" applyFont="1" applyFill="1" applyBorder="1" applyAlignment="1">
      <alignment horizontal="centerContinuous" vertical="center"/>
    </xf>
    <xf numFmtId="180" fontId="43" fillId="8" borderId="57" xfId="0" applyNumberFormat="1" applyFont="1" applyFill="1" applyBorder="1" applyAlignment="1">
      <alignment horizontal="centerContinuous" vertical="center"/>
    </xf>
    <xf numFmtId="180" fontId="43" fillId="8" borderId="58" xfId="0" applyNumberFormat="1" applyFont="1" applyFill="1" applyBorder="1" applyAlignment="1">
      <alignment horizontal="center" vertical="center"/>
    </xf>
    <xf numFmtId="180" fontId="43" fillId="8" borderId="59" xfId="0" applyNumberFormat="1" applyFont="1" applyFill="1" applyBorder="1" applyAlignment="1">
      <alignment horizontal="center" vertical="center"/>
    </xf>
    <xf numFmtId="180" fontId="43" fillId="8" borderId="60" xfId="0" applyNumberFormat="1" applyFont="1" applyFill="1" applyBorder="1" applyAlignment="1">
      <alignment horizontal="center" vertical="center"/>
    </xf>
    <xf numFmtId="180" fontId="43" fillId="8" borderId="61" xfId="0" applyNumberFormat="1" applyFont="1" applyFill="1" applyBorder="1" applyAlignment="1">
      <alignment horizontal="center" vertical="center"/>
    </xf>
    <xf numFmtId="180" fontId="43" fillId="8" borderId="62" xfId="0" applyNumberFormat="1" applyFont="1" applyFill="1" applyBorder="1" applyAlignment="1">
      <alignment horizontal="center" vertical="center"/>
    </xf>
    <xf numFmtId="180" fontId="43" fillId="8" borderId="63" xfId="0" applyNumberFormat="1" applyFont="1" applyFill="1" applyBorder="1" applyAlignment="1">
      <alignment horizontal="center" vertical="center"/>
    </xf>
    <xf numFmtId="180" fontId="43" fillId="8" borderId="64" xfId="0" applyNumberFormat="1" applyFont="1" applyFill="1" applyBorder="1" applyAlignment="1">
      <alignment horizontal="center" vertical="center"/>
    </xf>
    <xf numFmtId="0" fontId="43" fillId="0" borderId="65" xfId="0" applyNumberFormat="1" applyFont="1" applyFill="1" applyBorder="1" applyAlignment="1">
      <alignment horizontal="center" vertical="center"/>
    </xf>
    <xf numFmtId="180" fontId="43" fillId="0" borderId="66" xfId="0" applyNumberFormat="1" applyFont="1" applyFill="1" applyBorder="1" applyAlignment="1">
      <alignment horizontal="center" vertical="center"/>
    </xf>
    <xf numFmtId="180" fontId="43" fillId="0" borderId="67" xfId="0" applyNumberFormat="1" applyFont="1" applyBorder="1" applyAlignment="1">
      <alignment horizontal="center" vertical="center"/>
    </xf>
    <xf numFmtId="180" fontId="43" fillId="0" borderId="66" xfId="0" applyNumberFormat="1" applyFont="1" applyBorder="1" applyAlignment="1">
      <alignment horizontal="center" vertical="center"/>
    </xf>
    <xf numFmtId="180" fontId="43" fillId="0" borderId="68" xfId="0" applyNumberFormat="1" applyFont="1" applyBorder="1" applyAlignment="1">
      <alignment horizontal="center" vertical="center"/>
    </xf>
    <xf numFmtId="181" fontId="43" fillId="0" borderId="69" xfId="0" applyNumberFormat="1" applyFont="1" applyBorder="1" applyAlignment="1">
      <alignment horizontal="center" vertical="center"/>
    </xf>
    <xf numFmtId="0" fontId="43" fillId="0" borderId="52" xfId="0" applyFont="1" applyBorder="1" applyAlignment="1">
      <alignment horizontal="center" vertical="center"/>
    </xf>
    <xf numFmtId="0" fontId="43" fillId="0" borderId="54" xfId="0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70" xfId="0" applyNumberFormat="1" applyFont="1" applyFill="1" applyBorder="1" applyAlignment="1">
      <alignment horizontal="center" vertical="center"/>
    </xf>
    <xf numFmtId="180" fontId="43" fillId="0" borderId="71" xfId="0" applyNumberFormat="1" applyFont="1" applyFill="1" applyBorder="1" applyAlignment="1">
      <alignment horizontal="center" vertical="center"/>
    </xf>
    <xf numFmtId="180" fontId="43" fillId="0" borderId="72" xfId="0" applyNumberFormat="1" applyFont="1" applyFill="1" applyBorder="1" applyAlignment="1">
      <alignment horizontal="center" vertical="center"/>
    </xf>
    <xf numFmtId="180" fontId="43" fillId="0" borderId="71" xfId="0" applyNumberFormat="1" applyFont="1" applyBorder="1" applyAlignment="1">
      <alignment horizontal="center" vertical="center"/>
    </xf>
    <xf numFmtId="180" fontId="43" fillId="0" borderId="72" xfId="0" applyNumberFormat="1" applyFont="1" applyBorder="1" applyAlignment="1">
      <alignment horizontal="center" vertical="center"/>
    </xf>
    <xf numFmtId="180" fontId="43" fillId="0" borderId="73" xfId="0" applyNumberFormat="1" applyFont="1" applyBorder="1" applyAlignment="1">
      <alignment horizontal="center" vertical="center"/>
    </xf>
    <xf numFmtId="181" fontId="43" fillId="0" borderId="74" xfId="0" applyNumberFormat="1" applyFont="1" applyBorder="1" applyAlignment="1">
      <alignment horizontal="center" vertical="center"/>
    </xf>
    <xf numFmtId="0" fontId="43" fillId="0" borderId="71" xfId="0" applyFont="1" applyBorder="1" applyAlignment="1">
      <alignment horizontal="center" vertical="center"/>
    </xf>
    <xf numFmtId="0" fontId="43" fillId="0" borderId="73" xfId="0" applyFont="1" applyBorder="1" applyAlignment="1">
      <alignment horizontal="center" vertical="center"/>
    </xf>
    <xf numFmtId="0" fontId="43" fillId="0" borderId="75" xfId="0" applyFont="1" applyBorder="1" applyAlignment="1">
      <alignment horizontal="center" vertical="center"/>
    </xf>
    <xf numFmtId="0" fontId="43" fillId="0" borderId="76" xfId="0" applyNumberFormat="1" applyFont="1" applyFill="1" applyBorder="1" applyAlignment="1">
      <alignment horizontal="center" vertical="center"/>
    </xf>
    <xf numFmtId="180" fontId="43" fillId="0" borderId="77" xfId="0" applyNumberFormat="1" applyFont="1" applyFill="1" applyBorder="1" applyAlignment="1">
      <alignment horizontal="center" vertical="center"/>
    </xf>
    <xf numFmtId="180" fontId="43" fillId="0" borderId="78" xfId="0" applyNumberFormat="1" applyFont="1" applyFill="1" applyBorder="1" applyAlignment="1">
      <alignment horizontal="center" vertical="center"/>
    </xf>
    <xf numFmtId="180" fontId="43" fillId="0" borderId="77" xfId="0" applyNumberFormat="1" applyFont="1" applyBorder="1" applyAlignment="1">
      <alignment horizontal="center" vertical="center"/>
    </xf>
    <xf numFmtId="180" fontId="43" fillId="0" borderId="78" xfId="0" applyNumberFormat="1" applyFont="1" applyBorder="1" applyAlignment="1">
      <alignment horizontal="center" vertical="center"/>
    </xf>
    <xf numFmtId="180" fontId="43" fillId="0" borderId="79" xfId="0" applyNumberFormat="1" applyFont="1" applyBorder="1" applyAlignment="1">
      <alignment horizontal="center" vertical="center"/>
    </xf>
    <xf numFmtId="181" fontId="43" fillId="0" borderId="80" xfId="0" applyNumberFormat="1" applyFont="1" applyBorder="1" applyAlignment="1">
      <alignment horizontal="center" vertical="center"/>
    </xf>
    <xf numFmtId="0" fontId="43" fillId="0" borderId="58" xfId="0" applyNumberFormat="1" applyFont="1" applyFill="1" applyBorder="1" applyAlignment="1">
      <alignment horizontal="center" vertical="center"/>
    </xf>
    <xf numFmtId="180" fontId="43" fillId="0" borderId="59" xfId="0" applyNumberFormat="1" applyFont="1" applyFill="1" applyBorder="1" applyAlignment="1">
      <alignment horizontal="center" vertical="center"/>
    </xf>
    <xf numFmtId="180" fontId="43" fillId="0" borderId="60" xfId="0" applyNumberFormat="1" applyFont="1" applyFill="1" applyBorder="1" applyAlignment="1">
      <alignment horizontal="center" vertical="center"/>
    </xf>
    <xf numFmtId="180" fontId="43" fillId="0" borderId="59" xfId="0" applyNumberFormat="1" applyFont="1" applyBorder="1" applyAlignment="1">
      <alignment horizontal="center" vertical="center"/>
    </xf>
    <xf numFmtId="180" fontId="43" fillId="0" borderId="60" xfId="0" applyNumberFormat="1" applyFont="1" applyBorder="1" applyAlignment="1">
      <alignment horizontal="center" vertical="center"/>
    </xf>
    <xf numFmtId="180" fontId="43" fillId="0" borderId="61" xfId="0" applyNumberFormat="1" applyFont="1" applyBorder="1" applyAlignment="1">
      <alignment horizontal="center" vertical="center"/>
    </xf>
    <xf numFmtId="181" fontId="43" fillId="0" borderId="62" xfId="0" applyNumberFormat="1" applyFont="1" applyBorder="1" applyAlignment="1">
      <alignment horizontal="center" vertical="center"/>
    </xf>
    <xf numFmtId="0" fontId="43" fillId="0" borderId="59" xfId="0" applyFont="1" applyBorder="1" applyAlignment="1">
      <alignment horizontal="center" vertical="center"/>
    </xf>
    <xf numFmtId="0" fontId="43" fillId="0" borderId="61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80" fontId="43" fillId="8" borderId="81" xfId="0" applyNumberFormat="1" applyFont="1" applyFill="1" applyBorder="1" applyAlignment="1">
      <alignment horizontal="centerContinuous" vertical="center"/>
    </xf>
    <xf numFmtId="180" fontId="43" fillId="8" borderId="82" xfId="0" applyNumberFormat="1" applyFont="1" applyFill="1" applyBorder="1" applyAlignment="1">
      <alignment horizontal="centerContinuous" vertical="center"/>
    </xf>
    <xf numFmtId="180" fontId="43" fillId="8" borderId="83" xfId="0" applyNumberFormat="1" applyFont="1" applyFill="1" applyBorder="1" applyAlignment="1">
      <alignment horizontal="center" vertical="center"/>
    </xf>
    <xf numFmtId="180" fontId="43" fillId="8" borderId="84" xfId="0" applyNumberFormat="1" applyFont="1" applyFill="1" applyBorder="1" applyAlignment="1">
      <alignment horizontal="center" vertical="center"/>
    </xf>
    <xf numFmtId="0" fontId="43" fillId="0" borderId="70" xfId="0" applyFont="1" applyBorder="1" applyAlignment="1">
      <alignment horizontal="center" vertical="center"/>
    </xf>
    <xf numFmtId="0" fontId="43" fillId="0" borderId="85" xfId="0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/>
    </xf>
    <xf numFmtId="181" fontId="43" fillId="0" borderId="86" xfId="0" applyNumberFormat="1" applyFont="1" applyBorder="1" applyAlignment="1">
      <alignment horizontal="center" vertical="center"/>
    </xf>
    <xf numFmtId="0" fontId="43" fillId="0" borderId="58" xfId="0" applyFont="1" applyBorder="1" applyAlignment="1">
      <alignment horizontal="center" vertical="center"/>
    </xf>
    <xf numFmtId="0" fontId="43" fillId="0" borderId="83" xfId="0" applyFont="1" applyBorder="1" applyAlignment="1">
      <alignment horizontal="center" vertical="center"/>
    </xf>
    <xf numFmtId="0" fontId="43" fillId="0" borderId="60" xfId="0" applyFont="1" applyBorder="1" applyAlignment="1">
      <alignment horizontal="center" vertical="center"/>
    </xf>
    <xf numFmtId="181" fontId="43" fillId="0" borderId="84" xfId="0" applyNumberFormat="1" applyFont="1" applyBorder="1" applyAlignment="1">
      <alignment horizontal="center" vertical="center"/>
    </xf>
    <xf numFmtId="180" fontId="43" fillId="2" borderId="67" xfId="0" applyNumberFormat="1" applyFont="1" applyFill="1" applyBorder="1" applyAlignment="1">
      <alignment horizontal="center" vertical="center"/>
    </xf>
    <xf numFmtId="180" fontId="43" fillId="2" borderId="71" xfId="0" applyNumberFormat="1" applyFont="1" applyFill="1" applyBorder="1" applyAlignment="1">
      <alignment horizontal="center" vertical="center"/>
    </xf>
    <xf numFmtId="180" fontId="43" fillId="2" borderId="77" xfId="0" applyNumberFormat="1" applyFont="1" applyFill="1" applyBorder="1" applyAlignment="1">
      <alignment horizontal="center" vertical="center"/>
    </xf>
    <xf numFmtId="0" fontId="7" fillId="9" borderId="0" xfId="0" applyFont="1" applyFill="1" applyAlignment="1"/>
    <xf numFmtId="0" fontId="7" fillId="9" borderId="0" xfId="0" applyFont="1" applyFill="1" applyBorder="1" applyAlignment="1">
      <alignment horizontal="center"/>
    </xf>
    <xf numFmtId="0" fontId="26" fillId="9" borderId="0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87" xfId="0" applyFont="1" applyBorder="1" applyAlignment="1">
      <alignment vertical="center"/>
    </xf>
    <xf numFmtId="0" fontId="3" fillId="0" borderId="88" xfId="0" applyFont="1" applyBorder="1" applyAlignment="1">
      <alignment vertical="center"/>
    </xf>
    <xf numFmtId="0" fontId="3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1" xfId="0" applyFont="1" applyBorder="1" applyAlignment="1">
      <alignment vertical="center"/>
    </xf>
    <xf numFmtId="0" fontId="8" fillId="0" borderId="92" xfId="0" applyFont="1" applyBorder="1" applyAlignment="1">
      <alignment vertical="center"/>
    </xf>
    <xf numFmtId="0" fontId="8" fillId="0" borderId="86" xfId="0" applyFont="1" applyBorder="1" applyAlignment="1">
      <alignment vertical="center"/>
    </xf>
    <xf numFmtId="0" fontId="8" fillId="0" borderId="93" xfId="0" applyFont="1" applyBorder="1" applyAlignment="1">
      <alignment vertical="center"/>
    </xf>
    <xf numFmtId="0" fontId="8" fillId="0" borderId="93" xfId="0" applyFont="1" applyBorder="1" applyAlignment="1">
      <alignment vertical="center" wrapText="1"/>
    </xf>
    <xf numFmtId="0" fontId="8" fillId="0" borderId="93" xfId="0" applyFont="1" applyFill="1" applyBorder="1" applyAlignment="1">
      <alignment vertical="center"/>
    </xf>
    <xf numFmtId="0" fontId="8" fillId="0" borderId="93" xfId="0" applyFont="1" applyFill="1" applyBorder="1" applyAlignment="1">
      <alignment vertical="center" wrapText="1"/>
    </xf>
    <xf numFmtId="0" fontId="8" fillId="0" borderId="92" xfId="0" applyFont="1" applyFill="1" applyBorder="1" applyAlignment="1">
      <alignment vertical="center"/>
    </xf>
    <xf numFmtId="0" fontId="8" fillId="0" borderId="94" xfId="0" applyFont="1" applyBorder="1" applyAlignment="1">
      <alignment vertical="center"/>
    </xf>
    <xf numFmtId="0" fontId="8" fillId="0" borderId="95" xfId="0" applyFont="1" applyBorder="1" applyAlignment="1">
      <alignment vertical="center"/>
    </xf>
    <xf numFmtId="0" fontId="8" fillId="0" borderId="96" xfId="0" applyFont="1" applyBorder="1" applyAlignment="1">
      <alignment vertical="center"/>
    </xf>
    <xf numFmtId="0" fontId="7" fillId="2" borderId="0" xfId="0" applyFont="1" applyFill="1" applyBorder="1" applyAlignment="1"/>
    <xf numFmtId="178" fontId="7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/>
    </xf>
    <xf numFmtId="0" fontId="26" fillId="2" borderId="0" xfId="0" applyFont="1" applyFill="1" applyBorder="1" applyAlignment="1">
      <alignment horizontal="center"/>
    </xf>
    <xf numFmtId="0" fontId="7" fillId="2" borderId="0" xfId="0" applyFont="1" applyFill="1" applyBorder="1" applyAlignment="1"/>
    <xf numFmtId="0" fontId="7" fillId="2" borderId="0" xfId="0" applyFont="1" applyFill="1" applyBorder="1" applyAlignment="1">
      <alignment vertical="center" wrapText="1"/>
    </xf>
    <xf numFmtId="0" fontId="26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42" fillId="0" borderId="0" xfId="0" applyFont="1" applyFill="1" applyAlignment="1"/>
    <xf numFmtId="0" fontId="2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/>
    </xf>
    <xf numFmtId="0" fontId="2" fillId="2" borderId="97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/>
    <xf numFmtId="0" fontId="2" fillId="2" borderId="23" xfId="0" applyFont="1" applyFill="1" applyBorder="1" applyAlignment="1">
      <alignment wrapText="1"/>
    </xf>
    <xf numFmtId="0" fontId="46" fillId="2" borderId="23" xfId="0" applyFont="1" applyFill="1" applyBorder="1" applyAlignment="1">
      <alignment vertical="center"/>
    </xf>
    <xf numFmtId="0" fontId="46" fillId="2" borderId="23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 wrapText="1"/>
    </xf>
    <xf numFmtId="0" fontId="2" fillId="0" borderId="97" xfId="0" applyFont="1" applyFill="1" applyBorder="1" applyAlignment="1">
      <alignment vertical="center"/>
    </xf>
    <xf numFmtId="0" fontId="46" fillId="0" borderId="23" xfId="0" applyFont="1" applyFill="1" applyBorder="1" applyAlignment="1">
      <alignment vertical="center"/>
    </xf>
    <xf numFmtId="0" fontId="46" fillId="0" borderId="2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78" fontId="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178" fontId="7" fillId="2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48" fillId="0" borderId="0" xfId="0" applyNumberFormat="1" applyFont="1" applyFill="1" applyBorder="1" applyAlignment="1">
      <alignment horizontal="left" vertical="center"/>
    </xf>
    <xf numFmtId="178" fontId="48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 wrapText="1"/>
    </xf>
    <xf numFmtId="178" fontId="7" fillId="0" borderId="0" xfId="0" applyNumberFormat="1" applyFont="1" applyFill="1" applyBorder="1" applyAlignment="1">
      <alignment horizontal="left" vertical="center" wrapText="1"/>
    </xf>
    <xf numFmtId="0" fontId="48" fillId="0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49" fillId="0" borderId="0" xfId="0" applyFont="1" applyAlignment="1">
      <alignment vertical="center"/>
    </xf>
    <xf numFmtId="0" fontId="4" fillId="10" borderId="23" xfId="0" applyFont="1" applyFill="1" applyBorder="1" applyAlignment="1">
      <alignment vertical="center"/>
    </xf>
    <xf numFmtId="0" fontId="43" fillId="4" borderId="23" xfId="0" applyFont="1" applyFill="1" applyBorder="1" applyAlignment="1">
      <alignment horizontal="center"/>
    </xf>
    <xf numFmtId="0" fontId="4" fillId="11" borderId="23" xfId="0" applyFont="1" applyFill="1" applyBorder="1" applyAlignment="1">
      <alignment vertical="center"/>
    </xf>
    <xf numFmtId="0" fontId="43" fillId="0" borderId="23" xfId="0" applyFont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/>
    </xf>
    <xf numFmtId="0" fontId="43" fillId="10" borderId="23" xfId="0" applyFont="1" applyFill="1" applyBorder="1" applyAlignment="1">
      <alignment horizontal="center"/>
    </xf>
    <xf numFmtId="0" fontId="43" fillId="4" borderId="23" xfId="0" applyFont="1" applyFill="1" applyBorder="1" applyAlignment="1"/>
    <xf numFmtId="0" fontId="43" fillId="4" borderId="23" xfId="0" applyFont="1" applyFill="1" applyBorder="1" applyAlignment="1">
      <alignment horizontal="left"/>
    </xf>
    <xf numFmtId="0" fontId="43" fillId="0" borderId="23" xfId="0" applyFont="1" applyBorder="1" applyAlignment="1">
      <alignment vertical="center"/>
    </xf>
    <xf numFmtId="0" fontId="43" fillId="11" borderId="23" xfId="0" applyFont="1" applyFill="1" applyBorder="1" applyAlignment="1">
      <alignment horizontal="center"/>
    </xf>
    <xf numFmtId="41" fontId="43" fillId="4" borderId="23" xfId="0" applyNumberFormat="1" applyFont="1" applyFill="1" applyBorder="1" applyAlignment="1">
      <alignment horizontal="left"/>
    </xf>
    <xf numFmtId="0" fontId="43" fillId="5" borderId="23" xfId="0" applyFont="1" applyFill="1" applyBorder="1" applyAlignment="1"/>
    <xf numFmtId="0" fontId="43" fillId="5" borderId="23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vertical="center"/>
    </xf>
    <xf numFmtId="0" fontId="43" fillId="5" borderId="23" xfId="0" applyFont="1" applyFill="1" applyBorder="1" applyAlignment="1">
      <alignment horizontal="left"/>
    </xf>
    <xf numFmtId="0" fontId="43" fillId="4" borderId="23" xfId="0" applyFont="1" applyFill="1" applyBorder="1" applyAlignment="1">
      <alignment horizontal="center" vertical="center"/>
    </xf>
    <xf numFmtId="0" fontId="43" fillId="4" borderId="23" xfId="0" applyFont="1" applyFill="1" applyBorder="1" applyAlignment="1">
      <alignment horizontal="left" vertical="center"/>
    </xf>
    <xf numFmtId="0" fontId="50" fillId="4" borderId="23" xfId="0" applyFont="1" applyFill="1" applyBorder="1" applyAlignment="1">
      <alignment horizontal="left"/>
    </xf>
    <xf numFmtId="0" fontId="43" fillId="0" borderId="0" xfId="0" applyFont="1" applyBorder="1" applyAlignment="1">
      <alignment horizontal="left" vertical="center"/>
    </xf>
    <xf numFmtId="0" fontId="43" fillId="4" borderId="48" xfId="0" applyFont="1" applyFill="1" applyBorder="1" applyAlignment="1">
      <alignment horizontal="left"/>
    </xf>
    <xf numFmtId="0" fontId="43" fillId="4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wrapText="1"/>
    </xf>
    <xf numFmtId="0" fontId="7" fillId="0" borderId="0" xfId="0" applyNumberFormat="1" applyFont="1" applyBorder="1" applyAlignment="1">
      <alignment horizontal="left" vertical="center"/>
    </xf>
    <xf numFmtId="0" fontId="51" fillId="0" borderId="18" xfId="0" applyFont="1" applyFill="1" applyBorder="1" applyAlignment="1">
      <alignment horizontal="center" vertical="center" wrapText="1"/>
    </xf>
    <xf numFmtId="0" fontId="51" fillId="0" borderId="22" xfId="0" applyFont="1" applyFill="1" applyBorder="1" applyAlignment="1">
      <alignment horizontal="center" vertical="center" wrapText="1"/>
    </xf>
    <xf numFmtId="49" fontId="51" fillId="0" borderId="22" xfId="0" applyNumberFormat="1" applyFont="1" applyFill="1" applyBorder="1" applyAlignment="1">
      <alignment horizontal="center" vertical="center"/>
    </xf>
    <xf numFmtId="0" fontId="51" fillId="0" borderId="2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52" fillId="0" borderId="0" xfId="0" applyFont="1" applyAlignment="1"/>
    <xf numFmtId="0" fontId="24" fillId="0" borderId="0" xfId="0" applyFont="1" applyBorder="1" applyAlignment="1">
      <alignment horizontal="left" vertical="center"/>
    </xf>
    <xf numFmtId="0" fontId="53" fillId="0" borderId="0" xfId="0" applyFont="1" applyAlignment="1"/>
    <xf numFmtId="0" fontId="54" fillId="0" borderId="0" xfId="0" applyFont="1" applyBorder="1" applyAlignment="1">
      <alignment horizontal="left" vertical="center"/>
    </xf>
    <xf numFmtId="0" fontId="54" fillId="0" borderId="0" xfId="0" applyFont="1" applyBorder="1" applyAlignment="1"/>
    <xf numFmtId="177" fontId="21" fillId="3" borderId="98" xfId="0" applyNumberFormat="1" applyFont="1" applyFill="1" applyBorder="1" applyAlignment="1">
      <alignment horizontal="center" vertical="center"/>
    </xf>
    <xf numFmtId="178" fontId="21" fillId="3" borderId="98" xfId="0" applyNumberFormat="1" applyFont="1" applyFill="1" applyBorder="1" applyAlignment="1">
      <alignment horizontal="center" vertical="center"/>
    </xf>
    <xf numFmtId="0" fontId="21" fillId="3" borderId="99" xfId="0" applyFont="1" applyFill="1" applyBorder="1" applyAlignment="1">
      <alignment horizontal="center" vertical="center"/>
    </xf>
    <xf numFmtId="0" fontId="21" fillId="3" borderId="99" xfId="0" applyFont="1" applyFill="1" applyBorder="1" applyAlignment="1">
      <alignment horizontal="center" vertical="center" wrapText="1"/>
    </xf>
    <xf numFmtId="179" fontId="21" fillId="3" borderId="99" xfId="0" applyNumberFormat="1" applyFont="1" applyFill="1" applyBorder="1" applyAlignment="1">
      <alignment horizontal="center" vertical="center" wrapText="1"/>
    </xf>
    <xf numFmtId="0" fontId="21" fillId="3" borderId="100" xfId="0" applyFont="1" applyFill="1" applyBorder="1" applyAlignment="1">
      <alignment horizontal="center" vertical="center" wrapText="1"/>
    </xf>
    <xf numFmtId="0" fontId="21" fillId="3" borderId="10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/>
    <xf numFmtId="0" fontId="5" fillId="0" borderId="17" xfId="0" applyNumberFormat="1" applyFont="1" applyFill="1" applyBorder="1" applyAlignment="1">
      <alignment horizontal="center" vertical="center"/>
    </xf>
    <xf numFmtId="178" fontId="5" fillId="0" borderId="17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179" fontId="5" fillId="0" borderId="19" xfId="0" applyNumberFormat="1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5" fillId="0" borderId="21" xfId="0" applyNumberFormat="1" applyFont="1" applyFill="1" applyBorder="1" applyAlignment="1">
      <alignment horizontal="center" vertical="center"/>
    </xf>
    <xf numFmtId="178" fontId="5" fillId="0" borderId="21" xfId="0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179" fontId="5" fillId="0" borderId="23" xfId="0" applyNumberFormat="1" applyFont="1" applyFill="1" applyBorder="1" applyAlignment="1">
      <alignment horizontal="center" vertical="center" wrapText="1"/>
    </xf>
    <xf numFmtId="178" fontId="9" fillId="0" borderId="22" xfId="0" applyNumberFormat="1" applyFont="1" applyFill="1" applyBorder="1" applyAlignment="1">
      <alignment horizontal="center" vertical="center" wrapText="1"/>
    </xf>
    <xf numFmtId="178" fontId="51" fillId="0" borderId="22" xfId="0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55" fillId="12" borderId="0" xfId="0" applyFont="1" applyFill="1" applyAlignment="1">
      <alignment horizontal="center" vertical="center"/>
    </xf>
    <xf numFmtId="0" fontId="5" fillId="12" borderId="23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51" fillId="12" borderId="22" xfId="0" applyFont="1" applyFill="1" applyBorder="1" applyAlignment="1">
      <alignment horizontal="center" vertical="center" wrapText="1"/>
    </xf>
    <xf numFmtId="0" fontId="9" fillId="0" borderId="22" xfId="0" applyNumberFormat="1" applyFont="1" applyFill="1" applyBorder="1" applyAlignment="1">
      <alignment horizontal="center" vertical="center"/>
    </xf>
    <xf numFmtId="0" fontId="51" fillId="0" borderId="22" xfId="0" applyNumberFormat="1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179" fontId="5" fillId="12" borderId="23" xfId="0" applyNumberFormat="1" applyFont="1" applyFill="1" applyBorder="1" applyAlignment="1">
      <alignment horizontal="center" vertical="center" wrapText="1"/>
    </xf>
    <xf numFmtId="178" fontId="5" fillId="12" borderId="22" xfId="0" applyNumberFormat="1" applyFont="1" applyFill="1" applyBorder="1" applyAlignment="1">
      <alignment horizontal="center" vertical="center" wrapText="1"/>
    </xf>
    <xf numFmtId="178" fontId="43" fillId="12" borderId="22" xfId="0" applyNumberFormat="1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79" fontId="5" fillId="0" borderId="23" xfId="0" applyNumberFormat="1" applyFont="1" applyFill="1" applyBorder="1" applyAlignment="1">
      <alignment horizontal="center" vertical="center"/>
    </xf>
    <xf numFmtId="49" fontId="9" fillId="0" borderId="22" xfId="0" applyNumberFormat="1" applyFont="1" applyFill="1" applyBorder="1" applyAlignment="1">
      <alignment horizontal="center" vertical="center"/>
    </xf>
    <xf numFmtId="0" fontId="54" fillId="0" borderId="102" xfId="0" applyNumberFormat="1" applyFont="1" applyFill="1" applyBorder="1" applyAlignment="1">
      <alignment horizontal="center" vertical="center"/>
    </xf>
    <xf numFmtId="178" fontId="54" fillId="0" borderId="102" xfId="0" applyNumberFormat="1" applyFont="1" applyFill="1" applyBorder="1" applyAlignment="1">
      <alignment horizontal="center" vertical="center"/>
    </xf>
    <xf numFmtId="0" fontId="54" fillId="0" borderId="102" xfId="0" applyFont="1" applyFill="1" applyBorder="1" applyAlignment="1">
      <alignment horizontal="center" vertical="center"/>
    </xf>
    <xf numFmtId="179" fontId="54" fillId="0" borderId="102" xfId="0" applyNumberFormat="1" applyFont="1" applyFill="1" applyBorder="1" applyAlignment="1">
      <alignment horizontal="center" vertical="center" wrapText="1"/>
    </xf>
    <xf numFmtId="178" fontId="54" fillId="0" borderId="102" xfId="0" applyNumberFormat="1" applyFont="1" applyFill="1" applyBorder="1" applyAlignment="1">
      <alignment horizontal="center" vertical="center" wrapText="1"/>
    </xf>
    <xf numFmtId="178" fontId="54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Alignment="1"/>
    <xf numFmtId="0" fontId="54" fillId="0" borderId="0" xfId="0" applyNumberFormat="1" applyFont="1" applyFill="1" applyBorder="1" applyAlignment="1">
      <alignment horizontal="center" vertical="center"/>
    </xf>
    <xf numFmtId="178" fontId="54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 vertical="center" wrapText="1"/>
    </xf>
    <xf numFmtId="0" fontId="56" fillId="0" borderId="0" xfId="0" applyFont="1" applyFill="1" applyAlignment="1"/>
    <xf numFmtId="179" fontId="54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54" fillId="0" borderId="0" xfId="0" applyFont="1" applyFill="1" applyAlignment="1">
      <alignment vertical="center" wrapText="1"/>
    </xf>
    <xf numFmtId="0" fontId="54" fillId="0" borderId="0" xfId="0" applyFont="1" applyFill="1" applyAlignment="1">
      <alignment horizontal="left" vertical="center" wrapText="1"/>
    </xf>
    <xf numFmtId="0" fontId="54" fillId="0" borderId="0" xfId="0" applyFont="1" applyAlignment="1"/>
    <xf numFmtId="0" fontId="54" fillId="0" borderId="0" xfId="0" applyFont="1" applyAlignment="1">
      <alignment vertical="center" wrapText="1"/>
    </xf>
    <xf numFmtId="0" fontId="54" fillId="0" borderId="0" xfId="0" applyFont="1" applyAlignment="1">
      <alignment horizontal="left" vertical="center" wrapText="1"/>
    </xf>
    <xf numFmtId="0" fontId="52" fillId="0" borderId="0" xfId="0" applyFont="1" applyBorder="1" applyAlignment="1">
      <alignment vertical="center"/>
    </xf>
    <xf numFmtId="0" fontId="52" fillId="0" borderId="0" xfId="0" applyNumberFormat="1" applyFont="1" applyBorder="1" applyAlignment="1">
      <alignment horizontal="left" vertical="center"/>
    </xf>
    <xf numFmtId="0" fontId="52" fillId="0" borderId="0" xfId="0" applyFont="1" applyBorder="1" applyAlignment="1"/>
    <xf numFmtId="0" fontId="52" fillId="0" borderId="0" xfId="0" applyFont="1" applyBorder="1" applyAlignment="1">
      <alignment horizontal="left"/>
    </xf>
    <xf numFmtId="0" fontId="7" fillId="2" borderId="0" xfId="0" applyFont="1" applyFill="1" applyAlignment="1"/>
    <xf numFmtId="0" fontId="7" fillId="0" borderId="0" xfId="0" applyFont="1" applyFill="1" applyAlignment="1">
      <alignment vertical="center"/>
    </xf>
    <xf numFmtId="0" fontId="57" fillId="5" borderId="23" xfId="0" applyFont="1" applyFill="1" applyBorder="1" applyAlignment="1"/>
    <xf numFmtId="0" fontId="57" fillId="0" borderId="23" xfId="0" applyFont="1" applyBorder="1" applyAlignment="1"/>
    <xf numFmtId="0" fontId="57" fillId="0" borderId="97" xfId="0" applyFont="1" applyBorder="1" applyAlignment="1"/>
    <xf numFmtId="0" fontId="57" fillId="0" borderId="23" xfId="0" applyFont="1" applyFill="1" applyBorder="1" applyAlignment="1"/>
    <xf numFmtId="0" fontId="57" fillId="2" borderId="23" xfId="0" applyFont="1" applyFill="1" applyBorder="1" applyAlignment="1"/>
    <xf numFmtId="0" fontId="57" fillId="2" borderId="97" xfId="0" applyFont="1" applyFill="1" applyBorder="1" applyAlignment="1"/>
    <xf numFmtId="0" fontId="57" fillId="2" borderId="5" xfId="0" applyFont="1" applyFill="1" applyBorder="1" applyAlignment="1"/>
    <xf numFmtId="0" fontId="7" fillId="0" borderId="0" xfId="0" applyFont="1" applyFill="1" applyBorder="1" applyAlignment="1">
      <alignment horizontal="center"/>
    </xf>
    <xf numFmtId="0" fontId="52" fillId="0" borderId="0" xfId="0" applyFont="1" applyFill="1" applyBorder="1" applyAlignment="1"/>
    <xf numFmtId="0" fontId="7" fillId="3" borderId="0" xfId="0" applyFont="1" applyFill="1" applyBorder="1" applyAlignment="1"/>
    <xf numFmtId="0" fontId="7" fillId="3" borderId="0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9" fillId="0" borderId="0" xfId="0" applyFont="1" applyAlignment="1"/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2" borderId="23" xfId="0" applyFont="1" applyFill="1" applyBorder="1" applyAlignment="1">
      <alignment horizontal="center" vertical="center"/>
    </xf>
    <xf numFmtId="0" fontId="58" fillId="2" borderId="23" xfId="0" applyFont="1" applyFill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8" fillId="2" borderId="2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58" fillId="0" borderId="23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0" fillId="2" borderId="23" xfId="0" applyFont="1" applyFill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left" vertical="center"/>
    </xf>
    <xf numFmtId="0" fontId="61" fillId="0" borderId="0" xfId="0" applyFont="1" applyAlignment="1">
      <alignment horizontal="center" vertical="center"/>
    </xf>
    <xf numFmtId="0" fontId="7" fillId="2" borderId="23" xfId="0" applyFont="1" applyFill="1" applyBorder="1" applyAlignment="1">
      <alignment horizontal="left" vertical="center"/>
    </xf>
    <xf numFmtId="0" fontId="58" fillId="2" borderId="0" xfId="0" applyFont="1" applyFill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60" fillId="2" borderId="0" xfId="0" applyFont="1" applyFill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left" wrapText="1"/>
    </xf>
    <xf numFmtId="0" fontId="52" fillId="0" borderId="0" xfId="0" applyFont="1" applyFill="1" applyBorder="1" applyAlignment="1">
      <alignment horizontal="center"/>
    </xf>
    <xf numFmtId="0" fontId="7" fillId="13" borderId="0" xfId="0" applyFont="1" applyFill="1" applyAlignment="1">
      <alignment vertical="center"/>
    </xf>
    <xf numFmtId="0" fontId="7" fillId="13" borderId="0" xfId="0" applyFont="1" applyFill="1" applyBorder="1" applyAlignment="1">
      <alignment vertical="center"/>
    </xf>
    <xf numFmtId="0" fontId="7" fillId="13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60" fillId="2" borderId="0" xfId="0" applyFont="1" applyFill="1" applyBorder="1" applyAlignment="1">
      <alignment horizontal="left" vertical="center"/>
    </xf>
    <xf numFmtId="0" fontId="52" fillId="2" borderId="0" xfId="0" applyFont="1" applyFill="1" applyBorder="1" applyAlignment="1">
      <alignment horizontal="center"/>
    </xf>
    <xf numFmtId="0" fontId="7" fillId="14" borderId="0" xfId="0" applyFont="1" applyFill="1" applyBorder="1" applyAlignment="1">
      <alignment vertical="center" wrapText="1"/>
    </xf>
    <xf numFmtId="0" fontId="7" fillId="14" borderId="0" xfId="0" applyFont="1" applyFill="1" applyAlignment="1"/>
    <xf numFmtId="178" fontId="7" fillId="14" borderId="0" xfId="0" applyNumberFormat="1" applyFont="1" applyFill="1" applyBorder="1" applyAlignment="1">
      <alignment vertical="center"/>
    </xf>
    <xf numFmtId="0" fontId="8" fillId="14" borderId="0" xfId="0" applyFont="1" applyFill="1" applyAlignment="1"/>
    <xf numFmtId="0" fontId="7" fillId="15" borderId="0" xfId="0" applyFont="1" applyFill="1" applyAlignment="1"/>
    <xf numFmtId="0" fontId="7" fillId="15" borderId="0" xfId="0" applyFont="1" applyFill="1" applyBorder="1" applyAlignment="1"/>
    <xf numFmtId="0" fontId="7" fillId="14" borderId="0" xfId="0" applyFont="1" applyFill="1" applyAlignment="1">
      <alignment vertical="center"/>
    </xf>
    <xf numFmtId="0" fontId="7" fillId="14" borderId="0" xfId="0" applyNumberFormat="1" applyFont="1" applyFill="1" applyBorder="1" applyAlignment="1">
      <alignment horizontal="left" vertical="center"/>
    </xf>
    <xf numFmtId="0" fontId="7" fillId="14" borderId="0" xfId="0" applyFont="1" applyFill="1" applyBorder="1" applyAlignment="1">
      <alignment vertical="center"/>
    </xf>
    <xf numFmtId="0" fontId="7" fillId="14" borderId="0" xfId="0" applyFont="1" applyFill="1" applyAlignment="1"/>
    <xf numFmtId="178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7" fillId="13" borderId="0" xfId="0" applyFont="1" applyFill="1" applyBorder="1" applyAlignment="1">
      <alignment horizontal="right" vertical="center"/>
    </xf>
    <xf numFmtId="0" fontId="7" fillId="9" borderId="0" xfId="0" applyFont="1" applyFill="1" applyAlignment="1">
      <alignment horizontal="right" vertical="center"/>
    </xf>
    <xf numFmtId="0" fontId="7" fillId="14" borderId="0" xfId="0" applyFont="1" applyFill="1" applyAlignment="1">
      <alignment horizontal="right" vertical="center"/>
    </xf>
    <xf numFmtId="0" fontId="7" fillId="14" borderId="0" xfId="0" applyFont="1" applyFill="1" applyBorder="1" applyAlignment="1">
      <alignment horizontal="right" vertical="center"/>
    </xf>
    <xf numFmtId="0" fontId="7" fillId="9" borderId="0" xfId="0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14" borderId="0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58" fillId="2" borderId="0" xfId="0" applyFont="1" applyFill="1" applyBorder="1" applyAlignment="1">
      <alignment horizontal="right" vertical="center"/>
    </xf>
    <xf numFmtId="0" fontId="58" fillId="2" borderId="0" xfId="0" applyFont="1" applyFill="1" applyBorder="1" applyAlignment="1">
      <alignment horizontal="right" vertical="center" wrapText="1"/>
    </xf>
    <xf numFmtId="0" fontId="60" fillId="2" borderId="0" xfId="0" applyFont="1" applyFill="1" applyBorder="1" applyAlignment="1">
      <alignment horizontal="right" vertical="center"/>
    </xf>
    <xf numFmtId="0" fontId="7" fillId="13" borderId="0" xfId="0" applyFont="1" applyFill="1" applyAlignment="1">
      <alignment horizontal="right" vertical="center"/>
    </xf>
    <xf numFmtId="0" fontId="7" fillId="13" borderId="0" xfId="0" applyFont="1" applyFill="1" applyBorder="1" applyAlignment="1">
      <alignment horizontal="right" vertical="center" wrapText="1"/>
    </xf>
    <xf numFmtId="0" fontId="7" fillId="14" borderId="0" xfId="0" applyFont="1" applyFill="1" applyBorder="1" applyAlignment="1">
      <alignment horizontal="right" vertical="center" wrapText="1"/>
    </xf>
    <xf numFmtId="0" fontId="7" fillId="15" borderId="0" xfId="0" applyFont="1" applyFill="1" applyBorder="1" applyAlignment="1">
      <alignment horizontal="right" vertical="center"/>
    </xf>
    <xf numFmtId="0" fontId="7" fillId="14" borderId="0" xfId="0" applyFont="1" applyFill="1" applyBorder="1" applyAlignment="1"/>
    <xf numFmtId="0" fontId="52" fillId="0" borderId="0" xfId="0" applyFont="1" applyFill="1" applyBorder="1" applyAlignment="1">
      <alignment vertical="center" wrapText="1"/>
    </xf>
    <xf numFmtId="178" fontId="7" fillId="0" borderId="0" xfId="0" applyNumberFormat="1" applyFont="1" applyFill="1" applyBorder="1" applyAlignment="1">
      <alignment vertical="center"/>
    </xf>
    <xf numFmtId="0" fontId="7" fillId="0" borderId="0" xfId="0" applyFont="1" applyFill="1" applyAlignment="1"/>
    <xf numFmtId="0" fontId="9" fillId="0" borderId="0" xfId="0" applyFont="1" applyFill="1" applyAlignment="1"/>
    <xf numFmtId="0" fontId="7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7" fillId="0" borderId="0" xfId="0" applyNumberFormat="1" applyFont="1" applyFill="1" applyBorder="1" applyAlignment="1">
      <alignment vertical="center"/>
    </xf>
    <xf numFmtId="0" fontId="4" fillId="0" borderId="0" xfId="0" applyFont="1" applyFill="1" applyAlignment="1"/>
    <xf numFmtId="0" fontId="7" fillId="15" borderId="0" xfId="0" applyFont="1" applyFill="1" applyBorder="1" applyAlignment="1">
      <alignment horizontal="center" vertical="center"/>
    </xf>
    <xf numFmtId="0" fontId="52" fillId="2" borderId="0" xfId="0" applyFont="1" applyFill="1" applyBorder="1" applyAlignment="1">
      <alignment horizontal="left" vertical="center"/>
    </xf>
    <xf numFmtId="0" fontId="7" fillId="16" borderId="0" xfId="0" applyFont="1" applyFill="1" applyBorder="1" applyAlignment="1">
      <alignment horizontal="center" vertical="center"/>
    </xf>
    <xf numFmtId="178" fontId="7" fillId="16" borderId="0" xfId="0" applyNumberFormat="1" applyFont="1" applyFill="1" applyBorder="1" applyAlignment="1">
      <alignment vertical="center"/>
    </xf>
    <xf numFmtId="0" fontId="7" fillId="16" borderId="0" xfId="0" applyFont="1" applyFill="1" applyBorder="1" applyAlignment="1">
      <alignment vertical="center" wrapText="1"/>
    </xf>
    <xf numFmtId="0" fontId="7" fillId="16" borderId="0" xfId="0" applyFont="1" applyFill="1" applyBorder="1" applyAlignment="1">
      <alignment horizontal="left" vertical="center"/>
    </xf>
    <xf numFmtId="0" fontId="7" fillId="16" borderId="0" xfId="0" applyFont="1" applyFill="1" applyBorder="1" applyAlignment="1">
      <alignment vertical="center"/>
    </xf>
    <xf numFmtId="0" fontId="7" fillId="16" borderId="0" xfId="0" applyFont="1" applyFill="1" applyAlignment="1"/>
    <xf numFmtId="0" fontId="7" fillId="0" borderId="0" xfId="0" applyFont="1" applyFill="1" applyBorder="1" applyAlignment="1"/>
    <xf numFmtId="178" fontId="7" fillId="0" borderId="0" xfId="0" applyNumberFormat="1" applyFont="1" applyFill="1" applyBorder="1" applyAlignment="1">
      <alignment horizontal="left" vertical="center"/>
    </xf>
    <xf numFmtId="0" fontId="7" fillId="16" borderId="0" xfId="0" applyFont="1" applyFill="1" applyBorder="1" applyAlignment="1"/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right"/>
    </xf>
    <xf numFmtId="0" fontId="64" fillId="4" borderId="103" xfId="0" applyFont="1" applyFill="1" applyBorder="1" applyAlignment="1">
      <alignment horizontal="center" wrapText="1"/>
    </xf>
    <xf numFmtId="0" fontId="65" fillId="4" borderId="104" xfId="0" applyFont="1" applyFill="1" applyBorder="1" applyAlignment="1">
      <alignment horizontal="center" wrapText="1"/>
    </xf>
    <xf numFmtId="0" fontId="64" fillId="4" borderId="105" xfId="0" applyFont="1" applyFill="1" applyBorder="1" applyAlignment="1">
      <alignment horizontal="center" wrapText="1"/>
    </xf>
    <xf numFmtId="0" fontId="66" fillId="4" borderId="104" xfId="0" applyFont="1" applyFill="1" applyBorder="1" applyAlignment="1">
      <alignment wrapText="1"/>
    </xf>
    <xf numFmtId="0" fontId="68" fillId="0" borderId="49" xfId="0" applyFont="1" applyBorder="1" applyAlignment="1">
      <alignment horizontal="left" wrapText="1"/>
    </xf>
    <xf numFmtId="0" fontId="69" fillId="0" borderId="49" xfId="0" applyFont="1" applyBorder="1" applyAlignment="1">
      <alignment horizontal="left" wrapText="1"/>
    </xf>
    <xf numFmtId="0" fontId="70" fillId="0" borderId="50" xfId="0" applyFont="1" applyBorder="1" applyAlignment="1">
      <alignment horizontal="left" wrapText="1"/>
    </xf>
    <xf numFmtId="0" fontId="68" fillId="0" borderId="50" xfId="0" applyFont="1" applyBorder="1" applyAlignment="1">
      <alignment wrapText="1"/>
    </xf>
    <xf numFmtId="0" fontId="71" fillId="0" borderId="49" xfId="0" applyFont="1" applyBorder="1" applyAlignment="1">
      <alignment horizontal="left" wrapText="1"/>
    </xf>
    <xf numFmtId="0" fontId="71" fillId="0" borderId="50" xfId="0" applyFont="1" applyBorder="1" applyAlignment="1">
      <alignment horizontal="left" wrapText="1"/>
    </xf>
    <xf numFmtId="0" fontId="68" fillId="0" borderId="50" xfId="0" applyFont="1" applyBorder="1" applyAlignment="1">
      <alignment horizontal="left" wrapText="1"/>
    </xf>
    <xf numFmtId="0" fontId="72" fillId="0" borderId="49" xfId="0" applyFont="1" applyBorder="1" applyAlignment="1">
      <alignment horizontal="left" wrapText="1"/>
    </xf>
    <xf numFmtId="0" fontId="73" fillId="0" borderId="49" xfId="0" applyFont="1" applyBorder="1" applyAlignment="1">
      <alignment horizontal="left" wrapText="1"/>
    </xf>
    <xf numFmtId="0" fontId="69" fillId="0" borderId="50" xfId="0" applyFont="1" applyBorder="1" applyAlignment="1">
      <alignment horizontal="left" wrapText="1"/>
    </xf>
    <xf numFmtId="0" fontId="74" fillId="0" borderId="0" xfId="0" applyFont="1" applyAlignment="1">
      <alignment horizontal="left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left"/>
    </xf>
    <xf numFmtId="0" fontId="18" fillId="5" borderId="103" xfId="0" applyFont="1" applyFill="1" applyBorder="1" applyAlignment="1">
      <alignment horizontal="center" wrapText="1"/>
    </xf>
    <xf numFmtId="0" fontId="18" fillId="5" borderId="50" xfId="0" applyFont="1" applyFill="1" applyBorder="1" applyAlignment="1">
      <alignment horizontal="center" wrapText="1"/>
    </xf>
    <xf numFmtId="0" fontId="76" fillId="5" borderId="50" xfId="0" applyFont="1" applyFill="1" applyBorder="1" applyAlignment="1">
      <alignment wrapText="1"/>
    </xf>
    <xf numFmtId="0" fontId="76" fillId="5" borderId="50" xfId="0" applyFont="1" applyFill="1" applyBorder="1" applyAlignment="1">
      <alignment horizontal="center" wrapText="1"/>
    </xf>
    <xf numFmtId="0" fontId="78" fillId="0" borderId="50" xfId="0" applyFont="1" applyBorder="1" applyAlignment="1">
      <alignment horizontal="center" wrapText="1"/>
    </xf>
    <xf numFmtId="0" fontId="78" fillId="0" borderId="50" xfId="0" applyFont="1" applyBorder="1" applyAlignment="1">
      <alignment horizontal="left" wrapText="1"/>
    </xf>
    <xf numFmtId="0" fontId="77" fillId="0" borderId="50" xfId="0" applyFont="1" applyBorder="1" applyAlignment="1">
      <alignment horizontal="center" wrapText="1"/>
    </xf>
    <xf numFmtId="0" fontId="77" fillId="0" borderId="50" xfId="0" applyFont="1" applyBorder="1" applyAlignment="1">
      <alignment horizontal="left" wrapText="1"/>
    </xf>
    <xf numFmtId="0" fontId="77" fillId="0" borderId="0" xfId="0" applyFont="1" applyAlignment="1">
      <alignment horizontal="center"/>
    </xf>
    <xf numFmtId="0" fontId="77" fillId="0" borderId="50" xfId="0" applyFont="1" applyBorder="1" applyAlignment="1">
      <alignment wrapText="1"/>
    </xf>
    <xf numFmtId="0" fontId="77" fillId="0" borderId="106" xfId="0" applyFont="1" applyBorder="1" applyAlignment="1">
      <alignment horizontal="center" wrapText="1"/>
    </xf>
    <xf numFmtId="0" fontId="77" fillId="0" borderId="49" xfId="0" applyFont="1" applyBorder="1" applyAlignment="1">
      <alignment horizontal="center" wrapText="1"/>
    </xf>
    <xf numFmtId="0" fontId="77" fillId="0" borderId="49" xfId="0" applyFont="1" applyBorder="1" applyAlignment="1">
      <alignment horizontal="left" wrapText="1"/>
    </xf>
    <xf numFmtId="0" fontId="4" fillId="0" borderId="106" xfId="0" applyFont="1" applyBorder="1" applyAlignment="1">
      <alignment wrapText="1"/>
    </xf>
    <xf numFmtId="0" fontId="4" fillId="0" borderId="107" xfId="0" applyFont="1" applyBorder="1" applyAlignment="1">
      <alignment wrapText="1"/>
    </xf>
    <xf numFmtId="0" fontId="80" fillId="0" borderId="0" xfId="0" applyFont="1" applyAlignment="1">
      <alignment horizontal="left"/>
    </xf>
    <xf numFmtId="0" fontId="18" fillId="5" borderId="50" xfId="0" applyFont="1" applyFill="1" applyBorder="1" applyAlignment="1">
      <alignment wrapText="1"/>
    </xf>
    <xf numFmtId="0" fontId="6" fillId="0" borderId="107" xfId="0" applyFont="1" applyBorder="1" applyAlignment="1">
      <alignment wrapText="1"/>
    </xf>
    <xf numFmtId="0" fontId="6" fillId="0" borderId="49" xfId="0" applyFont="1" applyBorder="1" applyAlignment="1">
      <alignment horizontal="left" wrapText="1"/>
    </xf>
    <xf numFmtId="0" fontId="6" fillId="0" borderId="50" xfId="0" applyFont="1" applyBorder="1" applyAlignment="1">
      <alignment horizontal="left" wrapText="1"/>
    </xf>
    <xf numFmtId="0" fontId="6" fillId="0" borderId="49" xfId="0" applyFont="1" applyBorder="1" applyAlignment="1">
      <alignment horizontal="center" wrapText="1"/>
    </xf>
    <xf numFmtId="0" fontId="6" fillId="0" borderId="50" xfId="0" applyFont="1" applyBorder="1" applyAlignment="1">
      <alignment horizontal="center" wrapText="1"/>
    </xf>
    <xf numFmtId="0" fontId="81" fillId="0" borderId="49" xfId="0" applyFont="1" applyBorder="1" applyAlignment="1">
      <alignment horizontal="left" wrapText="1"/>
    </xf>
    <xf numFmtId="0" fontId="81" fillId="0" borderId="50" xfId="0" applyFont="1" applyBorder="1" applyAlignment="1">
      <alignment horizontal="left" wrapText="1"/>
    </xf>
    <xf numFmtId="0" fontId="6" fillId="0" borderId="106" xfId="0" applyFont="1" applyBorder="1" applyAlignment="1">
      <alignment horizontal="center" wrapText="1"/>
    </xf>
    <xf numFmtId="0" fontId="6" fillId="0" borderId="107" xfId="0" applyFont="1" applyBorder="1" applyAlignment="1">
      <alignment horizontal="center" wrapText="1"/>
    </xf>
    <xf numFmtId="0" fontId="6" fillId="0" borderId="108" xfId="0" applyFont="1" applyBorder="1" applyAlignment="1">
      <alignment horizontal="center" wrapText="1"/>
    </xf>
    <xf numFmtId="0" fontId="6" fillId="0" borderId="103" xfId="0" applyFont="1" applyBorder="1" applyAlignment="1">
      <alignment horizontal="left" wrapText="1"/>
    </xf>
    <xf numFmtId="0" fontId="6" fillId="0" borderId="103" xfId="0" applyFont="1" applyBorder="1" applyAlignment="1">
      <alignment horizontal="center" wrapText="1"/>
    </xf>
    <xf numFmtId="0" fontId="6" fillId="17" borderId="106" xfId="0" applyFont="1" applyFill="1" applyBorder="1" applyAlignment="1">
      <alignment horizontal="center" wrapText="1"/>
    </xf>
    <xf numFmtId="0" fontId="6" fillId="17" borderId="49" xfId="0" applyFont="1" applyFill="1" applyBorder="1" applyAlignment="1">
      <alignment horizontal="left" wrapText="1"/>
    </xf>
    <xf numFmtId="0" fontId="6" fillId="17" borderId="50" xfId="0" applyFont="1" applyFill="1" applyBorder="1" applyAlignment="1">
      <alignment horizontal="left" wrapText="1"/>
    </xf>
    <xf numFmtId="0" fontId="6" fillId="17" borderId="50" xfId="0" applyFont="1" applyFill="1" applyBorder="1" applyAlignment="1">
      <alignment horizontal="center" wrapText="1"/>
    </xf>
    <xf numFmtId="0" fontId="82" fillId="17" borderId="106" xfId="0" applyFont="1" applyFill="1" applyBorder="1" applyAlignment="1">
      <alignment horizontal="center" wrapText="1"/>
    </xf>
    <xf numFmtId="0" fontId="6" fillId="17" borderId="107" xfId="0" applyFont="1" applyFill="1" applyBorder="1" applyAlignment="1">
      <alignment horizontal="center" wrapText="1"/>
    </xf>
    <xf numFmtId="0" fontId="85" fillId="0" borderId="0" xfId="0" applyFont="1" applyAlignment="1">
      <alignment horizontal="left"/>
    </xf>
    <xf numFmtId="0" fontId="82" fillId="0" borderId="106" xfId="0" applyFont="1" applyBorder="1" applyAlignment="1">
      <alignment horizontal="center" wrapText="1"/>
    </xf>
    <xf numFmtId="0" fontId="82" fillId="0" borderId="50" xfId="0" applyFont="1" applyBorder="1" applyAlignment="1">
      <alignment horizontal="left" wrapText="1"/>
    </xf>
    <xf numFmtId="0" fontId="81" fillId="0" borderId="50" xfId="0" applyFont="1" applyBorder="1" applyAlignment="1">
      <alignment horizontal="center" wrapText="1"/>
    </xf>
    <xf numFmtId="0" fontId="86" fillId="0" borderId="0" xfId="0" applyFont="1" applyAlignment="1">
      <alignment horizontal="left"/>
    </xf>
    <xf numFmtId="176" fontId="4" fillId="0" borderId="0" xfId="0" applyNumberFormat="1" applyFont="1" applyAlignment="1">
      <alignment horizontal="right"/>
    </xf>
    <xf numFmtId="0" fontId="4" fillId="4" borderId="0" xfId="0" applyFont="1" applyFill="1" applyAlignment="1"/>
    <xf numFmtId="0" fontId="8" fillId="2" borderId="0" xfId="0" applyFont="1" applyFill="1" applyAlignment="1"/>
    <xf numFmtId="0" fontId="8" fillId="0" borderId="0" xfId="0" applyFont="1" applyFill="1" applyAlignment="1"/>
    <xf numFmtId="0" fontId="8" fillId="18" borderId="0" xfId="0" applyFont="1" applyFill="1" applyAlignment="1"/>
    <xf numFmtId="0" fontId="8" fillId="19" borderId="0" xfId="0" applyFont="1" applyFill="1" applyAlignment="1"/>
    <xf numFmtId="182" fontId="4" fillId="0" borderId="0" xfId="0" applyNumberFormat="1" applyFont="1" applyAlignment="1"/>
    <xf numFmtId="9" fontId="4" fillId="0" borderId="0" xfId="0" applyNumberFormat="1" applyFont="1" applyAlignment="1"/>
    <xf numFmtId="183" fontId="4" fillId="0" borderId="0" xfId="0" applyNumberFormat="1" applyFont="1" applyAlignment="1"/>
    <xf numFmtId="0" fontId="8" fillId="0" borderId="0" xfId="0" applyFont="1" applyAlignment="1">
      <alignment horizontal="right"/>
    </xf>
    <xf numFmtId="182" fontId="8" fillId="0" borderId="0" xfId="0" applyNumberFormat="1" applyFont="1" applyAlignment="1"/>
    <xf numFmtId="182" fontId="8" fillId="0" borderId="0" xfId="0" applyNumberFormat="1" applyFont="1" applyAlignment="1">
      <alignment horizontal="right"/>
    </xf>
    <xf numFmtId="0" fontId="4" fillId="0" borderId="0" xfId="0" applyFont="1" applyFill="1" applyAlignment="1">
      <alignment horizontal="center"/>
    </xf>
    <xf numFmtId="182" fontId="4" fillId="2" borderId="0" xfId="0" applyNumberFormat="1" applyFont="1" applyFill="1" applyAlignment="1"/>
    <xf numFmtId="182" fontId="4" fillId="20" borderId="0" xfId="0" applyNumberFormat="1" applyFont="1" applyFill="1" applyAlignment="1"/>
    <xf numFmtId="0" fontId="8" fillId="21" borderId="0" xfId="0" applyFont="1" applyFill="1" applyAlignment="1"/>
    <xf numFmtId="0" fontId="8" fillId="22" borderId="0" xfId="0" applyFont="1" applyFill="1" applyAlignment="1"/>
    <xf numFmtId="0" fontId="4" fillId="22" borderId="0" xfId="0" applyFont="1" applyFill="1" applyAlignment="1"/>
    <xf numFmtId="184" fontId="4" fillId="22" borderId="0" xfId="0" applyNumberFormat="1" applyFont="1" applyFill="1" applyAlignment="1"/>
    <xf numFmtId="183" fontId="4" fillId="22" borderId="0" xfId="0" applyNumberFormat="1" applyFont="1" applyFill="1" applyAlignment="1"/>
    <xf numFmtId="0" fontId="36" fillId="2" borderId="0" xfId="0" applyFont="1" applyFill="1" applyAlignment="1"/>
    <xf numFmtId="0" fontId="87" fillId="2" borderId="0" xfId="0" applyFont="1" applyFill="1" applyAlignment="1"/>
    <xf numFmtId="185" fontId="4" fillId="0" borderId="0" xfId="0" applyNumberFormat="1" applyFont="1" applyAlignment="1"/>
    <xf numFmtId="0" fontId="42" fillId="0" borderId="0" xfId="0" applyFont="1" applyAlignment="1"/>
    <xf numFmtId="0" fontId="7" fillId="2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13" borderId="0" xfId="0" applyFont="1" applyFill="1" applyBorder="1" applyAlignment="1">
      <alignment horizontal="left" vertical="center"/>
    </xf>
    <xf numFmtId="0" fontId="7" fillId="14" borderId="0" xfId="0" applyFont="1" applyFill="1" applyBorder="1" applyAlignment="1">
      <alignment horizontal="left" vertical="center" wrapText="1"/>
    </xf>
    <xf numFmtId="0" fontId="7" fillId="14" borderId="0" xfId="0" applyFont="1" applyFill="1" applyAlignment="1">
      <alignment horizontal="left" vertical="center"/>
    </xf>
    <xf numFmtId="178" fontId="7" fillId="16" borderId="0" xfId="0" applyNumberFormat="1" applyFont="1" applyFill="1" applyBorder="1" applyAlignment="1">
      <alignment horizontal="left" vertical="center"/>
    </xf>
    <xf numFmtId="0" fontId="7" fillId="14" borderId="0" xfId="0" applyFont="1" applyFill="1" applyBorder="1" applyAlignment="1">
      <alignment horizontal="left" vertical="center"/>
    </xf>
    <xf numFmtId="0" fontId="7" fillId="13" borderId="0" xfId="0" applyFont="1" applyFill="1" applyBorder="1" applyAlignment="1">
      <alignment horizontal="left" vertical="center" wrapText="1"/>
    </xf>
    <xf numFmtId="178" fontId="7" fillId="14" borderId="0" xfId="0" applyNumberFormat="1" applyFont="1" applyFill="1" applyBorder="1" applyAlignment="1">
      <alignment horizontal="left" vertical="center"/>
    </xf>
    <xf numFmtId="0" fontId="58" fillId="2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23" borderId="0" xfId="0" applyFont="1" applyFill="1" applyAlignment="1"/>
    <xf numFmtId="0" fontId="34" fillId="0" borderId="0" xfId="0" applyFont="1" applyAlignment="1">
      <alignment horizontal="left" vertical="center"/>
    </xf>
    <xf numFmtId="0" fontId="34" fillId="0" borderId="0" xfId="0" applyFont="1" applyAlignment="1"/>
    <xf numFmtId="0" fontId="86" fillId="0" borderId="0" xfId="0" applyFont="1" applyAlignment="1"/>
    <xf numFmtId="0" fontId="7" fillId="21" borderId="0" xfId="0" applyFont="1" applyFill="1" applyAlignment="1"/>
    <xf numFmtId="0" fontId="4" fillId="21" borderId="0" xfId="0" applyFont="1" applyFill="1" applyAlignment="1"/>
    <xf numFmtId="0" fontId="7" fillId="24" borderId="0" xfId="0" applyFont="1" applyFill="1" applyAlignment="1"/>
    <xf numFmtId="0" fontId="4" fillId="24" borderId="0" xfId="0" applyFont="1" applyFill="1" applyAlignment="1"/>
    <xf numFmtId="0" fontId="8" fillId="24" borderId="0" xfId="0" applyFont="1" applyFill="1" applyAlignment="1"/>
    <xf numFmtId="0" fontId="34" fillId="20" borderId="0" xfId="0" applyFont="1" applyFill="1" applyAlignment="1"/>
    <xf numFmtId="0" fontId="7" fillId="20" borderId="0" xfId="0" applyFont="1" applyFill="1" applyAlignment="1"/>
    <xf numFmtId="0" fontId="42" fillId="20" borderId="0" xfId="0" applyFont="1" applyFill="1" applyAlignment="1"/>
    <xf numFmtId="0" fontId="7" fillId="19" borderId="0" xfId="0" applyFont="1" applyFill="1" applyAlignment="1"/>
    <xf numFmtId="0" fontId="42" fillId="19" borderId="0" xfId="0" applyFont="1" applyFill="1" applyAlignment="1"/>
    <xf numFmtId="0" fontId="60" fillId="20" borderId="0" xfId="0" applyFont="1" applyFill="1" applyAlignment="1"/>
    <xf numFmtId="0" fontId="88" fillId="19" borderId="0" xfId="0" applyFont="1" applyFill="1" applyAlignment="1"/>
    <xf numFmtId="0" fontId="9" fillId="19" borderId="0" xfId="0" applyFont="1" applyFill="1" applyAlignment="1"/>
    <xf numFmtId="0" fontId="90" fillId="0" borderId="0" xfId="0" applyFont="1" applyAlignment="1"/>
    <xf numFmtId="0" fontId="89" fillId="0" borderId="0" xfId="0" applyFont="1" applyAlignment="1"/>
    <xf numFmtId="0" fontId="19" fillId="0" borderId="0" xfId="0" applyFont="1" applyAlignment="1"/>
    <xf numFmtId="0" fontId="4" fillId="19" borderId="0" xfId="0" applyFont="1" applyFill="1" applyAlignment="1"/>
    <xf numFmtId="0" fontId="4" fillId="0" borderId="0" xfId="0" applyFont="1" applyAlignment="1">
      <alignment horizontal="left"/>
    </xf>
    <xf numFmtId="0" fontId="91" fillId="0" borderId="0" xfId="0" applyFont="1" applyAlignment="1">
      <alignment horizontal="left"/>
    </xf>
    <xf numFmtId="0" fontId="92" fillId="0" borderId="0" xfId="0" applyFont="1" applyAlignment="1">
      <alignment horizontal="left"/>
    </xf>
    <xf numFmtId="0" fontId="93" fillId="0" borderId="0" xfId="0" applyFont="1" applyAlignment="1">
      <alignment horizontal="left"/>
    </xf>
    <xf numFmtId="0" fontId="87" fillId="0" borderId="0" xfId="0" applyFont="1" applyAlignment="1">
      <alignment horizontal="left"/>
    </xf>
    <xf numFmtId="0" fontId="8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7" fillId="15" borderId="0" xfId="0" applyFont="1" applyFill="1" applyBorder="1" applyAlignment="1">
      <alignment horizontal="left" vertical="center"/>
    </xf>
    <xf numFmtId="0" fontId="15" fillId="0" borderId="0" xfId="0" applyFont="1" applyAlignment="1"/>
    <xf numFmtId="0" fontId="9" fillId="0" borderId="0" xfId="0" applyFont="1" applyAlignment="1">
      <alignment horizontal="left"/>
    </xf>
    <xf numFmtId="182" fontId="57" fillId="25" borderId="0" xfId="0" applyNumberFormat="1" applyFont="1" applyFill="1" applyAlignment="1"/>
    <xf numFmtId="182" fontId="4" fillId="22" borderId="0" xfId="0" applyNumberFormat="1" applyFont="1" applyFill="1" applyAlignment="1"/>
    <xf numFmtId="0" fontId="4" fillId="22" borderId="0" xfId="0" applyFont="1" applyFill="1" applyAlignment="1">
      <alignment vertical="center"/>
    </xf>
    <xf numFmtId="182" fontId="95" fillId="22" borderId="0" xfId="0" applyNumberFormat="1" applyFont="1" applyFill="1" applyAlignment="1"/>
    <xf numFmtId="0" fontId="8" fillId="26" borderId="0" xfId="0" applyFont="1" applyFill="1" applyAlignment="1"/>
    <xf numFmtId="182" fontId="4" fillId="26" borderId="0" xfId="0" applyNumberFormat="1" applyFont="1" applyFill="1" applyAlignment="1"/>
    <xf numFmtId="0" fontId="4" fillId="26" borderId="0" xfId="0" applyFont="1" applyFill="1" applyAlignment="1"/>
    <xf numFmtId="182" fontId="42" fillId="21" borderId="0" xfId="0" applyNumberFormat="1" applyFont="1" applyFill="1" applyAlignment="1"/>
    <xf numFmtId="182" fontId="96" fillId="26" borderId="0" xfId="0" applyNumberFormat="1" applyFont="1" applyFill="1" applyAlignment="1"/>
    <xf numFmtId="182" fontId="8" fillId="22" borderId="0" xfId="0" applyNumberFormat="1" applyFont="1" applyFill="1" applyAlignment="1"/>
    <xf numFmtId="183" fontId="97" fillId="22" borderId="0" xfId="0" applyNumberFormat="1" applyFont="1" applyFill="1" applyAlignment="1"/>
    <xf numFmtId="182" fontId="4" fillId="27" borderId="0" xfId="0" applyNumberFormat="1" applyFont="1" applyFill="1" applyAlignment="1"/>
    <xf numFmtId="183" fontId="86" fillId="27" borderId="0" xfId="0" applyNumberFormat="1" applyFont="1" applyFill="1" applyAlignment="1"/>
    <xf numFmtId="0" fontId="4" fillId="27" borderId="0" xfId="0" applyFont="1" applyFill="1" applyAlignment="1"/>
    <xf numFmtId="182" fontId="87" fillId="0" borderId="0" xfId="0" applyNumberFormat="1" applyFont="1" applyAlignment="1"/>
    <xf numFmtId="182" fontId="36" fillId="0" borderId="0" xfId="0" applyNumberFormat="1" applyFont="1" applyAlignment="1"/>
    <xf numFmtId="183" fontId="94" fillId="0" borderId="0" xfId="0" applyNumberFormat="1" applyFont="1" applyAlignment="1"/>
    <xf numFmtId="183" fontId="4" fillId="20" borderId="0" xfId="0" applyNumberFormat="1" applyFont="1" applyFill="1" applyAlignment="1"/>
    <xf numFmtId="0" fontId="87" fillId="0" borderId="0" xfId="0" applyFont="1" applyFill="1" applyAlignment="1"/>
    <xf numFmtId="0" fontId="36" fillId="0" borderId="0" xfId="0" applyFont="1" applyFill="1" applyAlignment="1"/>
    <xf numFmtId="0" fontId="98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/>
    <xf numFmtId="0" fontId="99" fillId="0" borderId="0" xfId="0" applyFont="1" applyAlignment="1">
      <alignment vertical="center"/>
    </xf>
    <xf numFmtId="0" fontId="99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/>
    <xf numFmtId="14" fontId="99" fillId="0" borderId="0" xfId="0" quotePrefix="1" applyNumberFormat="1" applyFont="1" applyAlignment="1">
      <alignment vertical="center"/>
    </xf>
    <xf numFmtId="0" fontId="99" fillId="0" borderId="0" xfId="0" applyFont="1" applyAlignment="1"/>
    <xf numFmtId="0" fontId="4" fillId="0" borderId="0" xfId="0" applyFont="1" applyAlignment="1"/>
    <xf numFmtId="0" fontId="24" fillId="0" borderId="0" xfId="0" applyFont="1" applyBorder="1" applyAlignment="1">
      <alignment horizontal="left" vertical="center"/>
    </xf>
    <xf numFmtId="0" fontId="81" fillId="0" borderId="106" xfId="0" applyFont="1" applyBorder="1" applyAlignment="1">
      <alignment horizontal="center" wrapText="1"/>
    </xf>
    <xf numFmtId="0" fontId="81" fillId="0" borderId="107" xfId="0" applyFont="1" applyBorder="1" applyAlignment="1">
      <alignment horizontal="center" wrapText="1"/>
    </xf>
    <xf numFmtId="0" fontId="6" fillId="0" borderId="106" xfId="0" applyFont="1" applyBorder="1" applyAlignment="1">
      <alignment horizontal="center" wrapText="1"/>
    </xf>
    <xf numFmtId="0" fontId="6" fillId="0" borderId="107" xfId="0" applyFont="1" applyBorder="1" applyAlignment="1">
      <alignment horizontal="center" wrapText="1"/>
    </xf>
    <xf numFmtId="0" fontId="6" fillId="0" borderId="108" xfId="0" applyFont="1" applyBorder="1" applyAlignment="1">
      <alignment horizontal="left" wrapText="1"/>
    </xf>
    <xf numFmtId="0" fontId="6" fillId="0" borderId="107" xfId="0" applyFont="1" applyBorder="1" applyAlignment="1">
      <alignment horizontal="left" wrapText="1"/>
    </xf>
    <xf numFmtId="0" fontId="6" fillId="0" borderId="108" xfId="0" applyFont="1" applyBorder="1" applyAlignment="1">
      <alignment horizontal="center" wrapText="1"/>
    </xf>
    <xf numFmtId="0" fontId="6" fillId="0" borderId="106" xfId="0" applyFont="1" applyBorder="1" applyAlignment="1">
      <alignment horizontal="left" wrapText="1"/>
    </xf>
    <xf numFmtId="0" fontId="81" fillId="0" borderId="108" xfId="0" applyFont="1" applyBorder="1" applyAlignment="1">
      <alignment horizontal="center" wrapText="1"/>
    </xf>
    <xf numFmtId="0" fontId="18" fillId="5" borderId="108" xfId="0" applyFont="1" applyFill="1" applyBorder="1" applyAlignment="1">
      <alignment horizontal="center" wrapText="1"/>
    </xf>
    <xf numFmtId="0" fontId="18" fillId="5" borderId="107" xfId="0" applyFont="1" applyFill="1" applyBorder="1" applyAlignment="1">
      <alignment horizontal="center" wrapText="1"/>
    </xf>
    <xf numFmtId="0" fontId="18" fillId="5" borderId="110" xfId="0" applyFont="1" applyFill="1" applyBorder="1" applyAlignment="1">
      <alignment horizontal="center" wrapText="1"/>
    </xf>
    <xf numFmtId="0" fontId="18" fillId="5" borderId="111" xfId="0" applyFont="1" applyFill="1" applyBorder="1" applyAlignment="1">
      <alignment horizontal="center" wrapText="1"/>
    </xf>
    <xf numFmtId="0" fontId="18" fillId="5" borderId="105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4" fillId="0" borderId="0" xfId="0" applyFont="1" applyAlignment="1"/>
    <xf numFmtId="0" fontId="6" fillId="17" borderId="108" xfId="0" applyFont="1" applyFill="1" applyBorder="1" applyAlignment="1">
      <alignment horizontal="left" wrapText="1"/>
    </xf>
    <xf numFmtId="0" fontId="6" fillId="17" borderId="107" xfId="0" applyFont="1" applyFill="1" applyBorder="1" applyAlignment="1">
      <alignment horizontal="left" wrapText="1"/>
    </xf>
    <xf numFmtId="0" fontId="6" fillId="17" borderId="108" xfId="0" applyFont="1" applyFill="1" applyBorder="1" applyAlignment="1">
      <alignment horizontal="center" wrapText="1"/>
    </xf>
    <xf numFmtId="0" fontId="6" fillId="17" borderId="107" xfId="0" applyFont="1" applyFill="1" applyBorder="1" applyAlignment="1">
      <alignment horizontal="center" wrapText="1"/>
    </xf>
    <xf numFmtId="0" fontId="6" fillId="0" borderId="109" xfId="0" applyFont="1" applyBorder="1" applyAlignment="1">
      <alignment horizontal="center"/>
    </xf>
    <xf numFmtId="0" fontId="4" fillId="0" borderId="109" xfId="0" applyFont="1" applyBorder="1" applyAlignment="1"/>
    <xf numFmtId="0" fontId="83" fillId="17" borderId="108" xfId="0" applyFont="1" applyFill="1" applyBorder="1" applyAlignment="1">
      <alignment horizontal="left" wrapText="1"/>
    </xf>
    <xf numFmtId="0" fontId="83" fillId="17" borderId="107" xfId="0" applyFont="1" applyFill="1" applyBorder="1" applyAlignment="1">
      <alignment horizontal="left" wrapText="1"/>
    </xf>
    <xf numFmtId="0" fontId="84" fillId="17" borderId="108" xfId="0" applyFont="1" applyFill="1" applyBorder="1" applyAlignment="1">
      <alignment horizontal="left" wrapText="1"/>
    </xf>
    <xf numFmtId="0" fontId="84" fillId="17" borderId="107" xfId="0" applyFont="1" applyFill="1" applyBorder="1" applyAlignment="1">
      <alignment horizontal="left" wrapText="1"/>
    </xf>
    <xf numFmtId="0" fontId="6" fillId="17" borderId="106" xfId="0" applyFont="1" applyFill="1" applyBorder="1" applyAlignment="1">
      <alignment horizontal="left" wrapText="1"/>
    </xf>
    <xf numFmtId="0" fontId="81" fillId="17" borderId="108" xfId="0" applyFont="1" applyFill="1" applyBorder="1" applyAlignment="1">
      <alignment horizontal="left" wrapText="1"/>
    </xf>
    <xf numFmtId="0" fontId="81" fillId="17" borderId="107" xfId="0" applyFont="1" applyFill="1" applyBorder="1" applyAlignment="1">
      <alignment horizontal="left" wrapText="1"/>
    </xf>
    <xf numFmtId="0" fontId="77" fillId="0" borderId="108" xfId="0" applyFont="1" applyBorder="1" applyAlignment="1">
      <alignment horizontal="left" wrapText="1"/>
    </xf>
    <xf numFmtId="0" fontId="77" fillId="0" borderId="107" xfId="0" applyFont="1" applyBorder="1" applyAlignment="1">
      <alignment horizontal="left" wrapText="1"/>
    </xf>
    <xf numFmtId="0" fontId="77" fillId="0" borderId="108" xfId="0" applyFont="1" applyBorder="1" applyAlignment="1">
      <alignment horizontal="center" wrapText="1"/>
    </xf>
    <xf numFmtId="0" fontId="77" fillId="0" borderId="106" xfId="0" applyFont="1" applyBorder="1" applyAlignment="1">
      <alignment horizontal="center" wrapText="1"/>
    </xf>
    <xf numFmtId="0" fontId="77" fillId="0" borderId="107" xfId="0" applyFont="1" applyBorder="1" applyAlignment="1">
      <alignment horizontal="center" wrapText="1"/>
    </xf>
    <xf numFmtId="0" fontId="79" fillId="0" borderId="108" xfId="0" applyFont="1" applyBorder="1" applyAlignment="1">
      <alignment horizontal="left" wrapText="1"/>
    </xf>
    <xf numFmtId="0" fontId="79" fillId="0" borderId="107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77" fillId="0" borderId="108" xfId="0" applyFont="1" applyBorder="1" applyAlignment="1">
      <alignment wrapText="1"/>
    </xf>
    <xf numFmtId="0" fontId="77" fillId="0" borderId="107" xfId="0" applyFont="1" applyBorder="1" applyAlignment="1">
      <alignment wrapText="1"/>
    </xf>
    <xf numFmtId="0" fontId="77" fillId="0" borderId="0" xfId="0" applyFont="1" applyAlignment="1">
      <alignment horizontal="center"/>
    </xf>
    <xf numFmtId="0" fontId="79" fillId="0" borderId="106" xfId="0" applyFont="1" applyBorder="1" applyAlignment="1">
      <alignment horizontal="left" wrapText="1"/>
    </xf>
    <xf numFmtId="0" fontId="78" fillId="0" borderId="108" xfId="0" applyFont="1" applyBorder="1" applyAlignment="1">
      <alignment horizontal="left" wrapText="1"/>
    </xf>
    <xf numFmtId="0" fontId="78" fillId="0" borderId="107" xfId="0" applyFont="1" applyBorder="1" applyAlignment="1">
      <alignment horizontal="left" wrapText="1"/>
    </xf>
    <xf numFmtId="0" fontId="77" fillId="0" borderId="106" xfId="0" applyFont="1" applyBorder="1" applyAlignment="1">
      <alignment wrapText="1"/>
    </xf>
    <xf numFmtId="0" fontId="76" fillId="5" borderId="108" xfId="0" applyFont="1" applyFill="1" applyBorder="1" applyAlignment="1">
      <alignment horizontal="center" wrapText="1"/>
    </xf>
    <xf numFmtId="0" fontId="76" fillId="5" borderId="107" xfId="0" applyFont="1" applyFill="1" applyBorder="1" applyAlignment="1">
      <alignment horizontal="center" wrapText="1"/>
    </xf>
    <xf numFmtId="0" fontId="76" fillId="5" borderId="110" xfId="0" applyFont="1" applyFill="1" applyBorder="1" applyAlignment="1">
      <alignment horizontal="center" wrapText="1"/>
    </xf>
    <xf numFmtId="0" fontId="76" fillId="5" borderId="111" xfId="0" applyFont="1" applyFill="1" applyBorder="1" applyAlignment="1">
      <alignment horizontal="center" wrapText="1"/>
    </xf>
    <xf numFmtId="0" fontId="76" fillId="5" borderId="105" xfId="0" applyFont="1" applyFill="1" applyBorder="1" applyAlignment="1">
      <alignment horizontal="center" wrapText="1"/>
    </xf>
    <xf numFmtId="0" fontId="76" fillId="0" borderId="0" xfId="0" applyFont="1" applyAlignment="1">
      <alignment horizontal="center"/>
    </xf>
    <xf numFmtId="0" fontId="77" fillId="0" borderId="109" xfId="0" applyFont="1" applyBorder="1" applyAlignment="1">
      <alignment horizontal="center"/>
    </xf>
    <xf numFmtId="0" fontId="77" fillId="0" borderId="106" xfId="0" applyFont="1" applyBorder="1" applyAlignment="1">
      <alignment horizontal="left" wrapText="1"/>
    </xf>
    <xf numFmtId="0" fontId="69" fillId="0" borderId="0" xfId="0" applyFont="1" applyAlignment="1">
      <alignment horizontal="left"/>
    </xf>
    <xf numFmtId="0" fontId="68" fillId="0" borderId="0" xfId="0" applyFont="1" applyAlignment="1">
      <alignment horizontal="left"/>
    </xf>
    <xf numFmtId="0" fontId="68" fillId="0" borderId="106" xfId="0" applyFont="1" applyBorder="1" applyAlignment="1">
      <alignment horizontal="left" wrapText="1"/>
    </xf>
    <xf numFmtId="0" fontId="68" fillId="0" borderId="107" xfId="0" applyFont="1" applyBorder="1" applyAlignment="1">
      <alignment horizontal="left" wrapText="1"/>
    </xf>
    <xf numFmtId="0" fontId="73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left"/>
    </xf>
    <xf numFmtId="0" fontId="67" fillId="0" borderId="108" xfId="0" applyFont="1" applyBorder="1" applyAlignment="1">
      <alignment wrapText="1"/>
    </xf>
    <xf numFmtId="0" fontId="67" fillId="0" borderId="106" xfId="0" applyFont="1" applyBorder="1" applyAlignment="1">
      <alignment wrapText="1"/>
    </xf>
    <xf numFmtId="0" fontId="67" fillId="0" borderId="107" xfId="0" applyFont="1" applyBorder="1" applyAlignment="1">
      <alignment wrapText="1"/>
    </xf>
    <xf numFmtId="0" fontId="69" fillId="0" borderId="109" xfId="0" applyFont="1" applyBorder="1" applyAlignment="1">
      <alignment horizontal="left"/>
    </xf>
    <xf numFmtId="0" fontId="64" fillId="4" borderId="108" xfId="0" applyFont="1" applyFill="1" applyBorder="1" applyAlignment="1">
      <alignment horizontal="center" wrapText="1"/>
    </xf>
    <xf numFmtId="0" fontId="64" fillId="4" borderId="115" xfId="0" applyFont="1" applyFill="1" applyBorder="1" applyAlignment="1">
      <alignment horizontal="center" wrapText="1"/>
    </xf>
    <xf numFmtId="0" fontId="67" fillId="0" borderId="112" xfId="0" applyFont="1" applyBorder="1" applyAlignment="1">
      <alignment wrapText="1"/>
    </xf>
    <xf numFmtId="0" fontId="70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6" fillId="5" borderId="113" xfId="0" applyFont="1" applyFill="1" applyBorder="1" applyAlignment="1">
      <alignment horizontal="center" wrapText="1"/>
    </xf>
    <xf numFmtId="0" fontId="76" fillId="5" borderId="103" xfId="0" applyFont="1" applyFill="1" applyBorder="1" applyAlignment="1">
      <alignment horizontal="center" wrapText="1"/>
    </xf>
    <xf numFmtId="0" fontId="76" fillId="5" borderId="114" xfId="0" applyFont="1" applyFill="1" applyBorder="1" applyAlignment="1">
      <alignment horizontal="center" wrapText="1"/>
    </xf>
    <xf numFmtId="0" fontId="76" fillId="5" borderId="50" xfId="0" applyFont="1" applyFill="1" applyBorder="1" applyAlignment="1">
      <alignment horizontal="center" wrapText="1"/>
    </xf>
    <xf numFmtId="0" fontId="17" fillId="0" borderId="0" xfId="0" applyFont="1" applyBorder="1" applyAlignment="1">
      <alignment horizontal="left" vertical="center"/>
    </xf>
    <xf numFmtId="0" fontId="17" fillId="0" borderId="109" xfId="0" applyFont="1" applyBorder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13" fillId="0" borderId="116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/>
    </xf>
    <xf numFmtId="0" fontId="13" fillId="0" borderId="11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3" fillId="0" borderId="114" xfId="0" applyFont="1" applyBorder="1" applyAlignment="1">
      <alignment horizontal="center" vertical="center"/>
    </xf>
    <xf numFmtId="0" fontId="13" fillId="0" borderId="119" xfId="0" applyFont="1" applyBorder="1" applyAlignment="1">
      <alignment horizontal="center" vertical="center"/>
    </xf>
    <xf numFmtId="0" fontId="13" fillId="0" borderId="120" xfId="0" applyFont="1" applyBorder="1" applyAlignment="1">
      <alignment horizontal="center" vertical="center"/>
    </xf>
    <xf numFmtId="0" fontId="13" fillId="0" borderId="1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2" fillId="0" borderId="122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3" fillId="0" borderId="124" xfId="0" applyFont="1" applyBorder="1" applyAlignment="1">
      <alignment horizontal="center" vertical="center"/>
    </xf>
    <xf numFmtId="0" fontId="13" fillId="0" borderId="125" xfId="0" applyFont="1" applyBorder="1" applyAlignment="1">
      <alignment horizontal="center" vertical="center"/>
    </xf>
    <xf numFmtId="0" fontId="22" fillId="4" borderId="110" xfId="0" applyFont="1" applyFill="1" applyBorder="1" applyAlignment="1">
      <alignment horizontal="center" vertical="center"/>
    </xf>
    <xf numFmtId="0" fontId="22" fillId="4" borderId="111" xfId="0" applyFont="1" applyFill="1" applyBorder="1" applyAlignment="1">
      <alignment horizontal="center" vertical="center"/>
    </xf>
    <xf numFmtId="0" fontId="22" fillId="4" borderId="105" xfId="0" applyFont="1" applyFill="1" applyBorder="1" applyAlignment="1">
      <alignment horizontal="center" vertical="center"/>
    </xf>
    <xf numFmtId="0" fontId="23" fillId="4" borderId="126" xfId="0" applyFont="1" applyFill="1" applyBorder="1" applyAlignment="1">
      <alignment horizontal="center" vertical="center"/>
    </xf>
    <xf numFmtId="0" fontId="23" fillId="4" borderId="127" xfId="0" applyFont="1" applyFill="1" applyBorder="1" applyAlignment="1">
      <alignment horizontal="center" vertical="center"/>
    </xf>
    <xf numFmtId="0" fontId="23" fillId="4" borderId="128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0" fontId="23" fillId="4" borderId="129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130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4" borderId="131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center" vertical="center"/>
    </xf>
    <xf numFmtId="0" fontId="26" fillId="4" borderId="114" xfId="0" applyFont="1" applyFill="1" applyBorder="1" applyAlignment="1">
      <alignment horizontal="center" vertical="center"/>
    </xf>
    <xf numFmtId="0" fontId="26" fillId="4" borderId="109" xfId="0" applyFont="1" applyFill="1" applyBorder="1" applyAlignment="1">
      <alignment horizontal="center" vertical="center"/>
    </xf>
    <xf numFmtId="0" fontId="26" fillId="4" borderId="50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25" fillId="5" borderId="32" xfId="0" applyFont="1" applyFill="1" applyBorder="1" applyAlignment="1">
      <alignment horizontal="center" vertical="center"/>
    </xf>
    <xf numFmtId="0" fontId="25" fillId="5" borderId="131" xfId="0" applyFont="1" applyFill="1" applyBorder="1" applyAlignment="1">
      <alignment horizontal="center" vertical="center"/>
    </xf>
    <xf numFmtId="0" fontId="24" fillId="5" borderId="33" xfId="0" applyFont="1" applyFill="1" applyBorder="1" applyAlignment="1">
      <alignment horizontal="center" vertical="center"/>
    </xf>
    <xf numFmtId="0" fontId="24" fillId="5" borderId="37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3" borderId="5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hhongb@lgchem.com" TargetMode="External" /><Relationship Id="rId13" Type="http://schemas.openxmlformats.org/officeDocument/2006/relationships/hyperlink" Target="mailto:paulsysuh@hanmail.net" TargetMode="External" /><Relationship Id="rId18" Type="http://schemas.openxmlformats.org/officeDocument/2006/relationships/hyperlink" Target="mailto:sklee4646@empal.com" TargetMode="External" /><Relationship Id="rId26" Type="http://schemas.openxmlformats.org/officeDocument/2006/relationships/hyperlink" Target="mailto:baiksunlee@paran.com" TargetMode="External" /><Relationship Id="rId3" Type="http://schemas.openxmlformats.org/officeDocument/2006/relationships/hyperlink" Target="mailto:kjw1015@chol.com" TargetMode="External" /><Relationship Id="rId21" Type="http://schemas.openxmlformats.org/officeDocument/2006/relationships/hyperlink" Target="mailto:kimoon_lee@hotmail.com" TargetMode="External" /><Relationship Id="rId7" Type="http://schemas.openxmlformats.org/officeDocument/2006/relationships/hyperlink" Target="mailto:kspark@serveone.co.kr" TargetMode="External" /><Relationship Id="rId12" Type="http://schemas.openxmlformats.org/officeDocument/2006/relationships/hyperlink" Target="mailto:stevenpark@lgchem.com" TargetMode="External" /><Relationship Id="rId17" Type="http://schemas.openxmlformats.org/officeDocument/2006/relationships/hyperlink" Target="mailto:bobjang1@naver.com" TargetMode="External" /><Relationship Id="rId25" Type="http://schemas.openxmlformats.org/officeDocument/2006/relationships/hyperlink" Target="mailto:msmul@hanmail.net" TargetMode="External" /><Relationship Id="rId33" Type="http://schemas.openxmlformats.org/officeDocument/2006/relationships/printerSettings" Target="../printerSettings/printerSettings1.bin" /><Relationship Id="rId2" Type="http://schemas.openxmlformats.org/officeDocument/2006/relationships/hyperlink" Target="mailto:sdoh777@yahoo.co.kr" TargetMode="External" /><Relationship Id="rId16" Type="http://schemas.openxmlformats.org/officeDocument/2006/relationships/hyperlink" Target="mailto:wkhuh19@yahoo.co.kr" TargetMode="External" /><Relationship Id="rId20" Type="http://schemas.openxmlformats.org/officeDocument/2006/relationships/hyperlink" Target="mailto:ysj3647@naver.com" TargetMode="External" /><Relationship Id="rId29" Type="http://schemas.openxmlformats.org/officeDocument/2006/relationships/hyperlink" Target="mailto:sang7847@hanmail.net" TargetMode="External" /><Relationship Id="rId1" Type="http://schemas.openxmlformats.org/officeDocument/2006/relationships/hyperlink" Target="mailto:dsyook@hanmail.net" TargetMode="External" /><Relationship Id="rId6" Type="http://schemas.openxmlformats.org/officeDocument/2006/relationships/hyperlink" Target="mailto:choiyc@cnjcorp.com" TargetMode="External" /><Relationship Id="rId11" Type="http://schemas.openxmlformats.org/officeDocument/2006/relationships/hyperlink" Target="mailto:hskima@hotmail.com" TargetMode="External" /><Relationship Id="rId24" Type="http://schemas.openxmlformats.org/officeDocument/2006/relationships/hyperlink" Target="mailto:jhpark9@daewoo.com" TargetMode="External" /><Relationship Id="rId32" Type="http://schemas.openxmlformats.org/officeDocument/2006/relationships/hyperlink" Target="mailto:cck@kbs.co.kr%20%2012/15&#51068;%20&#44264;&#54532;&#47784;&#51076;%20&#52280;&#44032;" TargetMode="External" /><Relationship Id="rId5" Type="http://schemas.openxmlformats.org/officeDocument/2006/relationships/hyperlink" Target="mailto:csw10110@hotmail.com" TargetMode="External" /><Relationship Id="rId15" Type="http://schemas.openxmlformats.org/officeDocument/2006/relationships/hyperlink" Target="mailto:james22@naver.com" TargetMode="External" /><Relationship Id="rId23" Type="http://schemas.openxmlformats.org/officeDocument/2006/relationships/hyperlink" Target="mailto:hanbdon@hanmail.net" TargetMode="External" /><Relationship Id="rId28" Type="http://schemas.openxmlformats.org/officeDocument/2006/relationships/hyperlink" Target="mailto:shsyours@naver.com" TargetMode="External" /><Relationship Id="rId10" Type="http://schemas.openxmlformats.org/officeDocument/2006/relationships/hyperlink" Target="mailto:sshongb@lghausys.com" TargetMode="External" /><Relationship Id="rId19" Type="http://schemas.openxmlformats.org/officeDocument/2006/relationships/hyperlink" Target="mailto:kwckim54@naver.com" TargetMode="External" /><Relationship Id="rId31" Type="http://schemas.openxmlformats.org/officeDocument/2006/relationships/hyperlink" Target="mailto:princekimme@yahoo.co.kr" TargetMode="External" /><Relationship Id="rId4" Type="http://schemas.openxmlformats.org/officeDocument/2006/relationships/hyperlink" Target="mailto:eslim88@chol.com" TargetMode="External" /><Relationship Id="rId9" Type="http://schemas.openxmlformats.org/officeDocument/2006/relationships/hyperlink" Target="mailto:mhyoonb@lgchem.com" TargetMode="External" /><Relationship Id="rId14" Type="http://schemas.openxmlformats.org/officeDocument/2006/relationships/hyperlink" Target="mailto:skleeX41@naver.com" TargetMode="External" /><Relationship Id="rId22" Type="http://schemas.openxmlformats.org/officeDocument/2006/relationships/hyperlink" Target="mailto:hulee@kbs.co.kr" TargetMode="External" /><Relationship Id="rId27" Type="http://schemas.openxmlformats.org/officeDocument/2006/relationships/hyperlink" Target="mailto:ecopark@lgeri.com" TargetMode="External" /><Relationship Id="rId30" Type="http://schemas.openxmlformats.org/officeDocument/2006/relationships/hyperlink" Target="mailto:harold.jung@heraeus.com" TargetMode="Externa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youngho.park@sk.com" TargetMode="External" /><Relationship Id="rId13" Type="http://schemas.openxmlformats.org/officeDocument/2006/relationships/hyperlink" Target="mailto:rgb79@lafuma.com.cn" TargetMode="External" /><Relationship Id="rId18" Type="http://schemas.openxmlformats.org/officeDocument/2006/relationships/hyperlink" Target="mailto:princekimme@yahoo.co.kr" TargetMode="External" /><Relationship Id="rId26" Type="http://schemas.openxmlformats.org/officeDocument/2006/relationships/hyperlink" Target="mailto:irene@lafuma.com.cn" TargetMode="External" /><Relationship Id="rId3" Type="http://schemas.openxmlformats.org/officeDocument/2006/relationships/hyperlink" Target="mailto:parkmb5511@gmail.com" TargetMode="External" /><Relationship Id="rId21" Type="http://schemas.openxmlformats.org/officeDocument/2006/relationships/hyperlink" Target="mailto:kimoon_lee@hotmail.com" TargetMode="External" /><Relationship Id="rId7" Type="http://schemas.openxmlformats.org/officeDocument/2006/relationships/hyperlink" Target="mailto:kwkim310@gmail.com" TargetMode="External" /><Relationship Id="rId12" Type="http://schemas.openxmlformats.org/officeDocument/2006/relationships/hyperlink" Target="mailto:ceo@anlang.com" TargetMode="External" /><Relationship Id="rId17" Type="http://schemas.openxmlformats.org/officeDocument/2006/relationships/hyperlink" Target="mailto:richard@lgchem.com" TargetMode="External" /><Relationship Id="rId25" Type="http://schemas.openxmlformats.org/officeDocument/2006/relationships/hyperlink" Target="mailto:kjkim@lgchem.com" TargetMode="External" /><Relationship Id="rId2" Type="http://schemas.openxmlformats.org/officeDocument/2006/relationships/hyperlink" Target="mailto:funong@hanmail.net" TargetMode="External" /><Relationship Id="rId16" Type="http://schemas.openxmlformats.org/officeDocument/2006/relationships/hyperlink" Target="mailto:ky305070@hanmail.net" TargetMode="External" /><Relationship Id="rId20" Type="http://schemas.openxmlformats.org/officeDocument/2006/relationships/hyperlink" Target="mailto:dslee@skku.edu&amp;gt" TargetMode="External" /><Relationship Id="rId1" Type="http://schemas.openxmlformats.org/officeDocument/2006/relationships/hyperlink" Target="mailto:gskam@naver.com" TargetMode="External" /><Relationship Id="rId6" Type="http://schemas.openxmlformats.org/officeDocument/2006/relationships/hyperlink" Target="mailto:mskims@chol.com" TargetMode="External" /><Relationship Id="rId11" Type="http://schemas.openxmlformats.org/officeDocument/2006/relationships/hyperlink" Target="mailto:ctmedi@yahoo.co.kr" TargetMode="External" /><Relationship Id="rId24" Type="http://schemas.openxmlformats.org/officeDocument/2006/relationships/hyperlink" Target="mailto:ktcho@lghausys.com" TargetMode="External" /><Relationship Id="rId5" Type="http://schemas.openxmlformats.org/officeDocument/2006/relationships/hyperlink" Target="mailto:sepk1964@hanmail.net" TargetMode="External" /><Relationship Id="rId15" Type="http://schemas.openxmlformats.org/officeDocument/2006/relationships/hyperlink" Target="mailto:jhjungb@daum.net" TargetMode="External" /><Relationship Id="rId23" Type="http://schemas.openxmlformats.org/officeDocument/2006/relationships/hyperlink" Target="mailto:jckimc@lghausys.com" TargetMode="External" /><Relationship Id="rId10" Type="http://schemas.openxmlformats.org/officeDocument/2006/relationships/hyperlink" Target="mailto:ceoland8@hanmail.net" TargetMode="External" /><Relationship Id="rId19" Type="http://schemas.openxmlformats.org/officeDocument/2006/relationships/hyperlink" Target="mailto:kimdon@seoultech.ac.kr&amp;gt" TargetMode="External" /><Relationship Id="rId4" Type="http://schemas.openxmlformats.org/officeDocument/2006/relationships/hyperlink" Target="mailto:bobose78@hotmail.com" TargetMode="External" /><Relationship Id="rId9" Type="http://schemas.openxmlformats.org/officeDocument/2006/relationships/hyperlink" Target="mailto:chinapae@gmail.com" TargetMode="External" /><Relationship Id="rId14" Type="http://schemas.openxmlformats.org/officeDocument/2006/relationships/hyperlink" Target="mailto:punhlaing@gmail.com" TargetMode="External" /><Relationship Id="rId22" Type="http://schemas.openxmlformats.org/officeDocument/2006/relationships/hyperlink" Target="http://land.naver.com/article/articleRedirect.nhn?rletTypeCd=A01:A03:A04&amp;tradeTypeCd=&amp;cortarNo=1129011000&amp;rletNo=3424&amp;targetName=realestateMap" TargetMode="External" /><Relationship Id="rId27" Type="http://schemas.openxmlformats.org/officeDocument/2006/relationships/hyperlink" Target="mailto:sdpark@163.com" TargetMode="Externa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dragonyhr@hanmail.net" TargetMode="External" 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pym5545@naver.com" TargetMode="External" /><Relationship Id="rId13" Type="http://schemas.openxmlformats.org/officeDocument/2006/relationships/hyperlink" Target="mailto:kwlee@lgi.co.kr" TargetMode="External" /><Relationship Id="rId3" Type="http://schemas.openxmlformats.org/officeDocument/2006/relationships/hyperlink" Target="mailto:aya0707@hanmir.com" TargetMode="External" /><Relationship Id="rId7" Type="http://schemas.openxmlformats.org/officeDocument/2006/relationships/hyperlink" Target="mailto:sjna08@naver.com" TargetMode="External" /><Relationship Id="rId12" Type="http://schemas.openxmlformats.org/officeDocument/2006/relationships/hyperlink" Target="mailto:jungjin4941@yahoo.co.kr" TargetMode="External" /><Relationship Id="rId2" Type="http://schemas.openxmlformats.org/officeDocument/2006/relationships/hyperlink" Target="mailto:mrokim@hanmail.net" TargetMode="External" /><Relationship Id="rId1" Type="http://schemas.openxmlformats.org/officeDocument/2006/relationships/hyperlink" Target="mailto:esjaykim@naver.com" TargetMode="External" /><Relationship Id="rId6" Type="http://schemas.openxmlformats.org/officeDocument/2006/relationships/hyperlink" Target="mailto:jokimd@lgchem.com" TargetMode="External" /><Relationship Id="rId11" Type="http://schemas.openxmlformats.org/officeDocument/2006/relationships/hyperlink" Target="mailto:dyclg@hanmail.net" TargetMode="External" /><Relationship Id="rId5" Type="http://schemas.openxmlformats.org/officeDocument/2006/relationships/hyperlink" Target="mailto:khokim03@hotmail.com" TargetMode="External" /><Relationship Id="rId10" Type="http://schemas.openxmlformats.org/officeDocument/2006/relationships/hyperlink" Target="mailto:kjhwanga@hanmail.net" TargetMode="External" /><Relationship Id="rId4" Type="http://schemas.openxmlformats.org/officeDocument/2006/relationships/hyperlink" Target="mailto:biosyoon@naver.com" TargetMode="External" /><Relationship Id="rId9" Type="http://schemas.openxmlformats.org/officeDocument/2006/relationships/hyperlink" Target="mailto:idlee123@naver.com" TargetMode="External" 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choiyc@cnjcorp.com" TargetMode="External" /><Relationship Id="rId13" Type="http://schemas.openxmlformats.org/officeDocument/2006/relationships/hyperlink" Target="mailto:mhyoonb@lgchem.com" TargetMode="External" /><Relationship Id="rId18" Type="http://schemas.openxmlformats.org/officeDocument/2006/relationships/hyperlink" Target="mailto:skleeX41@naver.com" TargetMode="External" /><Relationship Id="rId3" Type="http://schemas.openxmlformats.org/officeDocument/2006/relationships/hyperlink" Target="mailto:kjw1015@chol.com" TargetMode="External" /><Relationship Id="rId21" Type="http://schemas.openxmlformats.org/officeDocument/2006/relationships/hyperlink" Target="mailto:bobjang1@naver.com" TargetMode="External" /><Relationship Id="rId7" Type="http://schemas.openxmlformats.org/officeDocument/2006/relationships/hyperlink" Target="mailto:csw10110@hotmail.com" TargetMode="External" /><Relationship Id="rId12" Type="http://schemas.openxmlformats.org/officeDocument/2006/relationships/hyperlink" Target="mailto:jhhongb@lgchem.com" TargetMode="External" /><Relationship Id="rId17" Type="http://schemas.openxmlformats.org/officeDocument/2006/relationships/hyperlink" Target="mailto:paulsysuh@hanmail.net" TargetMode="External" /><Relationship Id="rId2" Type="http://schemas.openxmlformats.org/officeDocument/2006/relationships/hyperlink" Target="mailto:sdoh777@yahoo.co.kr" TargetMode="External" /><Relationship Id="rId16" Type="http://schemas.openxmlformats.org/officeDocument/2006/relationships/hyperlink" Target="mailto:stevenpark@lgchem.com" TargetMode="External" /><Relationship Id="rId20" Type="http://schemas.openxmlformats.org/officeDocument/2006/relationships/hyperlink" Target="mailto:wkhuh19@yahoo.co.kr" TargetMode="External" /><Relationship Id="rId1" Type="http://schemas.openxmlformats.org/officeDocument/2006/relationships/hyperlink" Target="mailto:dsyook@hanmail.net" TargetMode="External" /><Relationship Id="rId6" Type="http://schemas.openxmlformats.org/officeDocument/2006/relationships/hyperlink" Target="mailto:sjna08@naver.com" TargetMode="External" /><Relationship Id="rId11" Type="http://schemas.openxmlformats.org/officeDocument/2006/relationships/hyperlink" Target="mailto:jason@gncmat.com" TargetMode="External" /><Relationship Id="rId5" Type="http://schemas.openxmlformats.org/officeDocument/2006/relationships/hyperlink" Target="mailto:bjkeum@naver.com" TargetMode="External" /><Relationship Id="rId15" Type="http://schemas.openxmlformats.org/officeDocument/2006/relationships/hyperlink" Target="mailto:hskima@hotmail.com" TargetMode="External" /><Relationship Id="rId10" Type="http://schemas.openxmlformats.org/officeDocument/2006/relationships/hyperlink" Target="mailto:jasongim@gims.co.kr" TargetMode="External" /><Relationship Id="rId19" Type="http://schemas.openxmlformats.org/officeDocument/2006/relationships/hyperlink" Target="mailto:james22@naver.com" TargetMode="External" /><Relationship Id="rId4" Type="http://schemas.openxmlformats.org/officeDocument/2006/relationships/hyperlink" Target="mailto:eslim88@chol.com" TargetMode="External" /><Relationship Id="rId9" Type="http://schemas.openxmlformats.org/officeDocument/2006/relationships/hyperlink" Target="mailto:kspark@serveone.co.kr" TargetMode="External" /><Relationship Id="rId14" Type="http://schemas.openxmlformats.org/officeDocument/2006/relationships/hyperlink" Target="mailto:sshongb@lghausys.com" TargetMode="External" /><Relationship Id="rId22" Type="http://schemas.openxmlformats.org/officeDocument/2006/relationships/hyperlink" Target="mailto:sklee4646@empal.com" TargetMode="External" 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kikk@kr.ibm.com" TargetMode="External" /><Relationship Id="rId3" Type="http://schemas.openxmlformats.org/officeDocument/2006/relationships/hyperlink" Target="mailto:hj52jung@lycos.co.kr" TargetMode="External" /><Relationship Id="rId7" Type="http://schemas.openxmlformats.org/officeDocument/2006/relationships/hyperlink" Target="mailto:jimisong@netian.com" TargetMode="External" /><Relationship Id="rId2" Type="http://schemas.openxmlformats.org/officeDocument/2006/relationships/hyperlink" Target="mailto:ytjeong@ssyrecord.co.kr" TargetMode="External" /><Relationship Id="rId1" Type="http://schemas.openxmlformats.org/officeDocument/2006/relationships/hyperlink" Target="mailto:sim2000@samsungfire.com" TargetMode="External" /><Relationship Id="rId6" Type="http://schemas.openxmlformats.org/officeDocument/2006/relationships/hyperlink" Target="mailto:kyshin57@hotmail.com" TargetMode="External" /><Relationship Id="rId11" Type="http://schemas.openxmlformats.org/officeDocument/2006/relationships/hyperlink" Target="mailto:sjna@lgchem.com" TargetMode="External" /><Relationship Id="rId5" Type="http://schemas.openxmlformats.org/officeDocument/2006/relationships/hyperlink" Target="mailto:gshan@doowon.ac.kr" TargetMode="External" /><Relationship Id="rId10" Type="http://schemas.openxmlformats.org/officeDocument/2006/relationships/hyperlink" Target="mailto:hykim@sarang.org" TargetMode="External" /><Relationship Id="rId4" Type="http://schemas.openxmlformats.org/officeDocument/2006/relationships/hyperlink" Target="mailto:bslee@kdnetwork.co.kr" TargetMode="External" /><Relationship Id="rId9" Type="http://schemas.openxmlformats.org/officeDocument/2006/relationships/hyperlink" Target="mailto:cedent@korea.com" TargetMode="External" 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eo@anlang.com" TargetMode="External" /><Relationship Id="rId13" Type="http://schemas.openxmlformats.org/officeDocument/2006/relationships/hyperlink" Target="mailto:bearc@paran.com" TargetMode="External" /><Relationship Id="rId18" Type="http://schemas.openxmlformats.org/officeDocument/2006/relationships/hyperlink" Target="mailto:kkj@buttle.cn" TargetMode="External" /><Relationship Id="rId26" Type="http://schemas.openxmlformats.org/officeDocument/2006/relationships/hyperlink" Target="mailto:dangdailiren@163.com" TargetMode="External" /><Relationship Id="rId3" Type="http://schemas.openxmlformats.org/officeDocument/2006/relationships/hyperlink" Target="mailto:ratecle@hanmail.net" TargetMode="External" /><Relationship Id="rId21" Type="http://schemas.openxmlformats.org/officeDocument/2006/relationships/hyperlink" Target="mailto:hsyoon@pulmuone.co.kr" TargetMode="External" /><Relationship Id="rId7" Type="http://schemas.openxmlformats.org/officeDocument/2006/relationships/hyperlink" Target="mailto:huryunbum@hanmail.net" TargetMode="External" /><Relationship Id="rId12" Type="http://schemas.openxmlformats.org/officeDocument/2006/relationships/hyperlink" Target="mailto:syoon@ktbvc.com" TargetMode="External" /><Relationship Id="rId17" Type="http://schemas.openxmlformats.org/officeDocument/2006/relationships/hyperlink" Target="mailto:stragos@sktelecom.com" TargetMode="External" /><Relationship Id="rId25" Type="http://schemas.openxmlformats.org/officeDocument/2006/relationships/hyperlink" Target="mailto:yjeun@sgacorp.kr" TargetMode="External" /><Relationship Id="rId2" Type="http://schemas.openxmlformats.org/officeDocument/2006/relationships/hyperlink" Target="mailto:issuechina@yahoo.co.kr" TargetMode="External" /><Relationship Id="rId16" Type="http://schemas.openxmlformats.org/officeDocument/2006/relationships/hyperlink" Target="mailto:jay1kang@hotmail.net" TargetMode="External" /><Relationship Id="rId20" Type="http://schemas.openxmlformats.org/officeDocument/2006/relationships/hyperlink" Target="http://mail2.daum.net/hanmail/mail/MailComposeFrame.daum?TO=wonki@kt.com" TargetMode="External" /><Relationship Id="rId1" Type="http://schemas.openxmlformats.org/officeDocument/2006/relationships/hyperlink" Target="mailto:mskims@chol.com" TargetMode="External" /><Relationship Id="rId6" Type="http://schemas.openxmlformats.org/officeDocument/2006/relationships/hyperlink" Target="mailto:harbinjhk@hanmail.net" TargetMode="External" /><Relationship Id="rId11" Type="http://schemas.openxmlformats.org/officeDocument/2006/relationships/hyperlink" Target="mailto:jcnoh@sk.com" TargetMode="External" /><Relationship Id="rId24" Type="http://schemas.openxmlformats.org/officeDocument/2006/relationships/hyperlink" Target="mailto:parkmb5511@gmail.com" TargetMode="External" /><Relationship Id="rId5" Type="http://schemas.openxmlformats.org/officeDocument/2006/relationships/hyperlink" Target="mailto:ceoland8@hanmail.net" TargetMode="External" /><Relationship Id="rId15" Type="http://schemas.openxmlformats.org/officeDocument/2006/relationships/hyperlink" Target="mailto:hsko@cj.net" TargetMode="External" /><Relationship Id="rId23" Type="http://schemas.openxmlformats.org/officeDocument/2006/relationships/hyperlink" Target="mailto:kimyoungjoon2007@hotmail.com" TargetMode="External" /><Relationship Id="rId10" Type="http://schemas.openxmlformats.org/officeDocument/2006/relationships/hyperlink" Target="mailto:chhong@hyundai.com" TargetMode="External" /><Relationship Id="rId19" Type="http://schemas.openxmlformats.org/officeDocument/2006/relationships/hyperlink" Target="mailto:sjna08@naver.com" TargetMode="External" /><Relationship Id="rId4" Type="http://schemas.openxmlformats.org/officeDocument/2006/relationships/hyperlink" Target="mailto:suhanmr@hanmail.net" TargetMode="External" /><Relationship Id="rId9" Type="http://schemas.openxmlformats.org/officeDocument/2006/relationships/hyperlink" Target="mailto:ktim@sk.com.cn" TargetMode="External" /><Relationship Id="rId14" Type="http://schemas.openxmlformats.org/officeDocument/2006/relationships/hyperlink" Target="mailto:chinapae@gmail.com" TargetMode="External" /><Relationship Id="rId22" Type="http://schemas.openxmlformats.org/officeDocument/2006/relationships/hyperlink" Target="mailto:khkim@orion.com.cn" TargetMode="External" 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richard@kstradingcorp.com" TargetMode="External" /><Relationship Id="rId13" Type="http://schemas.openxmlformats.org/officeDocument/2006/relationships/hyperlink" Target="mailto:chungbowon@yahoo.co.kr" TargetMode="External" /><Relationship Id="rId18" Type="http://schemas.openxmlformats.org/officeDocument/2006/relationships/hyperlink" Target="mailto:ilkwan74@yahoo.co.kr" TargetMode="External" /><Relationship Id="rId26" Type="http://schemas.openxmlformats.org/officeDocument/2006/relationships/hyperlink" Target="mailto:ksm357@hotmail.com" TargetMode="External" /><Relationship Id="rId39" Type="http://schemas.openxmlformats.org/officeDocument/2006/relationships/hyperlink" Target="mailto:sungraichoi@hanmai.net" TargetMode="External" /><Relationship Id="rId3" Type="http://schemas.openxmlformats.org/officeDocument/2006/relationships/hyperlink" Target="mailto:jbk44@hanmail.net" TargetMode="External" /><Relationship Id="rId21" Type="http://schemas.openxmlformats.org/officeDocument/2006/relationships/hyperlink" Target="mailto:jsc@kumho.khe.co.kr" TargetMode="External" /><Relationship Id="rId34" Type="http://schemas.openxmlformats.org/officeDocument/2006/relationships/hyperlink" Target="mailto:jhchoe@kmi.re.kr" TargetMode="External" /><Relationship Id="rId42" Type="http://schemas.openxmlformats.org/officeDocument/2006/relationships/hyperlink" Target="mailto:zombieryu@hotmail.com" TargetMode="External" /><Relationship Id="rId7" Type="http://schemas.openxmlformats.org/officeDocument/2006/relationships/hyperlink" Target="mailto:mshong123@gmail.com" TargetMode="External" /><Relationship Id="rId12" Type="http://schemas.openxmlformats.org/officeDocument/2006/relationships/hyperlink" Target="mailto:2572593@hyunday-motor.com" TargetMode="External" /><Relationship Id="rId17" Type="http://schemas.openxmlformats.org/officeDocument/2006/relationships/hyperlink" Target="mailto:jwlee88888@hotmail.com" TargetMode="External" /><Relationship Id="rId25" Type="http://schemas.openxmlformats.org/officeDocument/2006/relationships/hyperlink" Target="mailto:sungjyoon@hanmail.net" TargetMode="External" /><Relationship Id="rId33" Type="http://schemas.openxmlformats.org/officeDocument/2006/relationships/hyperlink" Target="mailto:kjsoo2006@daum.net" TargetMode="External" /><Relationship Id="rId38" Type="http://schemas.openxmlformats.org/officeDocument/2006/relationships/hyperlink" Target="mailto:kspark@kdb.co.kr" TargetMode="External" /><Relationship Id="rId2" Type="http://schemas.openxmlformats.org/officeDocument/2006/relationships/hyperlink" Target="mailto:choii9872@gmail.com" TargetMode="External" /><Relationship Id="rId16" Type="http://schemas.openxmlformats.org/officeDocument/2006/relationships/hyperlink" Target="mailto:proskh@hanmail.net" TargetMode="External" /><Relationship Id="rId20" Type="http://schemas.openxmlformats.org/officeDocument/2006/relationships/hyperlink" Target="mailto:tbsohn@hyosung.com" TargetMode="External" /><Relationship Id="rId29" Type="http://schemas.openxmlformats.org/officeDocument/2006/relationships/hyperlink" Target="mailto:smyun80@mofat.go.kr" TargetMode="External" /><Relationship Id="rId41" Type="http://schemas.openxmlformats.org/officeDocument/2006/relationships/hyperlink" Target="http://mail2.daum.net/hanmail/mail/MailComposeFrame.daum?TO=james@vpalm.net" TargetMode="External" /><Relationship Id="rId1" Type="http://schemas.openxmlformats.org/officeDocument/2006/relationships/hyperlink" Target="mailto:mskims@chol.com" TargetMode="External" /><Relationship Id="rId6" Type="http://schemas.openxmlformats.org/officeDocument/2006/relationships/hyperlink" Target="mailto:chunsw@ibols.com" TargetMode="External" /><Relationship Id="rId11" Type="http://schemas.openxmlformats.org/officeDocument/2006/relationships/hyperlink" Target="mailto:songhw-cn@danu.com.cn" TargetMode="External" /><Relationship Id="rId24" Type="http://schemas.openxmlformats.org/officeDocument/2006/relationships/hyperlink" Target="mailto:leeik919@gmail.com" TargetMode="External" /><Relationship Id="rId32" Type="http://schemas.openxmlformats.org/officeDocument/2006/relationships/hyperlink" Target="mailto:msku@hyundaicorp.com" TargetMode="External" /><Relationship Id="rId37" Type="http://schemas.openxmlformats.org/officeDocument/2006/relationships/hyperlink" Target="mailto:bergsong@waxon.co.kr" TargetMode="External" /><Relationship Id="rId40" Type="http://schemas.openxmlformats.org/officeDocument/2006/relationships/hyperlink" Target="mailto:deonnet@hanmail.net" TargetMode="External" /><Relationship Id="rId5" Type="http://schemas.openxmlformats.org/officeDocument/2006/relationships/hyperlink" Target="mailto:ejoonchung@hotmail.com" TargetMode="External" /><Relationship Id="rId15" Type="http://schemas.openxmlformats.org/officeDocument/2006/relationships/hyperlink" Target="mailto:nawho89@hanmail.net" TargetMode="External" /><Relationship Id="rId23" Type="http://schemas.openxmlformats.org/officeDocument/2006/relationships/hyperlink" Target="mailto:yhkang2003@hotmail.com" TargetMode="External" /><Relationship Id="rId28" Type="http://schemas.openxmlformats.org/officeDocument/2006/relationships/hyperlink" Target="mailto:cher991@hanmail.net" TargetMode="External" /><Relationship Id="rId36" Type="http://schemas.openxmlformats.org/officeDocument/2006/relationships/hyperlink" Target="mailto:gsm98@hanmail.net" TargetMode="External" /><Relationship Id="rId10" Type="http://schemas.openxmlformats.org/officeDocument/2006/relationships/hyperlink" Target="mailto:optchung@naver.com" TargetMode="External" /><Relationship Id="rId19" Type="http://schemas.openxmlformats.org/officeDocument/2006/relationships/hyperlink" Target="mailto:kshong@hyosung.com" TargetMode="External" /><Relationship Id="rId31" Type="http://schemas.openxmlformats.org/officeDocument/2006/relationships/hyperlink" Target="mailto:kwkim310@gmail.com" TargetMode="External" /><Relationship Id="rId44" Type="http://schemas.openxmlformats.org/officeDocument/2006/relationships/hyperlink" Target="mailto:sueinrain@daum.net" TargetMode="External" /><Relationship Id="rId4" Type="http://schemas.openxmlformats.org/officeDocument/2006/relationships/hyperlink" Target="mailto:robinyoo64@hanmail.net" TargetMode="External" /><Relationship Id="rId9" Type="http://schemas.openxmlformats.org/officeDocument/2006/relationships/hyperlink" Target="mailto:KIMMW@NAVER.COM" TargetMode="External" /><Relationship Id="rId14" Type="http://schemas.openxmlformats.org/officeDocument/2006/relationships/hyperlink" Target="mailto:sangtae24@naver.com" TargetMode="External" /><Relationship Id="rId22" Type="http://schemas.openxmlformats.org/officeDocument/2006/relationships/hyperlink" Target="mailto:Tksghcl@naver.com" TargetMode="External" /><Relationship Id="rId27" Type="http://schemas.openxmlformats.org/officeDocument/2006/relationships/hyperlink" Target="mailto:victorromeo@korea.com" TargetMode="External" /><Relationship Id="rId30" Type="http://schemas.openxmlformats.org/officeDocument/2006/relationships/hyperlink" Target="mailto:sjna08@naver.com" TargetMode="External" /><Relationship Id="rId35" Type="http://schemas.openxmlformats.org/officeDocument/2006/relationships/hyperlink" Target="mailto:ochoongyul@sempio.com" TargetMode="External" /><Relationship Id="rId43" Type="http://schemas.openxmlformats.org/officeDocument/2006/relationships/hyperlink" Target="mailto:heon.s.kim@samsung.com" TargetMode="External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37"/>
  <sheetViews>
    <sheetView topLeftCell="A1117" workbookViewId="0">
      <selection activeCell="F17" sqref="F16:F17"/>
    </sheetView>
  </sheetViews>
  <sheetFormatPr defaultRowHeight="13.5" x14ac:dyDescent="0.1"/>
  <cols>
    <col min="1" max="1" width="16.01953125" customWidth="1"/>
    <col min="2" max="2" width="21.984375" customWidth="1"/>
    <col min="3" max="3" width="19.99609375" customWidth="1"/>
    <col min="5" max="5" width="18.0078125" customWidth="1"/>
    <col min="6" max="6" width="21.984375" customWidth="1"/>
  </cols>
  <sheetData>
    <row r="1" spans="1:6" x14ac:dyDescent="0.15">
      <c r="A1" s="1" t="s">
        <v>0</v>
      </c>
      <c r="C1" s="1" t="s">
        <v>1</v>
      </c>
      <c r="F1" s="1" t="s">
        <v>2</v>
      </c>
    </row>
    <row r="2" spans="1:6" x14ac:dyDescent="0.15">
      <c r="A2" s="1" t="s">
        <v>0</v>
      </c>
      <c r="C2" s="1" t="s">
        <v>3</v>
      </c>
      <c r="F2" s="1" t="s">
        <v>4</v>
      </c>
    </row>
    <row r="3" spans="1:6" x14ac:dyDescent="0.15">
      <c r="A3" s="1" t="s">
        <v>0</v>
      </c>
      <c r="C3" s="1" t="s">
        <v>5</v>
      </c>
      <c r="F3" s="1" t="s">
        <v>6</v>
      </c>
    </row>
    <row r="4" spans="1:6" x14ac:dyDescent="0.15">
      <c r="A4" s="1" t="s">
        <v>0</v>
      </c>
      <c r="C4" s="1" t="s">
        <v>7</v>
      </c>
      <c r="F4" s="1" t="s">
        <v>8</v>
      </c>
    </row>
    <row r="5" spans="1:6" x14ac:dyDescent="0.15">
      <c r="A5" s="1" t="s">
        <v>0</v>
      </c>
      <c r="C5" s="1" t="s">
        <v>9</v>
      </c>
      <c r="F5" s="1" t="s">
        <v>10</v>
      </c>
    </row>
    <row r="6" spans="1:6" x14ac:dyDescent="0.15">
      <c r="A6" s="1" t="s">
        <v>0</v>
      </c>
      <c r="C6" s="1" t="s">
        <v>11</v>
      </c>
      <c r="F6" s="1" t="s">
        <v>12</v>
      </c>
    </row>
    <row r="7" spans="1:6" x14ac:dyDescent="0.15">
      <c r="A7" s="1" t="s">
        <v>0</v>
      </c>
      <c r="C7" s="1" t="s">
        <v>13</v>
      </c>
      <c r="F7" s="1" t="s">
        <v>14</v>
      </c>
    </row>
    <row r="8" spans="1:6" x14ac:dyDescent="0.15">
      <c r="A8" s="1" t="s">
        <v>0</v>
      </c>
      <c r="C8" s="1" t="s">
        <v>15</v>
      </c>
      <c r="F8" s="1" t="s">
        <v>16</v>
      </c>
    </row>
    <row r="9" spans="1:6" x14ac:dyDescent="0.15">
      <c r="A9" s="1" t="s">
        <v>0</v>
      </c>
      <c r="C9" s="1" t="s">
        <v>17</v>
      </c>
      <c r="F9" s="1" t="s">
        <v>18</v>
      </c>
    </row>
    <row r="10" spans="1:6" x14ac:dyDescent="0.15">
      <c r="A10" s="1" t="s">
        <v>0</v>
      </c>
      <c r="C10" s="1" t="s">
        <v>19</v>
      </c>
    </row>
    <row r="11" spans="1:6" x14ac:dyDescent="0.15">
      <c r="A11" s="1" t="s">
        <v>0</v>
      </c>
      <c r="C11" s="1" t="s">
        <v>20</v>
      </c>
      <c r="F11" s="1" t="s">
        <v>21</v>
      </c>
    </row>
    <row r="12" spans="1:6" x14ac:dyDescent="0.15">
      <c r="A12" s="1" t="s">
        <v>0</v>
      </c>
      <c r="C12" s="1" t="s">
        <v>22</v>
      </c>
      <c r="F12" s="1" t="s">
        <v>23</v>
      </c>
    </row>
    <row r="13" spans="1:6" x14ac:dyDescent="0.15">
      <c r="A13" s="1" t="s">
        <v>0</v>
      </c>
      <c r="C13" s="1" t="s">
        <v>24</v>
      </c>
      <c r="F13" s="1" t="s">
        <v>25</v>
      </c>
    </row>
    <row r="14" spans="1:6" x14ac:dyDescent="0.15">
      <c r="A14" s="1" t="s">
        <v>0</v>
      </c>
      <c r="C14" s="1" t="s">
        <v>26</v>
      </c>
      <c r="F14" s="1" t="s">
        <v>27</v>
      </c>
    </row>
    <row r="15" spans="1:6" x14ac:dyDescent="0.15">
      <c r="A15" s="1" t="s">
        <v>0</v>
      </c>
      <c r="C15" s="1" t="s">
        <v>28</v>
      </c>
      <c r="F15" s="1" t="s">
        <v>29</v>
      </c>
    </row>
    <row r="16" spans="1:6" x14ac:dyDescent="0.15">
      <c r="A16" s="1" t="s">
        <v>0</v>
      </c>
      <c r="C16" s="1" t="s">
        <v>30</v>
      </c>
      <c r="F16" s="1" t="s">
        <v>31</v>
      </c>
    </row>
    <row r="17" spans="1:49" x14ac:dyDescent="0.15">
      <c r="A17" s="1" t="s">
        <v>0</v>
      </c>
      <c r="C17" s="1" t="s">
        <v>32</v>
      </c>
      <c r="F17" s="1" t="s">
        <v>33</v>
      </c>
    </row>
    <row r="18" spans="1:49" x14ac:dyDescent="0.15">
      <c r="A18" s="1" t="s">
        <v>0</v>
      </c>
      <c r="C18" s="1" t="s">
        <v>34</v>
      </c>
      <c r="F18" s="1" t="s">
        <v>35</v>
      </c>
    </row>
    <row r="19" spans="1:49" x14ac:dyDescent="0.15">
      <c r="A19" s="1" t="s">
        <v>0</v>
      </c>
      <c r="C19" s="1" t="s">
        <v>36</v>
      </c>
      <c r="F19" s="1" t="s">
        <v>37</v>
      </c>
    </row>
    <row r="20" spans="1:49" x14ac:dyDescent="0.15">
      <c r="A20" s="1" t="s">
        <v>0</v>
      </c>
      <c r="C20" s="1" t="s">
        <v>38</v>
      </c>
      <c r="F20" s="1" t="s">
        <v>39</v>
      </c>
    </row>
    <row r="21" spans="1:49" x14ac:dyDescent="0.15">
      <c r="A21" s="1" t="s">
        <v>0</v>
      </c>
      <c r="C21" s="1" t="s">
        <v>40</v>
      </c>
      <c r="F21" s="1" t="s">
        <v>41</v>
      </c>
    </row>
    <row r="22" spans="1:49" x14ac:dyDescent="0.15">
      <c r="A22" s="1" t="s">
        <v>0</v>
      </c>
      <c r="C22" s="1" t="s">
        <v>42</v>
      </c>
      <c r="F22" s="1" t="s">
        <v>43</v>
      </c>
    </row>
    <row r="23" spans="1:49" x14ac:dyDescent="0.15">
      <c r="A23" s="1" t="s">
        <v>0</v>
      </c>
      <c r="C23" s="1" t="s">
        <v>44</v>
      </c>
    </row>
    <row r="24" spans="1:49" x14ac:dyDescent="0.15">
      <c r="A24" s="1" t="s">
        <v>0</v>
      </c>
      <c r="C24" s="1" t="s">
        <v>45</v>
      </c>
      <c r="F24" s="1" t="s">
        <v>46</v>
      </c>
    </row>
    <row r="25" spans="1:49" x14ac:dyDescent="0.15">
      <c r="A25" s="1" t="s">
        <v>0</v>
      </c>
      <c r="C25" s="1" t="s">
        <v>47</v>
      </c>
      <c r="F25" s="1" t="s">
        <v>48</v>
      </c>
    </row>
    <row r="26" spans="1:49" x14ac:dyDescent="0.15">
      <c r="A26" s="1" t="s">
        <v>0</v>
      </c>
      <c r="C26" s="1" t="s">
        <v>49</v>
      </c>
      <c r="F26" s="1" t="s">
        <v>50</v>
      </c>
    </row>
    <row r="27" spans="1:49" x14ac:dyDescent="0.15">
      <c r="A27" s="1" t="s">
        <v>0</v>
      </c>
      <c r="C27" s="1" t="s">
        <v>51</v>
      </c>
      <c r="F27" s="1" t="s">
        <v>52</v>
      </c>
    </row>
    <row r="28" spans="1:49" x14ac:dyDescent="0.15">
      <c r="A28" s="1" t="s">
        <v>0</v>
      </c>
      <c r="C28" s="1" t="s">
        <v>53</v>
      </c>
      <c r="F28" s="1" t="s">
        <v>54</v>
      </c>
    </row>
    <row r="29" spans="1:49" x14ac:dyDescent="0.15">
      <c r="A29" s="1" t="s">
        <v>0</v>
      </c>
      <c r="C29" s="1" t="s">
        <v>55</v>
      </c>
      <c r="F29" s="1" t="s">
        <v>56</v>
      </c>
    </row>
    <row r="30" spans="1:49" x14ac:dyDescent="0.15">
      <c r="A30" s="1" t="s">
        <v>0</v>
      </c>
      <c r="C30" s="1" t="s">
        <v>57</v>
      </c>
    </row>
    <row r="31" spans="1:49" x14ac:dyDescent="0.15">
      <c r="A31" s="1" t="s">
        <v>58</v>
      </c>
      <c r="C31" s="1" t="s">
        <v>59</v>
      </c>
      <c r="F31" s="1" t="s">
        <v>60</v>
      </c>
      <c r="AW31" s="1" t="s">
        <v>61</v>
      </c>
    </row>
    <row r="32" spans="1:49" x14ac:dyDescent="0.15">
      <c r="A32" s="1" t="s">
        <v>58</v>
      </c>
      <c r="C32" s="1" t="s">
        <v>62</v>
      </c>
      <c r="F32" s="1" t="s">
        <v>63</v>
      </c>
    </row>
    <row r="33" spans="1:6" x14ac:dyDescent="0.15">
      <c r="A33" s="1" t="s">
        <v>58</v>
      </c>
      <c r="C33" s="1" t="s">
        <v>64</v>
      </c>
      <c r="F33" s="1" t="s">
        <v>65</v>
      </c>
    </row>
    <row r="34" spans="1:6" x14ac:dyDescent="0.15">
      <c r="A34" s="1" t="s">
        <v>58</v>
      </c>
      <c r="C34" s="1" t="s">
        <v>66</v>
      </c>
      <c r="F34" s="1" t="s">
        <v>67</v>
      </c>
    </row>
    <row r="35" spans="1:6" x14ac:dyDescent="0.15">
      <c r="A35" s="1" t="s">
        <v>58</v>
      </c>
      <c r="C35" s="1" t="s">
        <v>68</v>
      </c>
      <c r="F35" s="1" t="s">
        <v>69</v>
      </c>
    </row>
    <row r="36" spans="1:6" x14ac:dyDescent="0.15">
      <c r="A36" s="1" t="s">
        <v>58</v>
      </c>
      <c r="C36" s="1" t="s">
        <v>70</v>
      </c>
      <c r="F36" s="1" t="s">
        <v>71</v>
      </c>
    </row>
    <row r="37" spans="1:6" x14ac:dyDescent="0.15">
      <c r="A37" s="1" t="s">
        <v>58</v>
      </c>
      <c r="C37" s="1" t="s">
        <v>72</v>
      </c>
      <c r="F37" s="1" t="s">
        <v>73</v>
      </c>
    </row>
    <row r="38" spans="1:6" x14ac:dyDescent="0.15">
      <c r="A38" s="1" t="s">
        <v>58</v>
      </c>
      <c r="C38" s="1" t="s">
        <v>74</v>
      </c>
      <c r="F38" s="1" t="s">
        <v>75</v>
      </c>
    </row>
    <row r="39" spans="1:6" x14ac:dyDescent="0.15">
      <c r="A39" s="1" t="s">
        <v>58</v>
      </c>
      <c r="C39" s="1" t="s">
        <v>76</v>
      </c>
      <c r="F39" s="1" t="s">
        <v>77</v>
      </c>
    </row>
    <row r="40" spans="1:6" x14ac:dyDescent="0.15">
      <c r="A40" s="1" t="s">
        <v>58</v>
      </c>
      <c r="C40" s="1" t="s">
        <v>78</v>
      </c>
      <c r="F40" s="1" t="s">
        <v>79</v>
      </c>
    </row>
    <row r="41" spans="1:6" x14ac:dyDescent="0.15">
      <c r="A41" s="1" t="s">
        <v>80</v>
      </c>
      <c r="C41" s="1" t="s">
        <v>81</v>
      </c>
      <c r="F41" s="1" t="s">
        <v>82</v>
      </c>
    </row>
    <row r="42" spans="1:6" x14ac:dyDescent="0.15">
      <c r="A42" s="1" t="s">
        <v>80</v>
      </c>
      <c r="C42" s="1" t="s">
        <v>83</v>
      </c>
      <c r="F42" s="1" t="s">
        <v>84</v>
      </c>
    </row>
    <row r="43" spans="1:6" x14ac:dyDescent="0.15">
      <c r="A43" s="1" t="s">
        <v>80</v>
      </c>
      <c r="C43" s="1" t="s">
        <v>85</v>
      </c>
      <c r="F43" s="1" t="s">
        <v>86</v>
      </c>
    </row>
    <row r="44" spans="1:6" x14ac:dyDescent="0.15">
      <c r="A44" s="1" t="s">
        <v>80</v>
      </c>
      <c r="C44" s="1" t="s">
        <v>87</v>
      </c>
      <c r="F44" s="1" t="s">
        <v>88</v>
      </c>
    </row>
    <row r="45" spans="1:6" x14ac:dyDescent="0.15">
      <c r="A45" s="1" t="s">
        <v>80</v>
      </c>
      <c r="C45" s="1" t="s">
        <v>89</v>
      </c>
      <c r="F45" s="1" t="s">
        <v>90</v>
      </c>
    </row>
    <row r="46" spans="1:6" x14ac:dyDescent="0.15">
      <c r="A46" s="1" t="s">
        <v>80</v>
      </c>
      <c r="C46" s="1" t="s">
        <v>91</v>
      </c>
      <c r="F46" s="1" t="s">
        <v>92</v>
      </c>
    </row>
    <row r="47" spans="1:6" x14ac:dyDescent="0.15">
      <c r="A47" s="1" t="s">
        <v>80</v>
      </c>
      <c r="C47" s="1" t="s">
        <v>93</v>
      </c>
      <c r="F47" s="1" t="s">
        <v>94</v>
      </c>
    </row>
    <row r="48" spans="1:6" x14ac:dyDescent="0.15">
      <c r="A48" s="1" t="s">
        <v>80</v>
      </c>
      <c r="C48" s="1" t="s">
        <v>95</v>
      </c>
      <c r="F48" s="1" t="s">
        <v>96</v>
      </c>
    </row>
    <row r="49" spans="1:6" x14ac:dyDescent="0.15">
      <c r="A49" s="1" t="s">
        <v>80</v>
      </c>
      <c r="C49" s="1" t="s">
        <v>97</v>
      </c>
      <c r="F49" s="1" t="s">
        <v>98</v>
      </c>
    </row>
    <row r="50" spans="1:6" x14ac:dyDescent="0.15">
      <c r="A50" s="1" t="s">
        <v>80</v>
      </c>
      <c r="C50" s="1" t="s">
        <v>99</v>
      </c>
      <c r="F50" s="1" t="s">
        <v>100</v>
      </c>
    </row>
    <row r="51" spans="1:6" x14ac:dyDescent="0.15">
      <c r="A51" s="1" t="s">
        <v>80</v>
      </c>
      <c r="C51" s="1" t="s">
        <v>101</v>
      </c>
      <c r="F51" s="1" t="s">
        <v>102</v>
      </c>
    </row>
    <row r="52" spans="1:6" x14ac:dyDescent="0.15">
      <c r="A52" s="1" t="s">
        <v>80</v>
      </c>
      <c r="C52" s="1" t="s">
        <v>103</v>
      </c>
      <c r="F52" s="1" t="s">
        <v>104</v>
      </c>
    </row>
    <row r="53" spans="1:6" x14ac:dyDescent="0.15">
      <c r="A53" s="1" t="s">
        <v>80</v>
      </c>
      <c r="C53" s="1" t="s">
        <v>105</v>
      </c>
      <c r="F53" s="1" t="s">
        <v>106</v>
      </c>
    </row>
    <row r="54" spans="1:6" x14ac:dyDescent="0.15">
      <c r="A54" s="1" t="s">
        <v>80</v>
      </c>
      <c r="C54" s="1" t="s">
        <v>107</v>
      </c>
      <c r="F54" s="1" t="s">
        <v>108</v>
      </c>
    </row>
    <row r="55" spans="1:6" x14ac:dyDescent="0.15">
      <c r="A55" s="1" t="s">
        <v>80</v>
      </c>
      <c r="C55" s="1" t="s">
        <v>109</v>
      </c>
      <c r="F55" s="1" t="s">
        <v>110</v>
      </c>
    </row>
    <row r="56" spans="1:6" x14ac:dyDescent="0.15">
      <c r="A56" s="1" t="s">
        <v>80</v>
      </c>
      <c r="C56" s="1" t="s">
        <v>111</v>
      </c>
      <c r="F56" s="1" t="s">
        <v>112</v>
      </c>
    </row>
    <row r="57" spans="1:6" x14ac:dyDescent="0.15">
      <c r="A57" s="1" t="s">
        <v>80</v>
      </c>
      <c r="C57" s="1" t="s">
        <v>113</v>
      </c>
      <c r="F57" s="1" t="s">
        <v>114</v>
      </c>
    </row>
    <row r="58" spans="1:6" x14ac:dyDescent="0.15">
      <c r="A58" s="1" t="s">
        <v>80</v>
      </c>
      <c r="C58" s="1" t="s">
        <v>115</v>
      </c>
      <c r="F58" s="1" t="s">
        <v>116</v>
      </c>
    </row>
    <row r="59" spans="1:6" x14ac:dyDescent="0.15">
      <c r="A59" s="1" t="s">
        <v>80</v>
      </c>
      <c r="C59" s="1" t="s">
        <v>117</v>
      </c>
      <c r="F59" s="1" t="s">
        <v>118</v>
      </c>
    </row>
    <row r="60" spans="1:6" x14ac:dyDescent="0.15">
      <c r="A60" s="1" t="s">
        <v>80</v>
      </c>
      <c r="C60" s="1" t="s">
        <v>119</v>
      </c>
      <c r="F60" s="1" t="s">
        <v>120</v>
      </c>
    </row>
    <row r="61" spans="1:6" x14ac:dyDescent="0.15">
      <c r="A61" s="1" t="s">
        <v>80</v>
      </c>
      <c r="C61" s="1" t="s">
        <v>121</v>
      </c>
      <c r="F61" s="1" t="s">
        <v>122</v>
      </c>
    </row>
    <row r="62" spans="1:6" x14ac:dyDescent="0.15">
      <c r="A62" s="1" t="s">
        <v>80</v>
      </c>
      <c r="C62" s="1" t="s">
        <v>123</v>
      </c>
      <c r="F62" s="1" t="s">
        <v>124</v>
      </c>
    </row>
    <row r="63" spans="1:6" x14ac:dyDescent="0.15">
      <c r="A63" s="1" t="s">
        <v>80</v>
      </c>
      <c r="C63" s="1" t="s">
        <v>125</v>
      </c>
      <c r="F63" s="1" t="s">
        <v>126</v>
      </c>
    </row>
    <row r="64" spans="1:6" x14ac:dyDescent="0.15">
      <c r="A64" s="1" t="s">
        <v>80</v>
      </c>
      <c r="C64" s="1" t="s">
        <v>127</v>
      </c>
      <c r="F64" s="1" t="s">
        <v>128</v>
      </c>
    </row>
    <row r="65" spans="1:49" x14ac:dyDescent="0.15">
      <c r="A65" s="1" t="s">
        <v>80</v>
      </c>
      <c r="C65" s="1" t="s">
        <v>129</v>
      </c>
      <c r="F65" s="1" t="s">
        <v>130</v>
      </c>
    </row>
    <row r="66" spans="1:49" x14ac:dyDescent="0.15">
      <c r="A66" s="1" t="s">
        <v>80</v>
      </c>
      <c r="C66" s="1" t="s">
        <v>131</v>
      </c>
      <c r="F66" s="1" t="s">
        <v>132</v>
      </c>
    </row>
    <row r="67" spans="1:49" x14ac:dyDescent="0.15">
      <c r="A67" s="1" t="s">
        <v>80</v>
      </c>
      <c r="C67" s="1" t="s">
        <v>133</v>
      </c>
      <c r="F67" s="1" t="s">
        <v>134</v>
      </c>
    </row>
    <row r="68" spans="1:49" x14ac:dyDescent="0.15">
      <c r="A68" s="1" t="s">
        <v>80</v>
      </c>
      <c r="C68" s="1" t="s">
        <v>135</v>
      </c>
      <c r="F68" s="1" t="s">
        <v>136</v>
      </c>
    </row>
    <row r="69" spans="1:49" x14ac:dyDescent="0.15">
      <c r="A69" s="1" t="s">
        <v>80</v>
      </c>
      <c r="C69" s="1" t="s">
        <v>137</v>
      </c>
      <c r="F69" s="1" t="s">
        <v>138</v>
      </c>
    </row>
    <row r="70" spans="1:49" x14ac:dyDescent="0.15">
      <c r="A70" s="1" t="s">
        <v>80</v>
      </c>
      <c r="C70" s="1" t="s">
        <v>139</v>
      </c>
      <c r="F70" s="1" t="s">
        <v>140</v>
      </c>
    </row>
    <row r="71" spans="1:49" x14ac:dyDescent="0.15">
      <c r="A71" s="1" t="s">
        <v>141</v>
      </c>
      <c r="C71" s="1" t="s">
        <v>5</v>
      </c>
      <c r="F71" s="1" t="s">
        <v>142</v>
      </c>
    </row>
    <row r="72" spans="1:49" x14ac:dyDescent="0.15">
      <c r="A72" s="1" t="s">
        <v>141</v>
      </c>
      <c r="C72" s="1" t="s">
        <v>143</v>
      </c>
      <c r="F72" s="1" t="s">
        <v>144</v>
      </c>
    </row>
    <row r="73" spans="1:49" x14ac:dyDescent="0.15">
      <c r="A73" s="1" t="s">
        <v>145</v>
      </c>
      <c r="C73" s="1" t="s">
        <v>146</v>
      </c>
      <c r="F73" s="1" t="s">
        <v>147</v>
      </c>
      <c r="N73" s="1" t="s">
        <v>148</v>
      </c>
      <c r="O73" s="1" t="s">
        <v>149</v>
      </c>
    </row>
    <row r="74" spans="1:49" x14ac:dyDescent="0.15">
      <c r="A74" s="1" t="s">
        <v>145</v>
      </c>
      <c r="C74" s="1" t="s">
        <v>150</v>
      </c>
      <c r="F74" s="1" t="s">
        <v>151</v>
      </c>
      <c r="N74" s="1"/>
      <c r="O74" s="1" t="s">
        <v>149</v>
      </c>
    </row>
    <row r="75" spans="1:49" x14ac:dyDescent="0.15">
      <c r="A75" s="1" t="s">
        <v>61</v>
      </c>
      <c r="C75" s="1" t="s">
        <v>59</v>
      </c>
      <c r="F75" s="1" t="s">
        <v>60</v>
      </c>
    </row>
    <row r="76" spans="1:49" x14ac:dyDescent="0.15">
      <c r="A76" s="1" t="s">
        <v>61</v>
      </c>
      <c r="B76" s="1" t="s">
        <v>152</v>
      </c>
      <c r="C76" s="1" t="s">
        <v>153</v>
      </c>
      <c r="F76" s="1" t="s">
        <v>154</v>
      </c>
      <c r="AW76" s="1" t="s">
        <v>155</v>
      </c>
    </row>
    <row r="77" spans="1:49" x14ac:dyDescent="0.15">
      <c r="A77" s="1" t="s">
        <v>61</v>
      </c>
      <c r="C77" s="1" t="s">
        <v>156</v>
      </c>
      <c r="F77" s="1" t="s">
        <v>157</v>
      </c>
    </row>
    <row r="78" spans="1:49" x14ac:dyDescent="0.15">
      <c r="A78" s="1" t="s">
        <v>61</v>
      </c>
      <c r="C78" s="1" t="s">
        <v>158</v>
      </c>
      <c r="F78" s="1" t="s">
        <v>159</v>
      </c>
      <c r="K78" s="1" t="s">
        <v>160</v>
      </c>
    </row>
    <row r="79" spans="1:49" x14ac:dyDescent="0.15">
      <c r="A79" s="1" t="s">
        <v>61</v>
      </c>
      <c r="B79" s="1" t="s">
        <v>161</v>
      </c>
      <c r="C79" s="1" t="s">
        <v>162</v>
      </c>
      <c r="F79" s="1" t="s">
        <v>163</v>
      </c>
      <c r="AW79" s="1" t="s">
        <v>155</v>
      </c>
    </row>
    <row r="80" spans="1:49" x14ac:dyDescent="0.15">
      <c r="A80" s="1" t="s">
        <v>164</v>
      </c>
      <c r="C80" s="1" t="s">
        <v>165</v>
      </c>
      <c r="F80" s="1" t="s">
        <v>166</v>
      </c>
    </row>
    <row r="81" spans="1:49" x14ac:dyDescent="0.15">
      <c r="A81" s="1" t="s">
        <v>164</v>
      </c>
      <c r="C81" s="1" t="s">
        <v>167</v>
      </c>
      <c r="F81" s="1" t="s">
        <v>168</v>
      </c>
    </row>
    <row r="82" spans="1:49" x14ac:dyDescent="0.15">
      <c r="A82" s="1" t="s">
        <v>164</v>
      </c>
      <c r="C82" s="1" t="s">
        <v>169</v>
      </c>
      <c r="F82" s="1" t="s">
        <v>170</v>
      </c>
    </row>
    <row r="83" spans="1:49" x14ac:dyDescent="0.15">
      <c r="A83" s="1" t="s">
        <v>164</v>
      </c>
      <c r="C83" s="1" t="s">
        <v>171</v>
      </c>
      <c r="F83" s="1" t="s">
        <v>172</v>
      </c>
      <c r="AW83" s="1" t="s">
        <v>155</v>
      </c>
    </row>
    <row r="84" spans="1:49" x14ac:dyDescent="0.15">
      <c r="A84" s="1" t="s">
        <v>164</v>
      </c>
      <c r="C84" s="1" t="s">
        <v>173</v>
      </c>
      <c r="F84" s="1" t="s">
        <v>174</v>
      </c>
      <c r="K84" s="1" t="s">
        <v>175</v>
      </c>
    </row>
    <row r="85" spans="1:49" x14ac:dyDescent="0.15">
      <c r="A85" s="1" t="s">
        <v>164</v>
      </c>
      <c r="C85" s="1" t="s">
        <v>176</v>
      </c>
      <c r="F85" s="1" t="s">
        <v>177</v>
      </c>
    </row>
    <row r="86" spans="1:49" x14ac:dyDescent="0.15">
      <c r="A86" s="1" t="s">
        <v>164</v>
      </c>
      <c r="C86" s="1" t="s">
        <v>178</v>
      </c>
      <c r="F86" s="1" t="s">
        <v>179</v>
      </c>
    </row>
    <row r="87" spans="1:49" x14ac:dyDescent="0.15">
      <c r="A87" s="1" t="s">
        <v>164</v>
      </c>
      <c r="C87" s="1" t="s">
        <v>180</v>
      </c>
      <c r="F87" s="1" t="s">
        <v>181</v>
      </c>
    </row>
    <row r="88" spans="1:49" x14ac:dyDescent="0.15">
      <c r="A88" s="1" t="s">
        <v>164</v>
      </c>
      <c r="C88" s="1" t="s">
        <v>182</v>
      </c>
      <c r="F88" s="1" t="s">
        <v>183</v>
      </c>
    </row>
    <row r="89" spans="1:49" x14ac:dyDescent="0.15">
      <c r="A89" s="1" t="s">
        <v>164</v>
      </c>
      <c r="C89" s="1" t="s">
        <v>184</v>
      </c>
      <c r="F89" s="1" t="s">
        <v>185</v>
      </c>
    </row>
    <row r="90" spans="1:49" x14ac:dyDescent="0.15">
      <c r="A90" s="1" t="s">
        <v>164</v>
      </c>
      <c r="C90" s="1" t="s">
        <v>186</v>
      </c>
      <c r="F90" s="1" t="s">
        <v>187</v>
      </c>
    </row>
    <row r="91" spans="1:49" x14ac:dyDescent="0.15">
      <c r="A91" s="1" t="s">
        <v>164</v>
      </c>
      <c r="C91" s="1" t="s">
        <v>188</v>
      </c>
      <c r="F91" s="1" t="s">
        <v>189</v>
      </c>
      <c r="AW91" s="1" t="s">
        <v>155</v>
      </c>
    </row>
    <row r="92" spans="1:49" x14ac:dyDescent="0.15">
      <c r="A92" s="1" t="s">
        <v>164</v>
      </c>
      <c r="C92" s="1" t="s">
        <v>190</v>
      </c>
      <c r="F92" s="1" t="s">
        <v>191</v>
      </c>
      <c r="AW92" s="1" t="s">
        <v>155</v>
      </c>
    </row>
    <row r="93" spans="1:49" x14ac:dyDescent="0.15">
      <c r="A93" s="1" t="s">
        <v>164</v>
      </c>
      <c r="C93" s="1" t="s">
        <v>192</v>
      </c>
      <c r="F93" s="1" t="s">
        <v>193</v>
      </c>
    </row>
    <row r="94" spans="1:49" x14ac:dyDescent="0.15">
      <c r="A94" s="1" t="s">
        <v>164</v>
      </c>
      <c r="C94" s="1" t="s">
        <v>194</v>
      </c>
      <c r="F94" s="1" t="s">
        <v>195</v>
      </c>
    </row>
    <row r="95" spans="1:49" x14ac:dyDescent="0.15">
      <c r="A95" s="1" t="s">
        <v>164</v>
      </c>
      <c r="C95" s="1" t="s">
        <v>196</v>
      </c>
      <c r="F95" s="1" t="s">
        <v>195</v>
      </c>
      <c r="AW95" s="1" t="s">
        <v>155</v>
      </c>
    </row>
    <row r="96" spans="1:49" x14ac:dyDescent="0.15">
      <c r="A96" s="1" t="s">
        <v>164</v>
      </c>
      <c r="C96" s="1" t="s">
        <v>197</v>
      </c>
      <c r="F96" s="1" t="s">
        <v>198</v>
      </c>
    </row>
    <row r="97" spans="1:50" x14ac:dyDescent="0.15">
      <c r="A97" s="1" t="s">
        <v>164</v>
      </c>
      <c r="C97" s="1" t="s">
        <v>199</v>
      </c>
      <c r="F97" s="1" t="s">
        <v>200</v>
      </c>
    </row>
    <row r="98" spans="1:50" x14ac:dyDescent="0.15">
      <c r="A98" s="1" t="s">
        <v>164</v>
      </c>
      <c r="C98" s="1" t="s">
        <v>201</v>
      </c>
      <c r="F98" s="1" t="s">
        <v>202</v>
      </c>
    </row>
    <row r="99" spans="1:50" x14ac:dyDescent="0.15">
      <c r="A99" s="1" t="s">
        <v>164</v>
      </c>
      <c r="C99" s="1" t="s">
        <v>203</v>
      </c>
      <c r="F99" s="1" t="s">
        <v>204</v>
      </c>
    </row>
    <row r="100" spans="1:50" x14ac:dyDescent="0.15">
      <c r="A100" s="1" t="s">
        <v>164</v>
      </c>
      <c r="C100" s="1" t="s">
        <v>205</v>
      </c>
      <c r="F100" s="1" t="s">
        <v>206</v>
      </c>
    </row>
    <row r="101" spans="1:50" x14ac:dyDescent="0.15">
      <c r="A101" s="1" t="s">
        <v>164</v>
      </c>
      <c r="C101" s="1" t="s">
        <v>207</v>
      </c>
      <c r="F101" s="1" t="s">
        <v>208</v>
      </c>
    </row>
    <row r="102" spans="1:50" x14ac:dyDescent="0.15">
      <c r="A102" s="1" t="s">
        <v>164</v>
      </c>
      <c r="C102" s="1" t="s">
        <v>209</v>
      </c>
      <c r="F102" s="1" t="s">
        <v>210</v>
      </c>
    </row>
    <row r="103" spans="1:50" x14ac:dyDescent="0.15">
      <c r="A103" s="1" t="s">
        <v>164</v>
      </c>
      <c r="C103" s="1" t="s">
        <v>211</v>
      </c>
      <c r="F103" s="1" t="s">
        <v>212</v>
      </c>
      <c r="AW103" s="1" t="s">
        <v>155</v>
      </c>
    </row>
    <row r="104" spans="1:50" x14ac:dyDescent="0.15">
      <c r="A104" s="1" t="s">
        <v>213</v>
      </c>
      <c r="C104" s="1" t="s">
        <v>214</v>
      </c>
      <c r="F104" s="1" t="s">
        <v>215</v>
      </c>
    </row>
    <row r="105" spans="1:50" x14ac:dyDescent="0.15">
      <c r="A105" s="1" t="s">
        <v>213</v>
      </c>
      <c r="C105" s="1" t="s">
        <v>216</v>
      </c>
      <c r="F105" s="1" t="s">
        <v>217</v>
      </c>
    </row>
    <row r="106" spans="1:50" x14ac:dyDescent="0.15">
      <c r="A106" s="1" t="s">
        <v>218</v>
      </c>
      <c r="C106" s="1" t="s">
        <v>219</v>
      </c>
      <c r="F106" s="1" t="s">
        <v>220</v>
      </c>
      <c r="N106" s="1"/>
      <c r="O106" s="1" t="s">
        <v>149</v>
      </c>
    </row>
    <row r="107" spans="1:50" x14ac:dyDescent="0.15">
      <c r="A107" s="1" t="s">
        <v>218</v>
      </c>
      <c r="B107" s="1" t="s">
        <v>221</v>
      </c>
      <c r="E107" s="1" t="s">
        <v>222</v>
      </c>
      <c r="AG107" s="1" t="s">
        <v>223</v>
      </c>
      <c r="AH107" s="1" t="s">
        <v>224</v>
      </c>
      <c r="AW107" s="1" t="s">
        <v>155</v>
      </c>
    </row>
    <row r="108" spans="1:50" x14ac:dyDescent="0.15">
      <c r="A108" s="1" t="s">
        <v>225</v>
      </c>
      <c r="C108" s="1" t="s">
        <v>226</v>
      </c>
      <c r="E108" s="1" t="s">
        <v>227</v>
      </c>
      <c r="F108" s="1" t="s">
        <v>228</v>
      </c>
      <c r="AW108" s="1" t="s">
        <v>164</v>
      </c>
      <c r="AX108" s="1" t="s">
        <v>155</v>
      </c>
    </row>
    <row r="109" spans="1:50" x14ac:dyDescent="0.15">
      <c r="A109" s="1" t="s">
        <v>225</v>
      </c>
      <c r="C109" s="1" t="s">
        <v>229</v>
      </c>
      <c r="E109" s="1" t="s">
        <v>230</v>
      </c>
      <c r="F109" s="1" t="s">
        <v>231</v>
      </c>
      <c r="AW109" s="1" t="s">
        <v>61</v>
      </c>
      <c r="AX109" s="1" t="s">
        <v>164</v>
      </c>
    </row>
    <row r="110" spans="1:50" x14ac:dyDescent="0.15">
      <c r="A110" s="1" t="s">
        <v>225</v>
      </c>
      <c r="C110" s="1" t="s">
        <v>232</v>
      </c>
      <c r="E110" s="1" t="s">
        <v>233</v>
      </c>
      <c r="F110" s="1" t="s">
        <v>234</v>
      </c>
      <c r="AW110" s="1" t="s">
        <v>164</v>
      </c>
    </row>
    <row r="111" spans="1:50" x14ac:dyDescent="0.15">
      <c r="A111" s="1" t="s">
        <v>225</v>
      </c>
      <c r="C111" s="1" t="s">
        <v>235</v>
      </c>
      <c r="E111" s="1" t="s">
        <v>236</v>
      </c>
      <c r="F111" s="1" t="s">
        <v>237</v>
      </c>
      <c r="AW111" s="1" t="s">
        <v>164</v>
      </c>
    </row>
    <row r="112" spans="1:50" x14ac:dyDescent="0.15">
      <c r="A112" s="1" t="s">
        <v>225</v>
      </c>
      <c r="C112" s="1" t="s">
        <v>238</v>
      </c>
      <c r="F112" s="1" t="s">
        <v>239</v>
      </c>
      <c r="G112" s="1" t="s">
        <v>240</v>
      </c>
      <c r="AI112" s="1" t="s">
        <v>241</v>
      </c>
      <c r="AJ112" s="1" t="s">
        <v>241</v>
      </c>
      <c r="AS112" s="1" t="s">
        <v>242</v>
      </c>
      <c r="AT112" s="1" t="s">
        <v>242</v>
      </c>
      <c r="AW112" s="1" t="s">
        <v>164</v>
      </c>
    </row>
    <row r="113" spans="1:50" x14ac:dyDescent="0.15">
      <c r="A113" s="1" t="s">
        <v>225</v>
      </c>
      <c r="C113" s="1" t="s">
        <v>243</v>
      </c>
      <c r="E113" s="1" t="s">
        <v>244</v>
      </c>
      <c r="F113" s="1" t="s">
        <v>245</v>
      </c>
      <c r="K113" s="1" t="s">
        <v>246</v>
      </c>
      <c r="AG113" s="1" t="s">
        <v>247</v>
      </c>
      <c r="AH113" s="1" t="s">
        <v>247</v>
      </c>
      <c r="AQ113" s="1" t="s">
        <v>246</v>
      </c>
      <c r="AR113" s="1" t="s">
        <v>246</v>
      </c>
      <c r="AW113" s="1" t="s">
        <v>164</v>
      </c>
      <c r="AX113" s="1" t="s">
        <v>218</v>
      </c>
    </row>
    <row r="114" spans="1:50" x14ac:dyDescent="0.15">
      <c r="A114" s="1" t="s">
        <v>225</v>
      </c>
      <c r="C114" s="1" t="s">
        <v>248</v>
      </c>
      <c r="E114" s="1" t="s">
        <v>249</v>
      </c>
      <c r="F114" s="1" t="s">
        <v>250</v>
      </c>
      <c r="AG114" s="1" t="s">
        <v>249</v>
      </c>
      <c r="AW114" s="1" t="s">
        <v>164</v>
      </c>
    </row>
    <row r="115" spans="1:50" x14ac:dyDescent="0.15">
      <c r="A115" s="1" t="s">
        <v>225</v>
      </c>
      <c r="C115" s="1" t="s">
        <v>251</v>
      </c>
      <c r="E115" s="1" t="s">
        <v>252</v>
      </c>
      <c r="F115" s="1" t="s">
        <v>253</v>
      </c>
      <c r="AW115" s="1" t="s">
        <v>164</v>
      </c>
    </row>
    <row r="116" spans="1:50" x14ac:dyDescent="0.15">
      <c r="A116" s="1" t="s">
        <v>225</v>
      </c>
      <c r="C116" s="1" t="s">
        <v>254</v>
      </c>
      <c r="E116" s="1" t="s">
        <v>255</v>
      </c>
      <c r="F116" s="1" t="s">
        <v>256</v>
      </c>
      <c r="AW116" s="1" t="s">
        <v>164</v>
      </c>
    </row>
    <row r="117" spans="1:50" x14ac:dyDescent="0.15">
      <c r="A117" s="1" t="s">
        <v>225</v>
      </c>
      <c r="C117" s="1" t="s">
        <v>257</v>
      </c>
      <c r="E117" s="1" t="s">
        <v>258</v>
      </c>
      <c r="F117" s="1" t="s">
        <v>259</v>
      </c>
      <c r="AW117" s="1" t="s">
        <v>164</v>
      </c>
    </row>
    <row r="118" spans="1:50" x14ac:dyDescent="0.15">
      <c r="A118" s="1" t="s">
        <v>260</v>
      </c>
      <c r="B118" s="1" t="s">
        <v>261</v>
      </c>
      <c r="C118" s="1" t="s">
        <v>262</v>
      </c>
      <c r="D118" s="1" t="s">
        <v>263</v>
      </c>
      <c r="E118" s="1" t="s">
        <v>264</v>
      </c>
      <c r="F118" s="1" t="s">
        <v>265</v>
      </c>
      <c r="G118" s="1" t="s">
        <v>266</v>
      </c>
      <c r="H118" s="1" t="s">
        <v>267</v>
      </c>
      <c r="I118" s="1" t="s">
        <v>268</v>
      </c>
      <c r="J118" s="1" t="s">
        <v>269</v>
      </c>
      <c r="K118" s="1" t="s">
        <v>270</v>
      </c>
      <c r="L118" s="1" t="s">
        <v>271</v>
      </c>
      <c r="M118" s="1" t="s">
        <v>272</v>
      </c>
      <c r="N118" s="1" t="s">
        <v>273</v>
      </c>
      <c r="O118" s="1" t="s">
        <v>274</v>
      </c>
      <c r="P118" s="1" t="s">
        <v>275</v>
      </c>
      <c r="Q118" s="1" t="s">
        <v>276</v>
      </c>
      <c r="R118" s="1" t="s">
        <v>277</v>
      </c>
      <c r="S118" s="1" t="s">
        <v>278</v>
      </c>
      <c r="T118" s="1" t="s">
        <v>279</v>
      </c>
      <c r="U118" s="1" t="s">
        <v>280</v>
      </c>
      <c r="V118" s="1" t="s">
        <v>281</v>
      </c>
      <c r="W118" s="1" t="s">
        <v>282</v>
      </c>
      <c r="X118" s="1" t="s">
        <v>283</v>
      </c>
      <c r="Y118" s="1" t="s">
        <v>284</v>
      </c>
      <c r="Z118" s="1" t="s">
        <v>285</v>
      </c>
      <c r="AA118" s="1" t="s">
        <v>286</v>
      </c>
      <c r="AB118" s="1" t="s">
        <v>287</v>
      </c>
      <c r="AC118" s="1" t="s">
        <v>288</v>
      </c>
      <c r="AD118" s="1" t="s">
        <v>289</v>
      </c>
      <c r="AE118" s="1" t="s">
        <v>290</v>
      </c>
      <c r="AF118" s="1" t="s">
        <v>291</v>
      </c>
      <c r="AG118" s="1" t="s">
        <v>292</v>
      </c>
      <c r="AH118" s="1" t="s">
        <v>293</v>
      </c>
      <c r="AI118" s="1" t="s">
        <v>294</v>
      </c>
      <c r="AJ118" s="1" t="s">
        <v>295</v>
      </c>
      <c r="AK118" s="1" t="s">
        <v>296</v>
      </c>
      <c r="AL118" s="1" t="s">
        <v>297</v>
      </c>
      <c r="AM118" s="1" t="s">
        <v>298</v>
      </c>
      <c r="AN118" s="1" t="s">
        <v>299</v>
      </c>
      <c r="AO118" s="1" t="s">
        <v>300</v>
      </c>
      <c r="AP118" s="1" t="s">
        <v>301</v>
      </c>
      <c r="AQ118" s="1" t="s">
        <v>302</v>
      </c>
      <c r="AR118" s="1" t="s">
        <v>303</v>
      </c>
      <c r="AS118" s="1" t="s">
        <v>304</v>
      </c>
      <c r="AT118" s="1" t="s">
        <v>305</v>
      </c>
      <c r="AU118" s="1" t="s">
        <v>306</v>
      </c>
      <c r="AV118" s="1" t="s">
        <v>307</v>
      </c>
      <c r="AW118" s="1" t="s">
        <v>308</v>
      </c>
      <c r="AX118" s="1" t="s">
        <v>309</v>
      </c>
    </row>
    <row r="119" spans="1:50" x14ac:dyDescent="0.15">
      <c r="A119" s="1" t="s">
        <v>155</v>
      </c>
      <c r="B119" s="1" t="s">
        <v>310</v>
      </c>
      <c r="E119" s="1" t="s">
        <v>311</v>
      </c>
    </row>
    <row r="120" spans="1:50" x14ac:dyDescent="0.15">
      <c r="A120" s="1" t="s">
        <v>155</v>
      </c>
      <c r="C120" s="1" t="s">
        <v>312</v>
      </c>
      <c r="E120" s="1" t="s">
        <v>313</v>
      </c>
    </row>
    <row r="121" spans="1:50" x14ac:dyDescent="0.15">
      <c r="A121" s="1" t="s">
        <v>155</v>
      </c>
      <c r="B121" s="1" t="s">
        <v>314</v>
      </c>
      <c r="C121" s="1" t="s">
        <v>315</v>
      </c>
      <c r="E121" s="1" t="s">
        <v>316</v>
      </c>
    </row>
    <row r="122" spans="1:50" x14ac:dyDescent="0.15">
      <c r="A122" s="1" t="s">
        <v>155</v>
      </c>
      <c r="B122" s="1" t="s">
        <v>317</v>
      </c>
      <c r="E122" s="1" t="s">
        <v>318</v>
      </c>
    </row>
    <row r="123" spans="1:50" x14ac:dyDescent="0.15">
      <c r="A123" s="1" t="s">
        <v>155</v>
      </c>
      <c r="C123" s="1" t="s">
        <v>319</v>
      </c>
      <c r="E123" s="1" t="s">
        <v>320</v>
      </c>
    </row>
    <row r="124" spans="1:50" x14ac:dyDescent="0.15">
      <c r="A124" s="1" t="s">
        <v>155</v>
      </c>
      <c r="C124" s="1" t="s">
        <v>321</v>
      </c>
      <c r="E124" s="1" t="s">
        <v>322</v>
      </c>
    </row>
    <row r="125" spans="1:50" x14ac:dyDescent="0.15">
      <c r="A125" s="1" t="s">
        <v>155</v>
      </c>
      <c r="C125" s="1" t="s">
        <v>323</v>
      </c>
      <c r="E125" s="1" t="s">
        <v>324</v>
      </c>
    </row>
    <row r="126" spans="1:50" x14ac:dyDescent="0.15">
      <c r="A126" s="1" t="s">
        <v>155</v>
      </c>
      <c r="C126" s="1" t="s">
        <v>325</v>
      </c>
      <c r="E126" s="1" t="s">
        <v>326</v>
      </c>
    </row>
    <row r="127" spans="1:50" x14ac:dyDescent="0.15">
      <c r="A127" s="1" t="s">
        <v>155</v>
      </c>
      <c r="B127" s="1" t="s">
        <v>327</v>
      </c>
      <c r="E127" s="1" t="s">
        <v>328</v>
      </c>
    </row>
    <row r="128" spans="1:50" x14ac:dyDescent="0.15">
      <c r="A128" s="1" t="s">
        <v>155</v>
      </c>
      <c r="B128" s="1" t="s">
        <v>329</v>
      </c>
      <c r="C128" s="1" t="s">
        <v>330</v>
      </c>
      <c r="E128" s="1" t="s">
        <v>331</v>
      </c>
      <c r="F128" s="1" t="s">
        <v>332</v>
      </c>
      <c r="G128" s="1" t="s">
        <v>333</v>
      </c>
      <c r="I128" s="1" t="s">
        <v>334</v>
      </c>
      <c r="R128" s="1" t="s">
        <v>335</v>
      </c>
      <c r="T128" s="1" t="s">
        <v>336</v>
      </c>
      <c r="U128" s="1"/>
      <c r="V128" s="1" t="s">
        <v>337</v>
      </c>
    </row>
    <row r="129" spans="1:39" x14ac:dyDescent="0.15">
      <c r="A129" s="1" t="s">
        <v>155</v>
      </c>
      <c r="B129" s="1" t="s">
        <v>338</v>
      </c>
      <c r="E129" s="1" t="s">
        <v>339</v>
      </c>
    </row>
    <row r="130" spans="1:39" x14ac:dyDescent="0.15">
      <c r="A130" s="1" t="s">
        <v>155</v>
      </c>
      <c r="C130" s="1" t="s">
        <v>340</v>
      </c>
      <c r="E130" s="1" t="s">
        <v>341</v>
      </c>
    </row>
    <row r="131" spans="1:39" x14ac:dyDescent="0.15">
      <c r="A131" s="1" t="s">
        <v>155</v>
      </c>
      <c r="B131" s="1" t="s">
        <v>342</v>
      </c>
      <c r="E131" s="1" t="s">
        <v>343</v>
      </c>
    </row>
    <row r="132" spans="1:39" x14ac:dyDescent="0.15">
      <c r="A132" s="1" t="s">
        <v>155</v>
      </c>
      <c r="C132" s="1" t="s">
        <v>344</v>
      </c>
      <c r="E132" s="1" t="s">
        <v>345</v>
      </c>
    </row>
    <row r="133" spans="1:39" x14ac:dyDescent="0.15">
      <c r="A133" s="1" t="s">
        <v>155</v>
      </c>
      <c r="C133" s="1" t="s">
        <v>346</v>
      </c>
      <c r="E133" s="1" t="s">
        <v>347</v>
      </c>
    </row>
    <row r="134" spans="1:39" x14ac:dyDescent="0.15">
      <c r="A134" s="1" t="s">
        <v>155</v>
      </c>
      <c r="C134" s="1" t="s">
        <v>348</v>
      </c>
      <c r="E134" s="1" t="s">
        <v>349</v>
      </c>
    </row>
    <row r="135" spans="1:39" x14ac:dyDescent="0.15">
      <c r="A135" s="1" t="s">
        <v>155</v>
      </c>
      <c r="C135" s="1" t="s">
        <v>350</v>
      </c>
      <c r="E135" s="1" t="s">
        <v>351</v>
      </c>
    </row>
    <row r="136" spans="1:39" x14ac:dyDescent="0.15">
      <c r="A136" s="1" t="s">
        <v>155</v>
      </c>
      <c r="B136" s="1" t="s">
        <v>352</v>
      </c>
      <c r="C136" s="1" t="s">
        <v>353</v>
      </c>
      <c r="E136" s="1" t="s">
        <v>354</v>
      </c>
    </row>
    <row r="137" spans="1:39" x14ac:dyDescent="0.15">
      <c r="A137" s="1" t="s">
        <v>155</v>
      </c>
      <c r="C137" s="1" t="s">
        <v>355</v>
      </c>
      <c r="E137" s="1" t="s">
        <v>356</v>
      </c>
    </row>
    <row r="138" spans="1:39" x14ac:dyDescent="0.15">
      <c r="A138" s="1" t="s">
        <v>155</v>
      </c>
      <c r="B138" s="1" t="s">
        <v>357</v>
      </c>
      <c r="E138" s="1" t="s">
        <v>358</v>
      </c>
    </row>
    <row r="139" spans="1:39" x14ac:dyDescent="0.15">
      <c r="A139" s="1" t="s">
        <v>155</v>
      </c>
      <c r="B139" s="1" t="s">
        <v>359</v>
      </c>
      <c r="E139" s="1" t="s">
        <v>360</v>
      </c>
    </row>
    <row r="140" spans="1:39" x14ac:dyDescent="0.15">
      <c r="A140" s="1" t="s">
        <v>155</v>
      </c>
      <c r="B140" s="1" t="s">
        <v>361</v>
      </c>
      <c r="E140" s="1" t="s">
        <v>362</v>
      </c>
    </row>
    <row r="141" spans="1:39" x14ac:dyDescent="0.15">
      <c r="A141" s="1" t="s">
        <v>155</v>
      </c>
      <c r="C141" s="1" t="s">
        <v>363</v>
      </c>
      <c r="E141" s="1" t="s">
        <v>364</v>
      </c>
    </row>
    <row r="142" spans="1:39" x14ac:dyDescent="0.15">
      <c r="A142" s="1" t="s">
        <v>155</v>
      </c>
      <c r="B142" s="1" t="s">
        <v>365</v>
      </c>
      <c r="C142" s="1" t="s">
        <v>366</v>
      </c>
      <c r="D142" s="1" t="s">
        <v>367</v>
      </c>
      <c r="E142" s="1" t="s">
        <v>345</v>
      </c>
      <c r="F142" s="1" t="s">
        <v>368</v>
      </c>
      <c r="G142" s="1" t="s">
        <v>369</v>
      </c>
      <c r="I142" s="1" t="s">
        <v>370</v>
      </c>
      <c r="R142" s="1" t="s">
        <v>371</v>
      </c>
      <c r="S142" s="1" t="s">
        <v>372</v>
      </c>
      <c r="T142" s="1" t="s">
        <v>373</v>
      </c>
      <c r="U142" s="1" t="s">
        <v>374</v>
      </c>
      <c r="V142" s="1" t="s">
        <v>375</v>
      </c>
      <c r="AD142" s="1" t="s">
        <v>376</v>
      </c>
      <c r="AM142" s="1" t="s">
        <v>377</v>
      </c>
    </row>
    <row r="143" spans="1:39" x14ac:dyDescent="0.15">
      <c r="A143" s="1" t="s">
        <v>155</v>
      </c>
      <c r="C143" s="1" t="s">
        <v>378</v>
      </c>
      <c r="E143" s="1" t="s">
        <v>379</v>
      </c>
    </row>
    <row r="144" spans="1:39" x14ac:dyDescent="0.15">
      <c r="A144" s="1" t="s">
        <v>155</v>
      </c>
      <c r="C144" s="1" t="s">
        <v>380</v>
      </c>
      <c r="E144" s="1" t="s">
        <v>381</v>
      </c>
    </row>
    <row r="145" spans="1:6" x14ac:dyDescent="0.15">
      <c r="A145" s="1" t="s">
        <v>155</v>
      </c>
      <c r="C145" s="1" t="s">
        <v>382</v>
      </c>
      <c r="E145" s="1" t="s">
        <v>383</v>
      </c>
    </row>
    <row r="146" spans="1:6" x14ac:dyDescent="0.15">
      <c r="A146" s="1" t="s">
        <v>155</v>
      </c>
      <c r="B146" s="1" t="s">
        <v>384</v>
      </c>
      <c r="E146" s="1" t="s">
        <v>385</v>
      </c>
    </row>
    <row r="147" spans="1:6" x14ac:dyDescent="0.15">
      <c r="A147" s="1" t="s">
        <v>155</v>
      </c>
      <c r="B147" s="1" t="s">
        <v>386</v>
      </c>
      <c r="F147" s="1" t="s">
        <v>387</v>
      </c>
    </row>
    <row r="148" spans="1:6" x14ac:dyDescent="0.15">
      <c r="A148" s="1" t="s">
        <v>155</v>
      </c>
      <c r="C148" s="1" t="s">
        <v>388</v>
      </c>
      <c r="F148" s="1" t="s">
        <v>389</v>
      </c>
    </row>
    <row r="149" spans="1:6" x14ac:dyDescent="0.15">
      <c r="A149" s="1" t="s">
        <v>155</v>
      </c>
      <c r="C149" s="1" t="s">
        <v>390</v>
      </c>
      <c r="E149" s="1" t="s">
        <v>391</v>
      </c>
    </row>
    <row r="150" spans="1:6" x14ac:dyDescent="0.15">
      <c r="A150" s="1" t="s">
        <v>155</v>
      </c>
      <c r="C150" s="1" t="s">
        <v>392</v>
      </c>
      <c r="F150" s="1" t="s">
        <v>393</v>
      </c>
    </row>
    <row r="151" spans="1:6" x14ac:dyDescent="0.15">
      <c r="A151" s="1" t="s">
        <v>155</v>
      </c>
      <c r="C151" s="1" t="s">
        <v>394</v>
      </c>
      <c r="F151" s="1" t="s">
        <v>395</v>
      </c>
    </row>
    <row r="152" spans="1:6" x14ac:dyDescent="0.15">
      <c r="A152" s="1" t="s">
        <v>155</v>
      </c>
      <c r="C152" s="1" t="s">
        <v>396</v>
      </c>
      <c r="F152" s="1" t="s">
        <v>397</v>
      </c>
    </row>
    <row r="153" spans="1:6" x14ac:dyDescent="0.15">
      <c r="A153" s="1" t="s">
        <v>155</v>
      </c>
      <c r="C153" s="1" t="s">
        <v>398</v>
      </c>
      <c r="F153" s="1" t="s">
        <v>399</v>
      </c>
    </row>
    <row r="154" spans="1:6" x14ac:dyDescent="0.15">
      <c r="A154" s="1" t="s">
        <v>155</v>
      </c>
      <c r="C154" s="1" t="s">
        <v>400</v>
      </c>
      <c r="F154" s="1" t="s">
        <v>401</v>
      </c>
    </row>
    <row r="155" spans="1:6" x14ac:dyDescent="0.15">
      <c r="A155" s="1" t="s">
        <v>155</v>
      </c>
      <c r="C155" s="1" t="s">
        <v>402</v>
      </c>
      <c r="F155" s="1" t="s">
        <v>403</v>
      </c>
    </row>
    <row r="156" spans="1:6" x14ac:dyDescent="0.15">
      <c r="A156" s="1" t="s">
        <v>155</v>
      </c>
      <c r="C156" s="1" t="s">
        <v>404</v>
      </c>
      <c r="F156" s="1" t="s">
        <v>405</v>
      </c>
    </row>
    <row r="157" spans="1:6" x14ac:dyDescent="0.15">
      <c r="A157" s="1" t="s">
        <v>155</v>
      </c>
      <c r="C157" s="1" t="s">
        <v>406</v>
      </c>
      <c r="E157" s="1" t="s">
        <v>407</v>
      </c>
      <c r="F157" s="1" t="s">
        <v>408</v>
      </c>
    </row>
    <row r="158" spans="1:6" x14ac:dyDescent="0.15">
      <c r="A158" s="1" t="s">
        <v>155</v>
      </c>
      <c r="C158" s="1" t="s">
        <v>409</v>
      </c>
      <c r="F158" s="1" t="s">
        <v>410</v>
      </c>
    </row>
    <row r="159" spans="1:6" x14ac:dyDescent="0.15">
      <c r="A159" s="1" t="s">
        <v>155</v>
      </c>
      <c r="C159" s="1" t="s">
        <v>411</v>
      </c>
      <c r="F159" s="1" t="s">
        <v>412</v>
      </c>
    </row>
    <row r="160" spans="1:6" x14ac:dyDescent="0.15">
      <c r="A160" s="1" t="s">
        <v>155</v>
      </c>
      <c r="C160" s="1" t="s">
        <v>413</v>
      </c>
      <c r="E160" s="1" t="s">
        <v>414</v>
      </c>
    </row>
    <row r="161" spans="1:11" x14ac:dyDescent="0.15">
      <c r="A161" s="1" t="s">
        <v>155</v>
      </c>
      <c r="C161" s="1" t="s">
        <v>415</v>
      </c>
      <c r="K161" s="1" t="s">
        <v>416</v>
      </c>
    </row>
    <row r="162" spans="1:11" x14ac:dyDescent="0.15">
      <c r="A162" s="1" t="s">
        <v>155</v>
      </c>
      <c r="C162" s="1" t="s">
        <v>417</v>
      </c>
    </row>
    <row r="163" spans="1:11" x14ac:dyDescent="0.15">
      <c r="A163" s="1" t="s">
        <v>155</v>
      </c>
      <c r="C163" s="1" t="s">
        <v>418</v>
      </c>
      <c r="F163" s="1" t="s">
        <v>419</v>
      </c>
    </row>
    <row r="164" spans="1:11" x14ac:dyDescent="0.15">
      <c r="A164" s="1" t="s">
        <v>155</v>
      </c>
      <c r="C164" s="1" t="s">
        <v>420</v>
      </c>
      <c r="F164" s="1" t="s">
        <v>421</v>
      </c>
    </row>
    <row r="165" spans="1:11" x14ac:dyDescent="0.15">
      <c r="A165" s="1" t="s">
        <v>155</v>
      </c>
      <c r="C165" s="1" t="s">
        <v>422</v>
      </c>
      <c r="F165" s="1" t="s">
        <v>423</v>
      </c>
    </row>
    <row r="166" spans="1:11" x14ac:dyDescent="0.15">
      <c r="A166" s="1" t="s">
        <v>155</v>
      </c>
      <c r="C166" s="1" t="s">
        <v>422</v>
      </c>
      <c r="F166" s="1" t="s">
        <v>424</v>
      </c>
    </row>
    <row r="167" spans="1:11" x14ac:dyDescent="0.15">
      <c r="A167" s="1" t="s">
        <v>155</v>
      </c>
      <c r="C167" s="1" t="s">
        <v>425</v>
      </c>
      <c r="F167" s="1" t="s">
        <v>424</v>
      </c>
    </row>
    <row r="168" spans="1:11" x14ac:dyDescent="0.15">
      <c r="A168" s="1" t="s">
        <v>155</v>
      </c>
      <c r="C168" s="1" t="s">
        <v>426</v>
      </c>
      <c r="E168" s="1" t="s">
        <v>427</v>
      </c>
    </row>
    <row r="169" spans="1:11" x14ac:dyDescent="0.15">
      <c r="A169" s="1" t="s">
        <v>155</v>
      </c>
      <c r="C169" s="1" t="s">
        <v>428</v>
      </c>
      <c r="K169" s="1" t="s">
        <v>429</v>
      </c>
    </row>
    <row r="170" spans="1:11" x14ac:dyDescent="0.15">
      <c r="A170" s="1" t="s">
        <v>155</v>
      </c>
      <c r="C170" s="1" t="s">
        <v>428</v>
      </c>
      <c r="E170" s="1" t="s">
        <v>430</v>
      </c>
    </row>
    <row r="171" spans="1:11" x14ac:dyDescent="0.15">
      <c r="A171" s="1" t="s">
        <v>155</v>
      </c>
      <c r="C171" s="1" t="s">
        <v>431</v>
      </c>
      <c r="K171" s="1" t="s">
        <v>432</v>
      </c>
    </row>
    <row r="172" spans="1:11" x14ac:dyDescent="0.15">
      <c r="A172" s="1" t="s">
        <v>155</v>
      </c>
      <c r="B172" s="1" t="s">
        <v>433</v>
      </c>
      <c r="E172" s="1" t="s">
        <v>434</v>
      </c>
    </row>
    <row r="173" spans="1:11" x14ac:dyDescent="0.15">
      <c r="A173" s="1" t="s">
        <v>155</v>
      </c>
      <c r="C173" s="1" t="s">
        <v>435</v>
      </c>
    </row>
    <row r="174" spans="1:11" x14ac:dyDescent="0.15">
      <c r="A174" s="1" t="s">
        <v>155</v>
      </c>
      <c r="C174" s="1" t="s">
        <v>83</v>
      </c>
      <c r="K174" s="1" t="s">
        <v>436</v>
      </c>
    </row>
    <row r="175" spans="1:11" x14ac:dyDescent="0.15">
      <c r="A175" s="1" t="s">
        <v>155</v>
      </c>
      <c r="C175" s="1" t="s">
        <v>437</v>
      </c>
      <c r="E175" s="1" t="s">
        <v>438</v>
      </c>
    </row>
    <row r="176" spans="1:11" x14ac:dyDescent="0.15">
      <c r="A176" s="1" t="s">
        <v>155</v>
      </c>
      <c r="C176" s="1" t="s">
        <v>439</v>
      </c>
      <c r="K176" s="1" t="s">
        <v>440</v>
      </c>
    </row>
    <row r="177" spans="1:33" x14ac:dyDescent="0.15">
      <c r="A177" s="1" t="s">
        <v>155</v>
      </c>
      <c r="C177" s="1" t="s">
        <v>441</v>
      </c>
      <c r="E177" s="1" t="s">
        <v>442</v>
      </c>
      <c r="G177" s="1" t="s">
        <v>443</v>
      </c>
    </row>
    <row r="178" spans="1:33" x14ac:dyDescent="0.15">
      <c r="A178" s="1" t="s">
        <v>155</v>
      </c>
      <c r="C178" s="1" t="s">
        <v>444</v>
      </c>
      <c r="E178" s="1" t="s">
        <v>445</v>
      </c>
      <c r="G178" s="1" t="s">
        <v>446</v>
      </c>
    </row>
    <row r="179" spans="1:33" x14ac:dyDescent="0.15">
      <c r="A179" s="1" t="s">
        <v>155</v>
      </c>
      <c r="C179" s="1" t="s">
        <v>447</v>
      </c>
      <c r="K179" s="1" t="s">
        <v>448</v>
      </c>
    </row>
    <row r="180" spans="1:33" x14ac:dyDescent="0.15">
      <c r="A180" s="1" t="s">
        <v>155</v>
      </c>
      <c r="C180" s="1" t="s">
        <v>449</v>
      </c>
      <c r="F180" s="1" t="s">
        <v>450</v>
      </c>
    </row>
    <row r="181" spans="1:33" x14ac:dyDescent="0.15">
      <c r="A181" s="1" t="s">
        <v>155</v>
      </c>
      <c r="B181" s="1" t="s">
        <v>451</v>
      </c>
      <c r="E181" s="1" t="s">
        <v>452</v>
      </c>
    </row>
    <row r="182" spans="1:33" x14ac:dyDescent="0.15">
      <c r="A182" s="1" t="s">
        <v>155</v>
      </c>
      <c r="C182" s="1" t="s">
        <v>453</v>
      </c>
      <c r="E182" s="1" t="s">
        <v>454</v>
      </c>
    </row>
    <row r="183" spans="1:33" x14ac:dyDescent="0.15">
      <c r="A183" s="1" t="s">
        <v>155</v>
      </c>
      <c r="C183" s="1" t="s">
        <v>455</v>
      </c>
      <c r="E183" s="1" t="s">
        <v>456</v>
      </c>
    </row>
    <row r="184" spans="1:33" x14ac:dyDescent="0.15">
      <c r="A184" s="1" t="s">
        <v>155</v>
      </c>
      <c r="B184" s="1" t="s">
        <v>457</v>
      </c>
      <c r="E184" s="1" t="s">
        <v>458</v>
      </c>
    </row>
    <row r="185" spans="1:33" x14ac:dyDescent="0.15">
      <c r="A185" s="1" t="s">
        <v>155</v>
      </c>
      <c r="B185" s="1" t="s">
        <v>459</v>
      </c>
      <c r="E185" s="1" t="s">
        <v>460</v>
      </c>
    </row>
    <row r="186" spans="1:33" x14ac:dyDescent="0.15">
      <c r="A186" s="1" t="s">
        <v>155</v>
      </c>
      <c r="C186" s="1" t="s">
        <v>461</v>
      </c>
    </row>
    <row r="187" spans="1:33" x14ac:dyDescent="0.15">
      <c r="A187" s="1" t="s">
        <v>155</v>
      </c>
      <c r="C187" s="1" t="s">
        <v>462</v>
      </c>
    </row>
    <row r="188" spans="1:33" x14ac:dyDescent="0.15">
      <c r="A188" s="1" t="s">
        <v>155</v>
      </c>
      <c r="B188" s="1" t="s">
        <v>463</v>
      </c>
      <c r="E188" s="1" t="s">
        <v>464</v>
      </c>
      <c r="AG188" s="1" t="s">
        <v>465</v>
      </c>
    </row>
    <row r="189" spans="1:33" x14ac:dyDescent="0.15">
      <c r="A189" s="1" t="s">
        <v>155</v>
      </c>
      <c r="C189" s="1" t="s">
        <v>466</v>
      </c>
    </row>
    <row r="190" spans="1:33" x14ac:dyDescent="0.15">
      <c r="A190" s="1" t="s">
        <v>155</v>
      </c>
      <c r="C190" s="1" t="s">
        <v>467</v>
      </c>
      <c r="K190" s="1" t="s">
        <v>468</v>
      </c>
    </row>
    <row r="191" spans="1:33" x14ac:dyDescent="0.15">
      <c r="A191" s="1" t="s">
        <v>155</v>
      </c>
      <c r="C191" s="1" t="s">
        <v>469</v>
      </c>
    </row>
    <row r="192" spans="1:33" x14ac:dyDescent="0.15">
      <c r="A192" s="1" t="s">
        <v>155</v>
      </c>
      <c r="B192" s="1" t="s">
        <v>470</v>
      </c>
      <c r="C192" s="1" t="s">
        <v>471</v>
      </c>
      <c r="D192" s="1" t="s">
        <v>472</v>
      </c>
      <c r="F192" s="1" t="s">
        <v>473</v>
      </c>
      <c r="I192" s="1" t="s">
        <v>474</v>
      </c>
      <c r="T192" s="1" t="s">
        <v>475</v>
      </c>
      <c r="U192" s="1" t="s">
        <v>476</v>
      </c>
      <c r="V192" s="1" t="s">
        <v>477</v>
      </c>
      <c r="AD192" s="1" t="s">
        <v>478</v>
      </c>
    </row>
    <row r="193" spans="1:33" x14ac:dyDescent="0.15">
      <c r="A193" s="1" t="s">
        <v>155</v>
      </c>
      <c r="B193" s="1" t="s">
        <v>479</v>
      </c>
      <c r="E193" s="1" t="s">
        <v>480</v>
      </c>
    </row>
    <row r="194" spans="1:33" x14ac:dyDescent="0.15">
      <c r="A194" s="1" t="s">
        <v>155</v>
      </c>
      <c r="C194" s="1" t="s">
        <v>481</v>
      </c>
      <c r="E194" s="1" t="s">
        <v>407</v>
      </c>
    </row>
    <row r="195" spans="1:33" x14ac:dyDescent="0.15">
      <c r="A195" s="1" t="s">
        <v>155</v>
      </c>
      <c r="B195" s="1" t="s">
        <v>482</v>
      </c>
      <c r="C195" s="1" t="s">
        <v>483</v>
      </c>
      <c r="E195" s="1" t="s">
        <v>484</v>
      </c>
    </row>
    <row r="196" spans="1:33" x14ac:dyDescent="0.15">
      <c r="A196" s="1" t="s">
        <v>155</v>
      </c>
      <c r="C196" s="1" t="s">
        <v>485</v>
      </c>
      <c r="F196" s="1" t="s">
        <v>486</v>
      </c>
    </row>
    <row r="197" spans="1:33" x14ac:dyDescent="0.15">
      <c r="A197" s="1" t="s">
        <v>155</v>
      </c>
      <c r="C197" s="1" t="s">
        <v>487</v>
      </c>
      <c r="E197" s="1" t="s">
        <v>488</v>
      </c>
    </row>
    <row r="198" spans="1:33" x14ac:dyDescent="0.15">
      <c r="A198" s="1" t="s">
        <v>155</v>
      </c>
      <c r="B198" s="1" t="s">
        <v>489</v>
      </c>
      <c r="F198" s="1" t="s">
        <v>490</v>
      </c>
    </row>
    <row r="199" spans="1:33" x14ac:dyDescent="0.15">
      <c r="A199" s="1" t="s">
        <v>155</v>
      </c>
      <c r="B199" s="1" t="s">
        <v>491</v>
      </c>
      <c r="F199" s="1" t="s">
        <v>181</v>
      </c>
    </row>
    <row r="200" spans="1:33" x14ac:dyDescent="0.15">
      <c r="A200" s="1" t="s">
        <v>155</v>
      </c>
      <c r="C200" s="1" t="s">
        <v>492</v>
      </c>
    </row>
    <row r="201" spans="1:33" x14ac:dyDescent="0.15">
      <c r="A201" s="1" t="s">
        <v>155</v>
      </c>
      <c r="B201" s="1" t="s">
        <v>493</v>
      </c>
      <c r="E201" s="1" t="s">
        <v>494</v>
      </c>
      <c r="AG201" s="1" t="s">
        <v>495</v>
      </c>
    </row>
    <row r="202" spans="1:33" x14ac:dyDescent="0.15">
      <c r="A202" s="1" t="s">
        <v>155</v>
      </c>
      <c r="C202" s="1" t="s">
        <v>496</v>
      </c>
      <c r="E202" s="1" t="s">
        <v>497</v>
      </c>
    </row>
    <row r="203" spans="1:33" x14ac:dyDescent="0.15">
      <c r="A203" s="1" t="s">
        <v>155</v>
      </c>
      <c r="C203" s="1" t="s">
        <v>498</v>
      </c>
      <c r="E203" s="1" t="s">
        <v>499</v>
      </c>
    </row>
    <row r="204" spans="1:33" x14ac:dyDescent="0.15">
      <c r="A204" s="1" t="s">
        <v>155</v>
      </c>
      <c r="B204" s="1" t="s">
        <v>500</v>
      </c>
      <c r="E204" s="1" t="s">
        <v>501</v>
      </c>
      <c r="AG204" s="1" t="s">
        <v>502</v>
      </c>
    </row>
    <row r="205" spans="1:33" x14ac:dyDescent="0.15">
      <c r="A205" s="1" t="s">
        <v>155</v>
      </c>
      <c r="C205" s="1" t="s">
        <v>503</v>
      </c>
      <c r="F205" s="1" t="s">
        <v>239</v>
      </c>
    </row>
    <row r="206" spans="1:33" x14ac:dyDescent="0.15">
      <c r="A206" s="1" t="s">
        <v>155</v>
      </c>
      <c r="B206" s="1" t="s">
        <v>504</v>
      </c>
      <c r="E206" s="1" t="s">
        <v>505</v>
      </c>
    </row>
    <row r="207" spans="1:33" x14ac:dyDescent="0.15">
      <c r="A207" s="1" t="s">
        <v>155</v>
      </c>
      <c r="C207" s="1" t="s">
        <v>506</v>
      </c>
    </row>
    <row r="208" spans="1:33" x14ac:dyDescent="0.15">
      <c r="A208" s="1" t="s">
        <v>155</v>
      </c>
      <c r="C208" s="1" t="s">
        <v>507</v>
      </c>
      <c r="F208" s="1" t="s">
        <v>508</v>
      </c>
    </row>
    <row r="209" spans="1:33" x14ac:dyDescent="0.15">
      <c r="A209" s="1" t="s">
        <v>155</v>
      </c>
      <c r="C209" s="1" t="s">
        <v>509</v>
      </c>
    </row>
    <row r="210" spans="1:33" x14ac:dyDescent="0.15">
      <c r="A210" s="1" t="s">
        <v>155</v>
      </c>
      <c r="C210" s="1" t="s">
        <v>510</v>
      </c>
    </row>
    <row r="211" spans="1:33" x14ac:dyDescent="0.15">
      <c r="A211" s="1" t="s">
        <v>155</v>
      </c>
      <c r="C211" s="1" t="s">
        <v>511</v>
      </c>
    </row>
    <row r="212" spans="1:33" x14ac:dyDescent="0.15">
      <c r="A212" s="1" t="s">
        <v>155</v>
      </c>
      <c r="C212" s="1" t="s">
        <v>512</v>
      </c>
    </row>
    <row r="213" spans="1:33" x14ac:dyDescent="0.15">
      <c r="A213" s="1" t="s">
        <v>155</v>
      </c>
      <c r="C213" s="1" t="s">
        <v>513</v>
      </c>
      <c r="E213" s="1" t="s">
        <v>514</v>
      </c>
    </row>
    <row r="214" spans="1:33" x14ac:dyDescent="0.15">
      <c r="A214" s="1" t="s">
        <v>155</v>
      </c>
      <c r="B214" s="1" t="s">
        <v>515</v>
      </c>
      <c r="F214" s="1" t="s">
        <v>516</v>
      </c>
    </row>
    <row r="215" spans="1:33" x14ac:dyDescent="0.15">
      <c r="A215" s="1" t="s">
        <v>155</v>
      </c>
      <c r="B215" s="1" t="s">
        <v>517</v>
      </c>
      <c r="E215" s="1" t="s">
        <v>518</v>
      </c>
    </row>
    <row r="216" spans="1:33" x14ac:dyDescent="0.15">
      <c r="A216" s="1" t="s">
        <v>155</v>
      </c>
      <c r="C216" s="1" t="s">
        <v>519</v>
      </c>
      <c r="K216" s="1" t="s">
        <v>520</v>
      </c>
    </row>
    <row r="217" spans="1:33" x14ac:dyDescent="0.15">
      <c r="A217" s="1" t="s">
        <v>155</v>
      </c>
      <c r="B217" s="1" t="s">
        <v>521</v>
      </c>
      <c r="F217" s="1" t="s">
        <v>208</v>
      </c>
    </row>
    <row r="218" spans="1:33" x14ac:dyDescent="0.15">
      <c r="A218" s="1" t="s">
        <v>155</v>
      </c>
      <c r="B218" s="1" t="s">
        <v>522</v>
      </c>
      <c r="E218" s="1" t="s">
        <v>523</v>
      </c>
    </row>
    <row r="219" spans="1:33" x14ac:dyDescent="0.15">
      <c r="A219" s="1" t="s">
        <v>155</v>
      </c>
      <c r="C219" s="1" t="s">
        <v>524</v>
      </c>
      <c r="E219" s="1" t="s">
        <v>525</v>
      </c>
    </row>
    <row r="220" spans="1:33" x14ac:dyDescent="0.15">
      <c r="A220" s="1" t="s">
        <v>155</v>
      </c>
      <c r="C220" s="1" t="s">
        <v>526</v>
      </c>
      <c r="K220" s="1" t="s">
        <v>527</v>
      </c>
    </row>
    <row r="221" spans="1:33" x14ac:dyDescent="0.15">
      <c r="A221" s="1" t="s">
        <v>155</v>
      </c>
      <c r="C221" s="1" t="s">
        <v>528</v>
      </c>
      <c r="K221" s="1" t="s">
        <v>529</v>
      </c>
    </row>
    <row r="222" spans="1:33" x14ac:dyDescent="0.15">
      <c r="A222" s="1" t="s">
        <v>155</v>
      </c>
      <c r="B222" s="1" t="s">
        <v>530</v>
      </c>
      <c r="E222" s="1" t="s">
        <v>531</v>
      </c>
      <c r="AG222" s="1" t="s">
        <v>532</v>
      </c>
    </row>
    <row r="223" spans="1:33" x14ac:dyDescent="0.15">
      <c r="A223" s="1" t="s">
        <v>155</v>
      </c>
      <c r="B223" s="1" t="s">
        <v>533</v>
      </c>
      <c r="E223" s="1" t="s">
        <v>534</v>
      </c>
    </row>
    <row r="224" spans="1:33" x14ac:dyDescent="0.15">
      <c r="A224" s="1" t="s">
        <v>155</v>
      </c>
      <c r="B224" s="1" t="s">
        <v>535</v>
      </c>
      <c r="E224" s="1" t="s">
        <v>464</v>
      </c>
    </row>
    <row r="225" spans="1:18" x14ac:dyDescent="0.15">
      <c r="A225" s="1" t="s">
        <v>155</v>
      </c>
      <c r="B225" s="1" t="s">
        <v>536</v>
      </c>
      <c r="E225" s="1" t="s">
        <v>537</v>
      </c>
    </row>
    <row r="226" spans="1:18" x14ac:dyDescent="0.15">
      <c r="A226" s="1" t="s">
        <v>155</v>
      </c>
      <c r="C226" s="1" t="s">
        <v>538</v>
      </c>
    </row>
    <row r="227" spans="1:18" x14ac:dyDescent="0.15">
      <c r="A227" s="1" t="s">
        <v>155</v>
      </c>
      <c r="C227" s="1" t="s">
        <v>539</v>
      </c>
      <c r="K227" s="1" t="s">
        <v>540</v>
      </c>
    </row>
    <row r="228" spans="1:18" x14ac:dyDescent="0.15">
      <c r="A228" s="1" t="s">
        <v>155</v>
      </c>
      <c r="B228" s="1" t="s">
        <v>541</v>
      </c>
      <c r="E228" s="1" t="s">
        <v>542</v>
      </c>
    </row>
    <row r="229" spans="1:18" x14ac:dyDescent="0.15">
      <c r="A229" s="1" t="s">
        <v>155</v>
      </c>
      <c r="C229" s="1" t="s">
        <v>543</v>
      </c>
      <c r="K229" s="1" t="s">
        <v>544</v>
      </c>
    </row>
    <row r="230" spans="1:18" x14ac:dyDescent="0.15">
      <c r="A230" s="1" t="s">
        <v>155</v>
      </c>
      <c r="C230" s="1" t="s">
        <v>545</v>
      </c>
      <c r="K230" s="1" t="s">
        <v>546</v>
      </c>
    </row>
    <row r="231" spans="1:18" x14ac:dyDescent="0.15">
      <c r="A231" s="1" t="s">
        <v>155</v>
      </c>
      <c r="C231" s="1" t="s">
        <v>547</v>
      </c>
      <c r="E231" s="1" t="s">
        <v>548</v>
      </c>
    </row>
    <row r="232" spans="1:18" x14ac:dyDescent="0.15">
      <c r="A232" s="1" t="s">
        <v>155</v>
      </c>
      <c r="C232" s="1" t="s">
        <v>549</v>
      </c>
      <c r="K232" s="1" t="s">
        <v>550</v>
      </c>
    </row>
    <row r="233" spans="1:18" x14ac:dyDescent="0.15">
      <c r="A233" s="1" t="s">
        <v>155</v>
      </c>
      <c r="C233" s="1" t="s">
        <v>551</v>
      </c>
      <c r="K233" s="1" t="s">
        <v>552</v>
      </c>
    </row>
    <row r="234" spans="1:18" x14ac:dyDescent="0.15">
      <c r="A234" s="1" t="s">
        <v>155</v>
      </c>
      <c r="B234" s="1" t="s">
        <v>553</v>
      </c>
      <c r="C234" s="1" t="s">
        <v>554</v>
      </c>
      <c r="E234" s="1" t="s">
        <v>555</v>
      </c>
      <c r="R234" s="1" t="s">
        <v>556</v>
      </c>
    </row>
    <row r="235" spans="1:18" x14ac:dyDescent="0.15">
      <c r="A235" s="1" t="s">
        <v>155</v>
      </c>
      <c r="C235" s="1" t="s">
        <v>557</v>
      </c>
      <c r="K235" s="1" t="s">
        <v>558</v>
      </c>
    </row>
    <row r="236" spans="1:18" x14ac:dyDescent="0.15">
      <c r="A236" s="1" t="s">
        <v>155</v>
      </c>
      <c r="C236" s="1" t="s">
        <v>559</v>
      </c>
      <c r="K236" s="1" t="s">
        <v>560</v>
      </c>
    </row>
    <row r="237" spans="1:18" x14ac:dyDescent="0.15">
      <c r="A237" s="1" t="s">
        <v>155</v>
      </c>
      <c r="C237" s="1" t="s">
        <v>561</v>
      </c>
      <c r="K237" s="1" t="s">
        <v>562</v>
      </c>
    </row>
    <row r="238" spans="1:18" x14ac:dyDescent="0.15">
      <c r="A238" s="1" t="s">
        <v>155</v>
      </c>
      <c r="C238" s="1" t="s">
        <v>563</v>
      </c>
      <c r="K238" s="1" t="s">
        <v>564</v>
      </c>
    </row>
    <row r="239" spans="1:18" x14ac:dyDescent="0.15">
      <c r="A239" s="1" t="s">
        <v>155</v>
      </c>
      <c r="C239" s="1" t="s">
        <v>565</v>
      </c>
      <c r="K239" s="1" t="s">
        <v>566</v>
      </c>
    </row>
    <row r="240" spans="1:18" x14ac:dyDescent="0.15">
      <c r="A240" s="1" t="s">
        <v>155</v>
      </c>
      <c r="C240" s="1" t="s">
        <v>567</v>
      </c>
      <c r="K240" s="1" t="s">
        <v>568</v>
      </c>
    </row>
    <row r="241" spans="1:11" x14ac:dyDescent="0.15">
      <c r="A241" s="1" t="s">
        <v>155</v>
      </c>
      <c r="C241" s="1" t="s">
        <v>569</v>
      </c>
    </row>
    <row r="242" spans="1:11" x14ac:dyDescent="0.15">
      <c r="A242" s="1" t="s">
        <v>155</v>
      </c>
      <c r="C242" s="1" t="s">
        <v>570</v>
      </c>
      <c r="K242" s="1" t="s">
        <v>571</v>
      </c>
    </row>
    <row r="243" spans="1:11" x14ac:dyDescent="0.15">
      <c r="A243" s="1" t="s">
        <v>155</v>
      </c>
      <c r="B243" s="1" t="s">
        <v>572</v>
      </c>
      <c r="E243" s="1" t="s">
        <v>573</v>
      </c>
    </row>
    <row r="244" spans="1:11" x14ac:dyDescent="0.15">
      <c r="A244" s="1" t="s">
        <v>155</v>
      </c>
      <c r="C244" s="1" t="s">
        <v>574</v>
      </c>
      <c r="E244" s="1" t="s">
        <v>575</v>
      </c>
    </row>
    <row r="245" spans="1:11" x14ac:dyDescent="0.15">
      <c r="A245" s="1" t="s">
        <v>155</v>
      </c>
      <c r="C245" s="1" t="s">
        <v>576</v>
      </c>
    </row>
    <row r="246" spans="1:11" x14ac:dyDescent="0.15">
      <c r="A246" s="1" t="s">
        <v>155</v>
      </c>
      <c r="C246" s="1" t="s">
        <v>577</v>
      </c>
      <c r="K246" s="1" t="s">
        <v>578</v>
      </c>
    </row>
    <row r="247" spans="1:11" x14ac:dyDescent="0.15">
      <c r="A247" s="1" t="s">
        <v>155</v>
      </c>
      <c r="C247" s="1" t="s">
        <v>579</v>
      </c>
      <c r="K247" s="1" t="s">
        <v>580</v>
      </c>
    </row>
    <row r="248" spans="1:11" x14ac:dyDescent="0.15">
      <c r="A248" s="1" t="s">
        <v>155</v>
      </c>
      <c r="C248" s="1" t="s">
        <v>581</v>
      </c>
    </row>
    <row r="249" spans="1:11" x14ac:dyDescent="0.15">
      <c r="A249" s="1" t="s">
        <v>155</v>
      </c>
      <c r="C249" s="1" t="s">
        <v>582</v>
      </c>
      <c r="K249" s="1" t="s">
        <v>583</v>
      </c>
    </row>
    <row r="250" spans="1:11" x14ac:dyDescent="0.15">
      <c r="A250" s="1" t="s">
        <v>155</v>
      </c>
      <c r="C250" s="1" t="s">
        <v>584</v>
      </c>
      <c r="K250" s="1" t="s">
        <v>585</v>
      </c>
    </row>
    <row r="251" spans="1:11" x14ac:dyDescent="0.15">
      <c r="A251" s="1" t="s">
        <v>155</v>
      </c>
      <c r="C251" s="1" t="s">
        <v>586</v>
      </c>
      <c r="K251" s="1" t="s">
        <v>587</v>
      </c>
    </row>
    <row r="252" spans="1:11" x14ac:dyDescent="0.15">
      <c r="A252" s="1" t="s">
        <v>155</v>
      </c>
      <c r="C252" s="1" t="s">
        <v>588</v>
      </c>
      <c r="K252" s="1" t="s">
        <v>589</v>
      </c>
    </row>
    <row r="253" spans="1:11" x14ac:dyDescent="0.15">
      <c r="A253" s="1" t="s">
        <v>155</v>
      </c>
      <c r="C253" s="1" t="s">
        <v>590</v>
      </c>
      <c r="K253" s="1" t="s">
        <v>591</v>
      </c>
    </row>
    <row r="254" spans="1:11" x14ac:dyDescent="0.15">
      <c r="A254" s="1" t="s">
        <v>155</v>
      </c>
      <c r="C254" s="1" t="s">
        <v>592</v>
      </c>
      <c r="K254" s="1" t="s">
        <v>593</v>
      </c>
    </row>
    <row r="255" spans="1:11" x14ac:dyDescent="0.15">
      <c r="A255" s="1" t="s">
        <v>155</v>
      </c>
      <c r="C255" s="1" t="s">
        <v>594</v>
      </c>
      <c r="K255" s="1" t="s">
        <v>595</v>
      </c>
    </row>
    <row r="256" spans="1:11" x14ac:dyDescent="0.15">
      <c r="A256" s="1" t="s">
        <v>155</v>
      </c>
      <c r="C256" s="1" t="s">
        <v>596</v>
      </c>
      <c r="K256" s="1" t="s">
        <v>597</v>
      </c>
    </row>
    <row r="257" spans="1:11" x14ac:dyDescent="0.15">
      <c r="A257" s="1" t="s">
        <v>155</v>
      </c>
      <c r="C257" s="1" t="s">
        <v>598</v>
      </c>
      <c r="E257" s="1" t="s">
        <v>599</v>
      </c>
    </row>
    <row r="258" spans="1:11" x14ac:dyDescent="0.15">
      <c r="A258" s="1" t="s">
        <v>155</v>
      </c>
      <c r="C258" s="1" t="s">
        <v>600</v>
      </c>
      <c r="E258" s="1" t="s">
        <v>601</v>
      </c>
    </row>
    <row r="259" spans="1:11" x14ac:dyDescent="0.15">
      <c r="A259" s="1" t="s">
        <v>155</v>
      </c>
      <c r="C259" s="1" t="s">
        <v>602</v>
      </c>
    </row>
    <row r="260" spans="1:11" x14ac:dyDescent="0.15">
      <c r="A260" s="1" t="s">
        <v>155</v>
      </c>
      <c r="C260" s="1" t="s">
        <v>603</v>
      </c>
      <c r="K260" s="1" t="s">
        <v>604</v>
      </c>
    </row>
    <row r="261" spans="1:11" x14ac:dyDescent="0.15">
      <c r="A261" s="1" t="s">
        <v>155</v>
      </c>
      <c r="C261" s="1" t="s">
        <v>605</v>
      </c>
      <c r="K261" s="1" t="s">
        <v>606</v>
      </c>
    </row>
    <row r="262" spans="1:11" x14ac:dyDescent="0.15">
      <c r="A262" s="1" t="s">
        <v>155</v>
      </c>
      <c r="C262" s="1" t="s">
        <v>607</v>
      </c>
      <c r="K262" s="1" t="s">
        <v>608</v>
      </c>
    </row>
    <row r="263" spans="1:11" x14ac:dyDescent="0.15">
      <c r="A263" s="1" t="s">
        <v>155</v>
      </c>
      <c r="C263" s="1" t="s">
        <v>609</v>
      </c>
      <c r="K263" s="1" t="s">
        <v>610</v>
      </c>
    </row>
    <row r="264" spans="1:11" x14ac:dyDescent="0.15">
      <c r="A264" s="1" t="s">
        <v>155</v>
      </c>
      <c r="C264" s="1" t="s">
        <v>611</v>
      </c>
      <c r="K264" s="1" t="s">
        <v>612</v>
      </c>
    </row>
    <row r="265" spans="1:11" x14ac:dyDescent="0.15">
      <c r="A265" s="1" t="s">
        <v>155</v>
      </c>
      <c r="C265" s="1" t="s">
        <v>613</v>
      </c>
      <c r="K265" s="1" t="s">
        <v>614</v>
      </c>
    </row>
    <row r="266" spans="1:11" x14ac:dyDescent="0.15">
      <c r="A266" s="1" t="s">
        <v>155</v>
      </c>
      <c r="C266" s="1" t="s">
        <v>615</v>
      </c>
      <c r="E266" s="1" t="s">
        <v>616</v>
      </c>
    </row>
    <row r="267" spans="1:11" x14ac:dyDescent="0.15">
      <c r="A267" s="1" t="s">
        <v>155</v>
      </c>
      <c r="C267" s="1" t="s">
        <v>615</v>
      </c>
      <c r="K267" s="1" t="s">
        <v>617</v>
      </c>
    </row>
    <row r="268" spans="1:11" x14ac:dyDescent="0.15">
      <c r="A268" s="1" t="s">
        <v>155</v>
      </c>
      <c r="C268" s="1" t="s">
        <v>618</v>
      </c>
      <c r="K268" s="1" t="s">
        <v>619</v>
      </c>
    </row>
    <row r="269" spans="1:11" x14ac:dyDescent="0.15">
      <c r="A269" s="1" t="s">
        <v>155</v>
      </c>
      <c r="C269" s="1" t="s">
        <v>620</v>
      </c>
      <c r="E269" s="1" t="s">
        <v>621</v>
      </c>
    </row>
    <row r="270" spans="1:11" x14ac:dyDescent="0.15">
      <c r="A270" s="1" t="s">
        <v>155</v>
      </c>
      <c r="C270" s="1" t="s">
        <v>622</v>
      </c>
      <c r="K270" s="1" t="s">
        <v>623</v>
      </c>
    </row>
    <row r="271" spans="1:11" x14ac:dyDescent="0.15">
      <c r="A271" s="1" t="s">
        <v>155</v>
      </c>
      <c r="C271" s="1" t="s">
        <v>624</v>
      </c>
      <c r="K271" s="1" t="s">
        <v>625</v>
      </c>
    </row>
    <row r="272" spans="1:11" x14ac:dyDescent="0.15">
      <c r="A272" s="1" t="s">
        <v>155</v>
      </c>
      <c r="C272" s="1" t="s">
        <v>626</v>
      </c>
      <c r="K272" s="1" t="s">
        <v>627</v>
      </c>
    </row>
    <row r="273" spans="1:49" x14ac:dyDescent="0.15">
      <c r="A273" s="1" t="s">
        <v>155</v>
      </c>
      <c r="C273" s="1" t="s">
        <v>628</v>
      </c>
      <c r="K273" s="1" t="s">
        <v>629</v>
      </c>
    </row>
    <row r="274" spans="1:49" x14ac:dyDescent="0.15">
      <c r="A274" s="1" t="s">
        <v>155</v>
      </c>
      <c r="C274" s="1" t="s">
        <v>630</v>
      </c>
      <c r="K274" s="1" t="s">
        <v>631</v>
      </c>
    </row>
    <row r="275" spans="1:49" x14ac:dyDescent="0.15">
      <c r="A275" s="1" t="s">
        <v>155</v>
      </c>
      <c r="C275" s="1" t="s">
        <v>632</v>
      </c>
      <c r="K275" s="1" t="s">
        <v>633</v>
      </c>
    </row>
    <row r="276" spans="1:49" x14ac:dyDescent="0.15">
      <c r="A276" s="1" t="s">
        <v>155</v>
      </c>
      <c r="C276" s="1" t="s">
        <v>634</v>
      </c>
      <c r="K276" s="1" t="s">
        <v>635</v>
      </c>
    </row>
    <row r="277" spans="1:49" x14ac:dyDescent="0.15">
      <c r="A277" s="1" t="s">
        <v>155</v>
      </c>
      <c r="C277" s="1" t="s">
        <v>636</v>
      </c>
      <c r="K277" s="1" t="s">
        <v>637</v>
      </c>
    </row>
    <row r="278" spans="1:49" x14ac:dyDescent="0.15">
      <c r="A278" s="1" t="s">
        <v>155</v>
      </c>
      <c r="C278" s="1" t="s">
        <v>638</v>
      </c>
      <c r="K278" s="1" t="s">
        <v>639</v>
      </c>
    </row>
    <row r="279" spans="1:49" x14ac:dyDescent="0.15">
      <c r="A279" s="1" t="s">
        <v>155</v>
      </c>
      <c r="C279" s="1" t="s">
        <v>640</v>
      </c>
    </row>
    <row r="280" spans="1:49" x14ac:dyDescent="0.15">
      <c r="A280" s="1" t="s">
        <v>155</v>
      </c>
      <c r="C280" s="1" t="s">
        <v>641</v>
      </c>
    </row>
    <row r="281" spans="1:49" x14ac:dyDescent="0.15">
      <c r="A281" s="1" t="s">
        <v>155</v>
      </c>
      <c r="C281" s="1" t="s">
        <v>642</v>
      </c>
    </row>
    <row r="282" spans="1:49" x14ac:dyDescent="0.15">
      <c r="A282" s="1" t="s">
        <v>155</v>
      </c>
      <c r="C282" s="1" t="s">
        <v>643</v>
      </c>
      <c r="F282" s="1" t="s">
        <v>644</v>
      </c>
    </row>
    <row r="283" spans="1:49" x14ac:dyDescent="0.15">
      <c r="A283" s="1" t="s">
        <v>155</v>
      </c>
      <c r="C283" s="1" t="s">
        <v>645</v>
      </c>
      <c r="K283" s="1" t="s">
        <v>646</v>
      </c>
      <c r="R283" s="1" t="s">
        <v>647</v>
      </c>
    </row>
    <row r="284" spans="1:49" x14ac:dyDescent="0.15">
      <c r="A284" s="1" t="s">
        <v>155</v>
      </c>
      <c r="C284" s="1" t="s">
        <v>150</v>
      </c>
      <c r="F284" s="1" t="s">
        <v>648</v>
      </c>
    </row>
    <row r="285" spans="1:49" x14ac:dyDescent="0.15">
      <c r="A285" s="1" t="s">
        <v>155</v>
      </c>
      <c r="C285" s="1" t="s">
        <v>150</v>
      </c>
      <c r="F285" s="1" t="s">
        <v>649</v>
      </c>
    </row>
    <row r="286" spans="1:49" x14ac:dyDescent="0.15">
      <c r="A286" s="1" t="s">
        <v>155</v>
      </c>
      <c r="C286" s="1" t="s">
        <v>150</v>
      </c>
      <c r="F286" s="1" t="s">
        <v>650</v>
      </c>
    </row>
    <row r="287" spans="1:49" x14ac:dyDescent="0.15">
      <c r="A287" s="1" t="s">
        <v>651</v>
      </c>
      <c r="C287" s="1" t="s">
        <v>652</v>
      </c>
      <c r="F287" s="1" t="s">
        <v>653</v>
      </c>
      <c r="AW287" s="1" t="s">
        <v>155</v>
      </c>
    </row>
    <row r="288" spans="1:49" x14ac:dyDescent="0.15">
      <c r="A288" s="1" t="s">
        <v>651</v>
      </c>
      <c r="C288" s="1" t="s">
        <v>652</v>
      </c>
      <c r="E288" s="1" t="s">
        <v>654</v>
      </c>
    </row>
    <row r="289" spans="1:49" x14ac:dyDescent="0.15">
      <c r="A289" s="1" t="s">
        <v>651</v>
      </c>
      <c r="C289" s="1" t="s">
        <v>655</v>
      </c>
      <c r="F289" s="1" t="s">
        <v>656</v>
      </c>
      <c r="AW289" s="1" t="s">
        <v>141</v>
      </c>
    </row>
    <row r="290" spans="1:49" x14ac:dyDescent="0.15">
      <c r="A290" s="1" t="s">
        <v>651</v>
      </c>
      <c r="C290" s="1" t="s">
        <v>655</v>
      </c>
      <c r="E290" s="1" t="s">
        <v>657</v>
      </c>
    </row>
    <row r="291" spans="1:49" x14ac:dyDescent="0.15">
      <c r="A291" s="1" t="s">
        <v>651</v>
      </c>
      <c r="C291" s="1" t="s">
        <v>5</v>
      </c>
      <c r="E291" s="1" t="s">
        <v>658</v>
      </c>
    </row>
    <row r="292" spans="1:49" x14ac:dyDescent="0.15">
      <c r="A292" s="1" t="s">
        <v>651</v>
      </c>
      <c r="C292" s="1" t="s">
        <v>659</v>
      </c>
      <c r="F292" s="1" t="s">
        <v>142</v>
      </c>
    </row>
    <row r="293" spans="1:49" x14ac:dyDescent="0.15">
      <c r="A293" s="1" t="s">
        <v>651</v>
      </c>
      <c r="C293" s="1" t="s">
        <v>660</v>
      </c>
      <c r="F293" s="1" t="s">
        <v>661</v>
      </c>
      <c r="AW293" s="1" t="s">
        <v>141</v>
      </c>
    </row>
    <row r="294" spans="1:49" x14ac:dyDescent="0.15">
      <c r="A294" s="1" t="s">
        <v>651</v>
      </c>
      <c r="C294" s="1" t="s">
        <v>662</v>
      </c>
      <c r="F294" s="1" t="s">
        <v>663</v>
      </c>
      <c r="AW294" s="1" t="s">
        <v>141</v>
      </c>
    </row>
    <row r="295" spans="1:49" x14ac:dyDescent="0.15">
      <c r="A295" s="1" t="s">
        <v>651</v>
      </c>
      <c r="C295" s="1" t="s">
        <v>143</v>
      </c>
      <c r="E295" s="1" t="s">
        <v>664</v>
      </c>
    </row>
    <row r="296" spans="1:49" x14ac:dyDescent="0.15">
      <c r="A296" s="1" t="s">
        <v>651</v>
      </c>
      <c r="C296" s="1" t="s">
        <v>665</v>
      </c>
      <c r="F296" s="1" t="s">
        <v>666</v>
      </c>
      <c r="AW296" s="1" t="s">
        <v>141</v>
      </c>
    </row>
    <row r="297" spans="1:49" x14ac:dyDescent="0.15">
      <c r="A297" s="1" t="s">
        <v>651</v>
      </c>
      <c r="C297" s="1" t="s">
        <v>667</v>
      </c>
      <c r="F297" s="1" t="s">
        <v>668</v>
      </c>
      <c r="AW297" s="1" t="s">
        <v>141</v>
      </c>
    </row>
    <row r="298" spans="1:49" x14ac:dyDescent="0.15">
      <c r="A298" s="1" t="s">
        <v>651</v>
      </c>
      <c r="C298" s="1" t="s">
        <v>667</v>
      </c>
      <c r="E298" s="1" t="s">
        <v>669</v>
      </c>
    </row>
    <row r="299" spans="1:49" x14ac:dyDescent="0.15">
      <c r="A299" s="1" t="s">
        <v>651</v>
      </c>
      <c r="C299" s="1" t="s">
        <v>670</v>
      </c>
      <c r="F299" s="1" t="s">
        <v>671</v>
      </c>
      <c r="AW299" s="1" t="s">
        <v>141</v>
      </c>
    </row>
    <row r="300" spans="1:49" x14ac:dyDescent="0.15">
      <c r="A300" s="1" t="s">
        <v>651</v>
      </c>
      <c r="C300" s="1" t="s">
        <v>672</v>
      </c>
      <c r="F300" s="1" t="s">
        <v>673</v>
      </c>
      <c r="AW300" s="1" t="s">
        <v>141</v>
      </c>
    </row>
    <row r="301" spans="1:49" x14ac:dyDescent="0.15">
      <c r="A301" s="1" t="s">
        <v>651</v>
      </c>
      <c r="C301" s="1" t="s">
        <v>674</v>
      </c>
      <c r="F301" s="1" t="s">
        <v>675</v>
      </c>
      <c r="AW301" s="1" t="s">
        <v>141</v>
      </c>
    </row>
    <row r="302" spans="1:49" x14ac:dyDescent="0.15">
      <c r="A302" s="1" t="s">
        <v>651</v>
      </c>
      <c r="C302" s="1" t="s">
        <v>676</v>
      </c>
      <c r="F302" s="1" t="s">
        <v>677</v>
      </c>
      <c r="AW302" s="1" t="s">
        <v>141</v>
      </c>
    </row>
    <row r="303" spans="1:49" x14ac:dyDescent="0.15">
      <c r="A303" s="1" t="s">
        <v>651</v>
      </c>
      <c r="C303" s="1" t="s">
        <v>678</v>
      </c>
      <c r="F303" s="1" t="s">
        <v>679</v>
      </c>
      <c r="AW303" s="1" t="s">
        <v>141</v>
      </c>
    </row>
    <row r="304" spans="1:49" x14ac:dyDescent="0.15">
      <c r="A304" s="1" t="s">
        <v>651</v>
      </c>
      <c r="C304" s="1" t="s">
        <v>680</v>
      </c>
      <c r="F304" s="1" t="s">
        <v>681</v>
      </c>
      <c r="AW304" s="1" t="s">
        <v>141</v>
      </c>
    </row>
    <row r="305" spans="1:50" x14ac:dyDescent="0.15">
      <c r="A305" s="1" t="s">
        <v>651</v>
      </c>
      <c r="C305" s="1" t="s">
        <v>682</v>
      </c>
      <c r="F305" s="1" t="s">
        <v>683</v>
      </c>
      <c r="AW305" s="1" t="s">
        <v>141</v>
      </c>
    </row>
    <row r="306" spans="1:50" x14ac:dyDescent="0.15">
      <c r="A306" s="1" t="s">
        <v>651</v>
      </c>
      <c r="C306" s="1" t="s">
        <v>684</v>
      </c>
      <c r="F306" s="1" t="s">
        <v>685</v>
      </c>
      <c r="AW306" s="1" t="s">
        <v>141</v>
      </c>
    </row>
    <row r="307" spans="1:50" x14ac:dyDescent="0.15">
      <c r="A307" s="1" t="s">
        <v>651</v>
      </c>
      <c r="C307" s="1" t="s">
        <v>684</v>
      </c>
      <c r="E307" s="1" t="s">
        <v>686</v>
      </c>
    </row>
    <row r="308" spans="1:50" x14ac:dyDescent="0.15">
      <c r="A308" s="1" t="s">
        <v>651</v>
      </c>
      <c r="C308" s="1" t="s">
        <v>687</v>
      </c>
      <c r="F308" s="1" t="s">
        <v>688</v>
      </c>
      <c r="AW308" s="1" t="s">
        <v>141</v>
      </c>
    </row>
    <row r="309" spans="1:50" x14ac:dyDescent="0.15">
      <c r="A309" s="1" t="s">
        <v>651</v>
      </c>
      <c r="C309" s="1" t="s">
        <v>687</v>
      </c>
      <c r="E309" s="1" t="s">
        <v>689</v>
      </c>
    </row>
    <row r="310" spans="1:50" x14ac:dyDescent="0.15">
      <c r="A310" s="1" t="s">
        <v>651</v>
      </c>
      <c r="C310" s="1" t="s">
        <v>690</v>
      </c>
      <c r="F310" s="1" t="s">
        <v>691</v>
      </c>
      <c r="AW310" s="1" t="s">
        <v>0</v>
      </c>
    </row>
    <row r="311" spans="1:50" x14ac:dyDescent="0.15">
      <c r="A311" s="1" t="s">
        <v>651</v>
      </c>
      <c r="C311" s="1" t="s">
        <v>690</v>
      </c>
      <c r="F311" s="1" t="s">
        <v>692</v>
      </c>
    </row>
    <row r="312" spans="1:50" x14ac:dyDescent="0.15">
      <c r="A312" s="1" t="s">
        <v>651</v>
      </c>
      <c r="C312" s="1" t="s">
        <v>690</v>
      </c>
      <c r="E312" s="1" t="s">
        <v>693</v>
      </c>
    </row>
    <row r="313" spans="1:50" x14ac:dyDescent="0.15">
      <c r="A313" s="1" t="s">
        <v>694</v>
      </c>
      <c r="B313" s="1" t="s">
        <v>695</v>
      </c>
      <c r="E313" s="1" t="s">
        <v>696</v>
      </c>
      <c r="AW313" s="1" t="s">
        <v>697</v>
      </c>
    </row>
    <row r="314" spans="1:50" x14ac:dyDescent="0.15">
      <c r="A314" s="1" t="s">
        <v>694</v>
      </c>
      <c r="C314" s="1" t="s">
        <v>698</v>
      </c>
      <c r="K314" s="1" t="s">
        <v>699</v>
      </c>
      <c r="AW314" s="1" t="s">
        <v>697</v>
      </c>
    </row>
    <row r="315" spans="1:50" x14ac:dyDescent="0.15">
      <c r="A315" s="1" t="s">
        <v>694</v>
      </c>
      <c r="B315" s="1" t="s">
        <v>700</v>
      </c>
      <c r="E315" s="1" t="s">
        <v>701</v>
      </c>
      <c r="F315" s="1" t="s">
        <v>702</v>
      </c>
      <c r="AW315" s="1" t="s">
        <v>697</v>
      </c>
    </row>
    <row r="316" spans="1:50" x14ac:dyDescent="0.15">
      <c r="A316" s="1" t="s">
        <v>694</v>
      </c>
      <c r="C316" s="1" t="s">
        <v>703</v>
      </c>
      <c r="K316" s="1" t="s">
        <v>704</v>
      </c>
      <c r="AW316" s="1" t="s">
        <v>697</v>
      </c>
    </row>
    <row r="317" spans="1:50" x14ac:dyDescent="0.15">
      <c r="A317" s="1" t="s">
        <v>694</v>
      </c>
      <c r="C317" s="1" t="s">
        <v>705</v>
      </c>
      <c r="F317" s="1" t="s">
        <v>706</v>
      </c>
      <c r="AW317" s="1" t="s">
        <v>697</v>
      </c>
      <c r="AX317" s="1" t="s">
        <v>164</v>
      </c>
    </row>
    <row r="318" spans="1:50" x14ac:dyDescent="0.15">
      <c r="A318" s="1" t="s">
        <v>694</v>
      </c>
      <c r="C318" s="1" t="s">
        <v>707</v>
      </c>
      <c r="K318" s="1" t="s">
        <v>708</v>
      </c>
      <c r="R318" s="1" t="s">
        <v>709</v>
      </c>
      <c r="AW318" s="1" t="s">
        <v>697</v>
      </c>
    </row>
    <row r="319" spans="1:50" x14ac:dyDescent="0.15">
      <c r="A319" s="1" t="s">
        <v>694</v>
      </c>
      <c r="B319" s="1" t="s">
        <v>710</v>
      </c>
      <c r="C319" s="1" t="s">
        <v>178</v>
      </c>
      <c r="F319" s="1" t="s">
        <v>179</v>
      </c>
      <c r="K319" s="1" t="s">
        <v>711</v>
      </c>
      <c r="AW319" s="1" t="s">
        <v>697</v>
      </c>
    </row>
    <row r="320" spans="1:50" x14ac:dyDescent="0.15">
      <c r="A320" s="1" t="s">
        <v>694</v>
      </c>
      <c r="C320" s="1" t="s">
        <v>184</v>
      </c>
      <c r="E320" s="1" t="s">
        <v>712</v>
      </c>
      <c r="K320" s="1" t="s">
        <v>713</v>
      </c>
      <c r="AG320" s="1" t="s">
        <v>712</v>
      </c>
      <c r="AW320" s="1" t="s">
        <v>697</v>
      </c>
    </row>
    <row r="321" spans="1:49" x14ac:dyDescent="0.15">
      <c r="A321" s="1" t="s">
        <v>694</v>
      </c>
      <c r="C321" s="1" t="s">
        <v>186</v>
      </c>
      <c r="K321" s="1" t="s">
        <v>714</v>
      </c>
      <c r="AW321" s="1" t="s">
        <v>697</v>
      </c>
    </row>
    <row r="322" spans="1:49" x14ac:dyDescent="0.15">
      <c r="A322" s="1" t="s">
        <v>694</v>
      </c>
      <c r="C322" s="1" t="s">
        <v>715</v>
      </c>
      <c r="K322" s="1" t="s">
        <v>716</v>
      </c>
      <c r="AW322" s="1" t="s">
        <v>697</v>
      </c>
    </row>
    <row r="323" spans="1:49" x14ac:dyDescent="0.15">
      <c r="A323" s="1" t="s">
        <v>694</v>
      </c>
      <c r="B323" s="1" t="s">
        <v>717</v>
      </c>
      <c r="E323" s="1" t="s">
        <v>718</v>
      </c>
      <c r="AW323" s="1" t="s">
        <v>697</v>
      </c>
    </row>
    <row r="324" spans="1:49" x14ac:dyDescent="0.15">
      <c r="A324" s="1" t="s">
        <v>694</v>
      </c>
      <c r="B324" s="1" t="s">
        <v>717</v>
      </c>
      <c r="C324" s="1" t="s">
        <v>719</v>
      </c>
      <c r="E324" s="1" t="s">
        <v>718</v>
      </c>
      <c r="F324" s="1" t="s">
        <v>720</v>
      </c>
    </row>
    <row r="325" spans="1:49" x14ac:dyDescent="0.15">
      <c r="A325" s="1" t="s">
        <v>694</v>
      </c>
      <c r="B325" s="1"/>
      <c r="C325" s="1" t="s">
        <v>196</v>
      </c>
      <c r="E325" s="1" t="s">
        <v>721</v>
      </c>
      <c r="F325" s="1" t="s">
        <v>195</v>
      </c>
      <c r="AG325" s="1" t="s">
        <v>722</v>
      </c>
      <c r="AH325" s="1" t="s">
        <v>722</v>
      </c>
      <c r="AS325" s="1" t="s">
        <v>723</v>
      </c>
      <c r="AT325" s="1" t="s">
        <v>723</v>
      </c>
      <c r="AW325" s="1" t="s">
        <v>697</v>
      </c>
    </row>
    <row r="326" spans="1:49" x14ac:dyDescent="0.15">
      <c r="A326" s="1" t="s">
        <v>694</v>
      </c>
      <c r="B326" s="1" t="s">
        <v>515</v>
      </c>
      <c r="C326" s="1" t="s">
        <v>515</v>
      </c>
      <c r="F326" s="1" t="s">
        <v>198</v>
      </c>
      <c r="K326" s="1" t="s">
        <v>724</v>
      </c>
      <c r="AW326" s="1" t="s">
        <v>697</v>
      </c>
    </row>
    <row r="327" spans="1:49" x14ac:dyDescent="0.15">
      <c r="A327" s="1" t="s">
        <v>694</v>
      </c>
      <c r="B327" s="1" t="s">
        <v>725</v>
      </c>
      <c r="E327" s="1" t="s">
        <v>726</v>
      </c>
      <c r="F327" s="1" t="s">
        <v>727</v>
      </c>
    </row>
    <row r="328" spans="1:49" x14ac:dyDescent="0.15">
      <c r="A328" s="1" t="s">
        <v>694</v>
      </c>
      <c r="C328" s="1" t="s">
        <v>728</v>
      </c>
      <c r="E328" s="1" t="s">
        <v>729</v>
      </c>
      <c r="K328" s="1" t="s">
        <v>730</v>
      </c>
      <c r="AQ328" s="1" t="s">
        <v>730</v>
      </c>
      <c r="AW328" s="1" t="s">
        <v>697</v>
      </c>
    </row>
    <row r="329" spans="1:49" x14ac:dyDescent="0.15">
      <c r="A329" s="1" t="s">
        <v>694</v>
      </c>
      <c r="B329" s="1" t="s">
        <v>731</v>
      </c>
      <c r="C329" s="1" t="s">
        <v>732</v>
      </c>
      <c r="E329" s="1" t="s">
        <v>548</v>
      </c>
      <c r="F329" s="1" t="s">
        <v>733</v>
      </c>
    </row>
    <row r="330" spans="1:49" x14ac:dyDescent="0.15">
      <c r="A330" s="1" t="s">
        <v>694</v>
      </c>
      <c r="B330" s="1" t="s">
        <v>734</v>
      </c>
      <c r="C330" s="1" t="s">
        <v>735</v>
      </c>
      <c r="E330" s="1" t="s">
        <v>736</v>
      </c>
      <c r="F330" s="1" t="s">
        <v>737</v>
      </c>
      <c r="AW330" s="1" t="s">
        <v>697</v>
      </c>
    </row>
    <row r="331" spans="1:49" x14ac:dyDescent="0.15">
      <c r="A331" s="1" t="s">
        <v>694</v>
      </c>
      <c r="C331" s="1" t="s">
        <v>738</v>
      </c>
      <c r="K331" s="1" t="s">
        <v>739</v>
      </c>
      <c r="AW331" s="1" t="s">
        <v>697</v>
      </c>
    </row>
    <row r="332" spans="1:49" x14ac:dyDescent="0.15">
      <c r="A332" s="1" t="s">
        <v>694</v>
      </c>
      <c r="B332" s="1" t="s">
        <v>740</v>
      </c>
      <c r="E332" s="1" t="s">
        <v>741</v>
      </c>
      <c r="F332" s="1" t="s">
        <v>256</v>
      </c>
      <c r="AW332" s="1" t="s">
        <v>697</v>
      </c>
    </row>
    <row r="333" spans="1:49" x14ac:dyDescent="0.15">
      <c r="A333" s="1" t="s">
        <v>694</v>
      </c>
      <c r="C333" s="1" t="s">
        <v>742</v>
      </c>
      <c r="K333" s="1" t="s">
        <v>743</v>
      </c>
      <c r="AW333" s="1" t="s">
        <v>697</v>
      </c>
    </row>
    <row r="334" spans="1:49" x14ac:dyDescent="0.15">
      <c r="A334" s="1" t="s">
        <v>694</v>
      </c>
      <c r="B334" s="1" t="s">
        <v>533</v>
      </c>
      <c r="E334" s="1" t="s">
        <v>744</v>
      </c>
      <c r="AW334" s="1" t="s">
        <v>697</v>
      </c>
    </row>
    <row r="335" spans="1:49" x14ac:dyDescent="0.15">
      <c r="A335" s="1" t="s">
        <v>745</v>
      </c>
      <c r="C335" s="1" t="s">
        <v>746</v>
      </c>
      <c r="K335" s="1" t="s">
        <v>747</v>
      </c>
    </row>
    <row r="336" spans="1:49" x14ac:dyDescent="0.15">
      <c r="A336" s="1" t="s">
        <v>745</v>
      </c>
      <c r="C336" s="1" t="s">
        <v>748</v>
      </c>
      <c r="K336" s="1" t="s">
        <v>749</v>
      </c>
    </row>
    <row r="337" spans="1:30" x14ac:dyDescent="0.15">
      <c r="A337" s="1" t="s">
        <v>745</v>
      </c>
      <c r="C337" s="1" t="s">
        <v>750</v>
      </c>
      <c r="K337" s="1" t="s">
        <v>751</v>
      </c>
    </row>
    <row r="338" spans="1:30" x14ac:dyDescent="0.15">
      <c r="A338" s="1" t="s">
        <v>745</v>
      </c>
      <c r="C338" s="1" t="s">
        <v>752</v>
      </c>
      <c r="K338" s="1" t="s">
        <v>753</v>
      </c>
    </row>
    <row r="339" spans="1:30" x14ac:dyDescent="0.15">
      <c r="A339" s="1" t="s">
        <v>745</v>
      </c>
      <c r="C339" s="1" t="s">
        <v>754</v>
      </c>
      <c r="K339" s="1" t="s">
        <v>755</v>
      </c>
    </row>
    <row r="340" spans="1:30" x14ac:dyDescent="0.15">
      <c r="A340" s="1" t="s">
        <v>745</v>
      </c>
      <c r="B340" s="1" t="s">
        <v>756</v>
      </c>
      <c r="C340" s="1" t="s">
        <v>757</v>
      </c>
      <c r="E340" s="1" t="s">
        <v>347</v>
      </c>
      <c r="F340" s="1" t="s">
        <v>758</v>
      </c>
      <c r="R340" s="1" t="s">
        <v>759</v>
      </c>
      <c r="AD340" s="1" t="s">
        <v>760</v>
      </c>
    </row>
    <row r="341" spans="1:30" x14ac:dyDescent="0.15">
      <c r="A341" s="1" t="s">
        <v>745</v>
      </c>
      <c r="C341" s="1" t="s">
        <v>761</v>
      </c>
      <c r="K341" s="1" t="s">
        <v>762</v>
      </c>
    </row>
    <row r="342" spans="1:30" x14ac:dyDescent="0.15">
      <c r="A342" s="1" t="s">
        <v>745</v>
      </c>
      <c r="C342" s="1" t="s">
        <v>763</v>
      </c>
      <c r="K342" s="1" t="s">
        <v>764</v>
      </c>
    </row>
    <row r="343" spans="1:30" x14ac:dyDescent="0.15">
      <c r="A343" s="1" t="s">
        <v>745</v>
      </c>
      <c r="C343" s="1" t="s">
        <v>765</v>
      </c>
      <c r="K343" s="1" t="s">
        <v>766</v>
      </c>
    </row>
    <row r="344" spans="1:30" x14ac:dyDescent="0.15">
      <c r="A344" s="1" t="s">
        <v>745</v>
      </c>
      <c r="C344" s="1" t="s">
        <v>767</v>
      </c>
      <c r="K344" s="1" t="s">
        <v>768</v>
      </c>
    </row>
    <row r="345" spans="1:30" x14ac:dyDescent="0.15">
      <c r="A345" s="1" t="s">
        <v>745</v>
      </c>
      <c r="C345" s="1" t="s">
        <v>769</v>
      </c>
      <c r="K345" s="1" t="s">
        <v>593</v>
      </c>
    </row>
    <row r="346" spans="1:30" x14ac:dyDescent="0.15">
      <c r="A346" s="1" t="s">
        <v>745</v>
      </c>
      <c r="C346" s="1" t="s">
        <v>770</v>
      </c>
      <c r="K346" s="1" t="s">
        <v>771</v>
      </c>
    </row>
    <row r="347" spans="1:30" x14ac:dyDescent="0.15">
      <c r="A347" s="1" t="s">
        <v>745</v>
      </c>
      <c r="C347" s="1" t="s">
        <v>772</v>
      </c>
      <c r="K347" s="1" t="s">
        <v>773</v>
      </c>
    </row>
    <row r="348" spans="1:30" x14ac:dyDescent="0.15">
      <c r="A348" s="1" t="s">
        <v>745</v>
      </c>
      <c r="B348" s="1" t="s">
        <v>774</v>
      </c>
      <c r="C348" s="1" t="s">
        <v>775</v>
      </c>
      <c r="E348" s="1" t="s">
        <v>776</v>
      </c>
      <c r="F348" s="1" t="s">
        <v>777</v>
      </c>
      <c r="G348" s="1" t="s">
        <v>778</v>
      </c>
      <c r="R348" s="1" t="s">
        <v>779</v>
      </c>
      <c r="AD348" s="1" t="s">
        <v>760</v>
      </c>
    </row>
    <row r="349" spans="1:30" x14ac:dyDescent="0.15">
      <c r="A349" s="1" t="s">
        <v>745</v>
      </c>
      <c r="C349" s="1" t="s">
        <v>780</v>
      </c>
      <c r="K349" s="1" t="s">
        <v>781</v>
      </c>
    </row>
    <row r="350" spans="1:30" x14ac:dyDescent="0.15">
      <c r="A350" s="1" t="s">
        <v>745</v>
      </c>
      <c r="C350" s="1" t="s">
        <v>782</v>
      </c>
      <c r="K350" s="1" t="s">
        <v>783</v>
      </c>
    </row>
    <row r="351" spans="1:30" x14ac:dyDescent="0.15">
      <c r="A351" s="1" t="s">
        <v>745</v>
      </c>
      <c r="C351" s="1" t="s">
        <v>784</v>
      </c>
      <c r="K351" s="1" t="s">
        <v>785</v>
      </c>
    </row>
    <row r="352" spans="1:30" x14ac:dyDescent="0.15">
      <c r="A352" s="1" t="s">
        <v>745</v>
      </c>
      <c r="C352" s="1" t="s">
        <v>786</v>
      </c>
      <c r="K352" s="1" t="s">
        <v>787</v>
      </c>
    </row>
    <row r="353" spans="1:49" x14ac:dyDescent="0.15">
      <c r="A353" s="1" t="s">
        <v>745</v>
      </c>
      <c r="C353" s="1" t="s">
        <v>788</v>
      </c>
      <c r="K353" s="1" t="s">
        <v>789</v>
      </c>
    </row>
    <row r="354" spans="1:49" x14ac:dyDescent="0.15">
      <c r="A354" s="1" t="s">
        <v>745</v>
      </c>
      <c r="C354" s="1" t="s">
        <v>790</v>
      </c>
      <c r="K354" s="1" t="s">
        <v>791</v>
      </c>
    </row>
    <row r="355" spans="1:49" x14ac:dyDescent="0.15">
      <c r="A355" s="1" t="s">
        <v>745</v>
      </c>
      <c r="C355" s="1" t="s">
        <v>792</v>
      </c>
      <c r="K355" s="1" t="s">
        <v>793</v>
      </c>
    </row>
    <row r="356" spans="1:49" x14ac:dyDescent="0.15">
      <c r="A356" s="1" t="s">
        <v>745</v>
      </c>
      <c r="C356" s="1" t="s">
        <v>794</v>
      </c>
      <c r="K356" s="1" t="s">
        <v>795</v>
      </c>
    </row>
    <row r="357" spans="1:49" x14ac:dyDescent="0.15">
      <c r="A357" s="1" t="s">
        <v>745</v>
      </c>
      <c r="C357" s="1" t="s">
        <v>796</v>
      </c>
      <c r="K357" s="1" t="s">
        <v>797</v>
      </c>
    </row>
    <row r="358" spans="1:49" x14ac:dyDescent="0.15">
      <c r="A358" s="1" t="s">
        <v>745</v>
      </c>
      <c r="C358" s="1" t="s">
        <v>798</v>
      </c>
      <c r="K358" s="1" t="s">
        <v>799</v>
      </c>
    </row>
    <row r="359" spans="1:49" x14ac:dyDescent="0.15">
      <c r="A359" s="1" t="s">
        <v>745</v>
      </c>
      <c r="C359" s="1" t="s">
        <v>800</v>
      </c>
      <c r="K359" s="1" t="s">
        <v>801</v>
      </c>
    </row>
    <row r="360" spans="1:49" x14ac:dyDescent="0.15">
      <c r="A360" s="1" t="s">
        <v>745</v>
      </c>
      <c r="B360" s="1" t="s">
        <v>384</v>
      </c>
      <c r="E360" s="1" t="s">
        <v>802</v>
      </c>
    </row>
    <row r="361" spans="1:49" x14ac:dyDescent="0.15">
      <c r="A361" s="1" t="s">
        <v>745</v>
      </c>
      <c r="C361" s="1" t="s">
        <v>803</v>
      </c>
      <c r="K361" s="1" t="s">
        <v>804</v>
      </c>
    </row>
    <row r="362" spans="1:49" x14ac:dyDescent="0.15">
      <c r="A362" s="1" t="s">
        <v>745</v>
      </c>
      <c r="C362" s="1" t="s">
        <v>805</v>
      </c>
      <c r="K362" s="1" t="s">
        <v>806</v>
      </c>
    </row>
    <row r="363" spans="1:49" x14ac:dyDescent="0.15">
      <c r="A363" s="1" t="s">
        <v>807</v>
      </c>
      <c r="B363" s="1" t="s">
        <v>808</v>
      </c>
      <c r="E363" s="1" t="s">
        <v>809</v>
      </c>
      <c r="F363" s="1" t="s">
        <v>228</v>
      </c>
      <c r="AW363" s="1" t="s">
        <v>697</v>
      </c>
    </row>
    <row r="364" spans="1:49" x14ac:dyDescent="0.15">
      <c r="A364" s="1" t="s">
        <v>807</v>
      </c>
      <c r="B364" s="1" t="s">
        <v>810</v>
      </c>
      <c r="E364" s="1" t="s">
        <v>811</v>
      </c>
      <c r="F364" s="1" t="s">
        <v>234</v>
      </c>
      <c r="K364" s="1" t="s">
        <v>812</v>
      </c>
      <c r="AQ364" s="1" t="s">
        <v>812</v>
      </c>
      <c r="AW364" s="1" t="s">
        <v>697</v>
      </c>
    </row>
    <row r="365" spans="1:49" x14ac:dyDescent="0.15">
      <c r="A365" s="1" t="s">
        <v>807</v>
      </c>
      <c r="B365" s="1" t="s">
        <v>813</v>
      </c>
      <c r="E365" s="1" t="s">
        <v>814</v>
      </c>
      <c r="F365" s="1" t="s">
        <v>237</v>
      </c>
      <c r="AW365" s="1" t="s">
        <v>697</v>
      </c>
    </row>
    <row r="366" spans="1:49" x14ac:dyDescent="0.15">
      <c r="A366" s="1" t="s">
        <v>807</v>
      </c>
      <c r="B366" s="1" t="s">
        <v>815</v>
      </c>
      <c r="E366" s="1" t="s">
        <v>816</v>
      </c>
      <c r="AW366" s="1" t="s">
        <v>697</v>
      </c>
    </row>
    <row r="367" spans="1:49" x14ac:dyDescent="0.15">
      <c r="A367" s="1" t="s">
        <v>807</v>
      </c>
      <c r="B367" s="1" t="s">
        <v>817</v>
      </c>
      <c r="C367" s="1" t="s">
        <v>818</v>
      </c>
    </row>
    <row r="368" spans="1:49" x14ac:dyDescent="0.15">
      <c r="A368" s="1" t="s">
        <v>807</v>
      </c>
      <c r="B368" s="1" t="s">
        <v>819</v>
      </c>
      <c r="E368" s="1" t="s">
        <v>820</v>
      </c>
      <c r="F368" s="1" t="s">
        <v>250</v>
      </c>
      <c r="AG368" s="1" t="s">
        <v>821</v>
      </c>
      <c r="AH368" s="1" t="s">
        <v>821</v>
      </c>
      <c r="AW368" s="1" t="s">
        <v>697</v>
      </c>
    </row>
    <row r="369" spans="1:49" x14ac:dyDescent="0.15">
      <c r="A369" s="1" t="s">
        <v>807</v>
      </c>
      <c r="B369" s="1" t="s">
        <v>238</v>
      </c>
      <c r="E369" s="1" t="s">
        <v>822</v>
      </c>
      <c r="F369" s="1" t="s">
        <v>242</v>
      </c>
      <c r="R369" s="1" t="s">
        <v>823</v>
      </c>
      <c r="AW369" s="1" t="s">
        <v>697</v>
      </c>
    </row>
    <row r="370" spans="1:49" x14ac:dyDescent="0.15">
      <c r="A370" s="1" t="s">
        <v>807</v>
      </c>
      <c r="B370" s="1" t="s">
        <v>824</v>
      </c>
      <c r="E370" s="1" t="s">
        <v>825</v>
      </c>
      <c r="F370" s="1" t="s">
        <v>253</v>
      </c>
      <c r="AW370" s="1" t="s">
        <v>697</v>
      </c>
    </row>
    <row r="371" spans="1:49" x14ac:dyDescent="0.15">
      <c r="A371" s="1" t="s">
        <v>807</v>
      </c>
      <c r="B371" s="1" t="s">
        <v>826</v>
      </c>
      <c r="E371" s="1" t="s">
        <v>827</v>
      </c>
      <c r="F371" s="1" t="s">
        <v>259</v>
      </c>
      <c r="AW371" s="1" t="s">
        <v>697</v>
      </c>
    </row>
    <row r="372" spans="1:49" x14ac:dyDescent="0.15">
      <c r="A372" s="1" t="s">
        <v>807</v>
      </c>
      <c r="B372" s="1" t="s">
        <v>828</v>
      </c>
      <c r="AW372" s="1" t="s">
        <v>697</v>
      </c>
    </row>
    <row r="373" spans="1:49" x14ac:dyDescent="0.15">
      <c r="A373" s="1" t="s">
        <v>807</v>
      </c>
      <c r="B373" s="1" t="s">
        <v>829</v>
      </c>
      <c r="C373" s="1" t="s">
        <v>830</v>
      </c>
      <c r="AW373" s="1" t="s">
        <v>697</v>
      </c>
    </row>
    <row r="374" spans="1:49" x14ac:dyDescent="0.15">
      <c r="A374" s="1" t="s">
        <v>807</v>
      </c>
      <c r="B374" s="1" t="s">
        <v>831</v>
      </c>
      <c r="E374" s="1" t="s">
        <v>832</v>
      </c>
      <c r="AW374" s="1" t="s">
        <v>697</v>
      </c>
    </row>
    <row r="375" spans="1:49" x14ac:dyDescent="0.15">
      <c r="A375" s="1" t="s">
        <v>807</v>
      </c>
      <c r="B375" s="1" t="s">
        <v>833</v>
      </c>
      <c r="AW375" s="1" t="s">
        <v>697</v>
      </c>
    </row>
    <row r="376" spans="1:49" x14ac:dyDescent="0.15">
      <c r="A376" s="1" t="s">
        <v>807</v>
      </c>
      <c r="B376" s="1" t="s">
        <v>834</v>
      </c>
      <c r="C376" s="1" t="s">
        <v>835</v>
      </c>
    </row>
    <row r="377" spans="1:49" x14ac:dyDescent="0.15">
      <c r="A377" s="1" t="s">
        <v>807</v>
      </c>
      <c r="B377" s="1" t="s">
        <v>836</v>
      </c>
    </row>
    <row r="378" spans="1:49" x14ac:dyDescent="0.15">
      <c r="A378" s="1" t="s">
        <v>807</v>
      </c>
      <c r="B378" s="1" t="s">
        <v>837</v>
      </c>
      <c r="C378" s="1" t="s">
        <v>838</v>
      </c>
      <c r="E378" s="1" t="s">
        <v>839</v>
      </c>
    </row>
    <row r="379" spans="1:49" x14ac:dyDescent="0.15">
      <c r="A379" s="1" t="s">
        <v>807</v>
      </c>
      <c r="B379" s="1" t="s">
        <v>840</v>
      </c>
      <c r="E379" s="1" t="s">
        <v>841</v>
      </c>
    </row>
    <row r="380" spans="1:49" x14ac:dyDescent="0.15">
      <c r="A380" s="1" t="s">
        <v>807</v>
      </c>
      <c r="B380" s="1" t="s">
        <v>842</v>
      </c>
      <c r="E380" s="1" t="s">
        <v>843</v>
      </c>
    </row>
    <row r="381" spans="1:49" x14ac:dyDescent="0.15">
      <c r="A381" s="1" t="s">
        <v>807</v>
      </c>
      <c r="B381" s="1" t="s">
        <v>844</v>
      </c>
      <c r="E381" s="1" t="s">
        <v>845</v>
      </c>
    </row>
    <row r="382" spans="1:49" x14ac:dyDescent="0.15">
      <c r="A382" s="1" t="s">
        <v>846</v>
      </c>
      <c r="C382" s="1" t="s">
        <v>847</v>
      </c>
      <c r="F382" s="1" t="s">
        <v>848</v>
      </c>
      <c r="N382" s="1" t="s">
        <v>148</v>
      </c>
      <c r="O382" s="1" t="s">
        <v>149</v>
      </c>
      <c r="AW382" s="1" t="s">
        <v>145</v>
      </c>
    </row>
    <row r="383" spans="1:49" x14ac:dyDescent="0.15">
      <c r="A383" s="1" t="s">
        <v>846</v>
      </c>
      <c r="C383" s="1" t="s">
        <v>849</v>
      </c>
      <c r="F383" s="1" t="s">
        <v>850</v>
      </c>
      <c r="N383" s="1" t="s">
        <v>148</v>
      </c>
      <c r="O383" s="1" t="s">
        <v>149</v>
      </c>
      <c r="AW383" s="1" t="s">
        <v>145</v>
      </c>
    </row>
    <row r="384" spans="1:49" x14ac:dyDescent="0.15">
      <c r="A384" s="1" t="s">
        <v>846</v>
      </c>
      <c r="C384" s="1" t="s">
        <v>849</v>
      </c>
      <c r="K384" s="1" t="s">
        <v>851</v>
      </c>
    </row>
    <row r="385" spans="1:49" x14ac:dyDescent="0.15">
      <c r="A385" s="1" t="s">
        <v>846</v>
      </c>
      <c r="C385" s="1" t="s">
        <v>852</v>
      </c>
      <c r="F385" s="1" t="s">
        <v>853</v>
      </c>
      <c r="N385" s="1" t="s">
        <v>148</v>
      </c>
      <c r="O385" s="1" t="s">
        <v>149</v>
      </c>
      <c r="AW385" s="1" t="s">
        <v>145</v>
      </c>
    </row>
    <row r="386" spans="1:49" x14ac:dyDescent="0.15">
      <c r="A386" s="1" t="s">
        <v>846</v>
      </c>
      <c r="C386" s="1" t="s">
        <v>852</v>
      </c>
      <c r="K386" s="1" t="s">
        <v>854</v>
      </c>
    </row>
    <row r="387" spans="1:49" x14ac:dyDescent="0.15">
      <c r="A387" s="1" t="s">
        <v>855</v>
      </c>
      <c r="C387" s="1" t="s">
        <v>856</v>
      </c>
      <c r="K387" s="1" t="s">
        <v>857</v>
      </c>
      <c r="AW387" s="1" t="s">
        <v>858</v>
      </c>
    </row>
    <row r="388" spans="1:49" x14ac:dyDescent="0.15">
      <c r="A388" s="1" t="s">
        <v>855</v>
      </c>
      <c r="C388" s="1" t="s">
        <v>859</v>
      </c>
      <c r="E388" s="1" t="s">
        <v>860</v>
      </c>
      <c r="K388" s="1" t="s">
        <v>861</v>
      </c>
    </row>
    <row r="389" spans="1:49" x14ac:dyDescent="0.15">
      <c r="A389" s="1" t="s">
        <v>855</v>
      </c>
      <c r="C389" s="1" t="s">
        <v>862</v>
      </c>
      <c r="K389" s="1" t="s">
        <v>863</v>
      </c>
    </row>
    <row r="390" spans="1:49" x14ac:dyDescent="0.15">
      <c r="A390" s="1" t="s">
        <v>855</v>
      </c>
      <c r="C390" s="1" t="s">
        <v>864</v>
      </c>
      <c r="E390" s="1" t="s">
        <v>865</v>
      </c>
      <c r="K390" s="1" t="s">
        <v>866</v>
      </c>
    </row>
    <row r="391" spans="1:49" x14ac:dyDescent="0.15">
      <c r="A391" s="1" t="s">
        <v>855</v>
      </c>
      <c r="C391" s="1" t="s">
        <v>867</v>
      </c>
      <c r="K391" s="1" t="s">
        <v>868</v>
      </c>
    </row>
    <row r="392" spans="1:49" x14ac:dyDescent="0.15">
      <c r="A392" s="1" t="s">
        <v>855</v>
      </c>
      <c r="B392" s="1" t="s">
        <v>869</v>
      </c>
      <c r="E392" s="1" t="s">
        <v>870</v>
      </c>
    </row>
    <row r="393" spans="1:49" x14ac:dyDescent="0.15">
      <c r="A393" s="1" t="s">
        <v>855</v>
      </c>
      <c r="C393" s="1" t="s">
        <v>871</v>
      </c>
      <c r="K393" s="1" t="s">
        <v>872</v>
      </c>
    </row>
    <row r="394" spans="1:49" x14ac:dyDescent="0.15">
      <c r="A394" s="1" t="s">
        <v>855</v>
      </c>
      <c r="C394" s="1" t="s">
        <v>873</v>
      </c>
      <c r="E394" s="1" t="s">
        <v>874</v>
      </c>
    </row>
    <row r="395" spans="1:49" x14ac:dyDescent="0.15">
      <c r="A395" s="1" t="s">
        <v>855</v>
      </c>
      <c r="C395" s="1" t="s">
        <v>875</v>
      </c>
      <c r="K395" s="1" t="s">
        <v>876</v>
      </c>
    </row>
    <row r="396" spans="1:49" x14ac:dyDescent="0.15">
      <c r="A396" s="1" t="s">
        <v>855</v>
      </c>
      <c r="C396" s="1" t="s">
        <v>877</v>
      </c>
      <c r="K396" s="1" t="s">
        <v>878</v>
      </c>
    </row>
    <row r="397" spans="1:49" x14ac:dyDescent="0.15">
      <c r="A397" s="1" t="s">
        <v>855</v>
      </c>
      <c r="C397" s="1" t="s">
        <v>879</v>
      </c>
      <c r="K397" s="1" t="s">
        <v>880</v>
      </c>
    </row>
    <row r="398" spans="1:49" x14ac:dyDescent="0.15">
      <c r="A398" s="1" t="s">
        <v>855</v>
      </c>
      <c r="C398" s="1" t="s">
        <v>881</v>
      </c>
      <c r="K398" s="1" t="s">
        <v>882</v>
      </c>
    </row>
    <row r="399" spans="1:49" x14ac:dyDescent="0.15">
      <c r="A399" s="1" t="s">
        <v>855</v>
      </c>
      <c r="C399" s="1" t="s">
        <v>883</v>
      </c>
      <c r="K399" s="1" t="s">
        <v>884</v>
      </c>
    </row>
    <row r="400" spans="1:49" x14ac:dyDescent="0.15">
      <c r="A400" s="1" t="s">
        <v>855</v>
      </c>
      <c r="C400" s="1" t="s">
        <v>885</v>
      </c>
      <c r="E400" s="1" t="s">
        <v>886</v>
      </c>
    </row>
    <row r="401" spans="1:49" x14ac:dyDescent="0.15">
      <c r="A401" s="1" t="s">
        <v>855</v>
      </c>
      <c r="C401" s="1" t="s">
        <v>887</v>
      </c>
      <c r="E401" s="1" t="s">
        <v>888</v>
      </c>
    </row>
    <row r="402" spans="1:49" x14ac:dyDescent="0.15">
      <c r="A402" s="1" t="s">
        <v>855</v>
      </c>
      <c r="C402" s="1" t="s">
        <v>889</v>
      </c>
      <c r="K402" s="1" t="s">
        <v>890</v>
      </c>
    </row>
    <row r="403" spans="1:49" x14ac:dyDescent="0.15">
      <c r="A403" s="1" t="s">
        <v>855</v>
      </c>
      <c r="C403" s="1" t="s">
        <v>891</v>
      </c>
      <c r="E403" s="1" t="s">
        <v>892</v>
      </c>
    </row>
    <row r="404" spans="1:49" x14ac:dyDescent="0.15">
      <c r="A404" s="1" t="s">
        <v>855</v>
      </c>
      <c r="C404" s="1" t="s">
        <v>893</v>
      </c>
      <c r="F404" s="1" t="s">
        <v>894</v>
      </c>
      <c r="AW404" s="1" t="s">
        <v>80</v>
      </c>
    </row>
    <row r="405" spans="1:49" x14ac:dyDescent="0.15">
      <c r="A405" s="1" t="s">
        <v>855</v>
      </c>
      <c r="C405" s="1" t="s">
        <v>895</v>
      </c>
      <c r="K405" s="1" t="s">
        <v>896</v>
      </c>
    </row>
    <row r="406" spans="1:49" x14ac:dyDescent="0.15">
      <c r="A406" s="1" t="s">
        <v>855</v>
      </c>
      <c r="C406" s="1" t="s">
        <v>897</v>
      </c>
      <c r="AW406" s="1" t="s">
        <v>0</v>
      </c>
    </row>
    <row r="407" spans="1:49" x14ac:dyDescent="0.15">
      <c r="A407" s="1" t="s">
        <v>855</v>
      </c>
      <c r="C407" s="1" t="s">
        <v>898</v>
      </c>
      <c r="K407" s="1" t="s">
        <v>899</v>
      </c>
    </row>
    <row r="408" spans="1:49" x14ac:dyDescent="0.15">
      <c r="A408" s="1" t="s">
        <v>855</v>
      </c>
      <c r="C408" s="1" t="s">
        <v>900</v>
      </c>
      <c r="K408" s="1" t="s">
        <v>901</v>
      </c>
    </row>
    <row r="409" spans="1:49" x14ac:dyDescent="0.15">
      <c r="A409" s="1" t="s">
        <v>855</v>
      </c>
      <c r="C409" s="1" t="s">
        <v>902</v>
      </c>
      <c r="K409" s="1" t="s">
        <v>903</v>
      </c>
    </row>
    <row r="410" spans="1:49" x14ac:dyDescent="0.15">
      <c r="A410" s="1" t="s">
        <v>855</v>
      </c>
      <c r="C410" s="1" t="s">
        <v>904</v>
      </c>
      <c r="K410" s="1" t="s">
        <v>905</v>
      </c>
    </row>
    <row r="411" spans="1:49" x14ac:dyDescent="0.15">
      <c r="A411" s="1" t="s">
        <v>855</v>
      </c>
      <c r="C411" s="1" t="s">
        <v>906</v>
      </c>
      <c r="K411" s="1" t="s">
        <v>907</v>
      </c>
    </row>
    <row r="412" spans="1:49" x14ac:dyDescent="0.15">
      <c r="A412" s="1" t="s">
        <v>855</v>
      </c>
      <c r="C412" s="1" t="s">
        <v>908</v>
      </c>
      <c r="E412" s="1" t="s">
        <v>909</v>
      </c>
    </row>
    <row r="413" spans="1:49" x14ac:dyDescent="0.15">
      <c r="A413" s="1" t="s">
        <v>855</v>
      </c>
      <c r="C413" s="1" t="s">
        <v>910</v>
      </c>
      <c r="K413" s="1" t="s">
        <v>911</v>
      </c>
    </row>
    <row r="414" spans="1:49" x14ac:dyDescent="0.15">
      <c r="A414" s="1" t="s">
        <v>855</v>
      </c>
      <c r="C414" s="1" t="s">
        <v>912</v>
      </c>
      <c r="K414" s="1" t="s">
        <v>913</v>
      </c>
    </row>
    <row r="415" spans="1:49" x14ac:dyDescent="0.15">
      <c r="A415" s="1" t="s">
        <v>855</v>
      </c>
      <c r="C415" s="1" t="s">
        <v>914</v>
      </c>
      <c r="K415" s="1" t="s">
        <v>915</v>
      </c>
    </row>
    <row r="416" spans="1:49" x14ac:dyDescent="0.15">
      <c r="A416" s="1" t="s">
        <v>855</v>
      </c>
      <c r="C416" s="1" t="s">
        <v>916</v>
      </c>
      <c r="K416" s="1" t="s">
        <v>917</v>
      </c>
    </row>
    <row r="417" spans="1:50" x14ac:dyDescent="0.15">
      <c r="A417" s="1" t="s">
        <v>855</v>
      </c>
      <c r="C417" s="1" t="s">
        <v>918</v>
      </c>
      <c r="K417" s="1" t="s">
        <v>919</v>
      </c>
    </row>
    <row r="418" spans="1:50" x14ac:dyDescent="0.15">
      <c r="A418" s="1" t="s">
        <v>855</v>
      </c>
      <c r="C418" s="1" t="s">
        <v>920</v>
      </c>
      <c r="K418" s="1" t="s">
        <v>921</v>
      </c>
    </row>
    <row r="419" spans="1:50" x14ac:dyDescent="0.15">
      <c r="A419" s="1" t="s">
        <v>855</v>
      </c>
      <c r="C419" s="1" t="s">
        <v>922</v>
      </c>
      <c r="K419" s="1" t="s">
        <v>923</v>
      </c>
    </row>
    <row r="420" spans="1:50" x14ac:dyDescent="0.15">
      <c r="A420" s="1" t="s">
        <v>855</v>
      </c>
      <c r="C420" s="1" t="s">
        <v>924</v>
      </c>
      <c r="K420" s="1" t="s">
        <v>925</v>
      </c>
    </row>
    <row r="421" spans="1:50" x14ac:dyDescent="0.15">
      <c r="A421" s="1" t="s">
        <v>855</v>
      </c>
      <c r="C421" s="1" t="s">
        <v>926</v>
      </c>
      <c r="K421" s="1" t="s">
        <v>927</v>
      </c>
    </row>
    <row r="422" spans="1:50" x14ac:dyDescent="0.15">
      <c r="A422" s="1" t="s">
        <v>928</v>
      </c>
      <c r="B422" s="1" t="s">
        <v>929</v>
      </c>
      <c r="C422" s="1" t="s">
        <v>930</v>
      </c>
      <c r="E422" s="1" t="s">
        <v>931</v>
      </c>
      <c r="F422" s="1" t="s">
        <v>932</v>
      </c>
      <c r="G422" s="1" t="s">
        <v>933</v>
      </c>
      <c r="R422" s="1" t="s">
        <v>934</v>
      </c>
      <c r="S422" s="1" t="s">
        <v>935</v>
      </c>
      <c r="T422" s="1" t="s">
        <v>936</v>
      </c>
      <c r="U422" s="1" t="s">
        <v>937</v>
      </c>
      <c r="V422" s="1" t="s">
        <v>938</v>
      </c>
      <c r="AG422" s="1" t="s">
        <v>931</v>
      </c>
      <c r="AH422" s="1" t="s">
        <v>931</v>
      </c>
      <c r="AI422" s="1" t="s">
        <v>939</v>
      </c>
      <c r="AJ422" s="1" t="s">
        <v>939</v>
      </c>
      <c r="AW422" s="1" t="s">
        <v>745</v>
      </c>
      <c r="AX422" s="1" t="s">
        <v>940</v>
      </c>
    </row>
    <row r="423" spans="1:50" x14ac:dyDescent="0.15">
      <c r="A423" s="1" t="s">
        <v>928</v>
      </c>
      <c r="B423" s="1" t="s">
        <v>941</v>
      </c>
      <c r="E423" s="1" t="s">
        <v>942</v>
      </c>
      <c r="R423" s="1" t="s">
        <v>943</v>
      </c>
    </row>
    <row r="424" spans="1:50" x14ac:dyDescent="0.15">
      <c r="A424" s="1" t="s">
        <v>928</v>
      </c>
      <c r="B424" s="1" t="s">
        <v>944</v>
      </c>
      <c r="C424" s="1" t="s">
        <v>945</v>
      </c>
      <c r="D424" s="1" t="s">
        <v>946</v>
      </c>
      <c r="E424" s="1" t="s">
        <v>947</v>
      </c>
      <c r="F424" s="1" t="s">
        <v>948</v>
      </c>
      <c r="G424" s="1" t="s">
        <v>949</v>
      </c>
      <c r="R424" s="1" t="s">
        <v>950</v>
      </c>
      <c r="AD424" s="1" t="s">
        <v>760</v>
      </c>
      <c r="AG424" s="1" t="s">
        <v>951</v>
      </c>
      <c r="AH424" s="1" t="s">
        <v>947</v>
      </c>
      <c r="AW424" s="1" t="s">
        <v>745</v>
      </c>
      <c r="AX424" s="1" t="s">
        <v>940</v>
      </c>
    </row>
    <row r="425" spans="1:50" x14ac:dyDescent="0.15">
      <c r="A425" s="1" t="s">
        <v>928</v>
      </c>
      <c r="B425" s="1" t="s">
        <v>952</v>
      </c>
      <c r="C425" s="1" t="s">
        <v>953</v>
      </c>
      <c r="E425" s="1" t="s">
        <v>954</v>
      </c>
      <c r="F425" s="1" t="s">
        <v>955</v>
      </c>
      <c r="G425" s="1" t="s">
        <v>956</v>
      </c>
      <c r="R425" s="1" t="s">
        <v>957</v>
      </c>
      <c r="S425" s="1" t="s">
        <v>958</v>
      </c>
      <c r="U425" s="1"/>
      <c r="V425" s="1" t="s">
        <v>959</v>
      </c>
      <c r="AD425" s="1" t="s">
        <v>960</v>
      </c>
      <c r="AG425" s="1" t="s">
        <v>954</v>
      </c>
      <c r="AH425" s="1" t="s">
        <v>954</v>
      </c>
      <c r="AW425" s="1" t="s">
        <v>745</v>
      </c>
      <c r="AX425" s="1" t="s">
        <v>940</v>
      </c>
    </row>
    <row r="426" spans="1:50" x14ac:dyDescent="0.15">
      <c r="A426" s="1" t="s">
        <v>928</v>
      </c>
      <c r="B426" s="1" t="s">
        <v>961</v>
      </c>
      <c r="C426" s="1" t="s">
        <v>962</v>
      </c>
      <c r="E426" s="1" t="s">
        <v>963</v>
      </c>
      <c r="F426" s="1" t="s">
        <v>964</v>
      </c>
    </row>
    <row r="427" spans="1:50" x14ac:dyDescent="0.15">
      <c r="A427" s="1" t="s">
        <v>928</v>
      </c>
      <c r="B427" s="1" t="s">
        <v>965</v>
      </c>
      <c r="C427" s="1" t="s">
        <v>966</v>
      </c>
      <c r="E427" s="1" t="s">
        <v>967</v>
      </c>
      <c r="F427" s="1" t="s">
        <v>644</v>
      </c>
      <c r="G427" s="1" t="s">
        <v>968</v>
      </c>
      <c r="R427" s="1" t="s">
        <v>969</v>
      </c>
      <c r="S427" s="1" t="s">
        <v>970</v>
      </c>
      <c r="T427" s="1" t="s">
        <v>971</v>
      </c>
      <c r="U427" s="1" t="s">
        <v>937</v>
      </c>
      <c r="V427" s="1" t="s">
        <v>972</v>
      </c>
      <c r="AD427" s="1" t="s">
        <v>973</v>
      </c>
      <c r="AG427" s="1" t="s">
        <v>974</v>
      </c>
      <c r="AH427" s="1" t="s">
        <v>974</v>
      </c>
      <c r="AI427" s="1" t="s">
        <v>968</v>
      </c>
      <c r="AJ427" s="1" t="s">
        <v>968</v>
      </c>
      <c r="AS427" s="1" t="s">
        <v>975</v>
      </c>
      <c r="AT427" s="1" t="s">
        <v>975</v>
      </c>
      <c r="AW427" s="1" t="s">
        <v>745</v>
      </c>
      <c r="AX427" s="1" t="s">
        <v>940</v>
      </c>
    </row>
    <row r="428" spans="1:50" x14ac:dyDescent="0.15">
      <c r="A428" s="1" t="s">
        <v>928</v>
      </c>
      <c r="B428" s="1" t="s">
        <v>976</v>
      </c>
      <c r="E428" s="1" t="s">
        <v>977</v>
      </c>
    </row>
    <row r="429" spans="1:50" x14ac:dyDescent="0.15">
      <c r="A429" s="1" t="s">
        <v>928</v>
      </c>
      <c r="B429" s="1" t="s">
        <v>978</v>
      </c>
      <c r="C429" s="1" t="s">
        <v>979</v>
      </c>
      <c r="E429" s="1" t="s">
        <v>347</v>
      </c>
      <c r="F429" s="1" t="s">
        <v>758</v>
      </c>
      <c r="R429" s="1" t="s">
        <v>759</v>
      </c>
      <c r="AD429" s="1" t="s">
        <v>760</v>
      </c>
      <c r="AW429" s="1" t="s">
        <v>745</v>
      </c>
      <c r="AX429" s="1" t="s">
        <v>940</v>
      </c>
    </row>
    <row r="430" spans="1:50" x14ac:dyDescent="0.15">
      <c r="A430" s="1" t="s">
        <v>928</v>
      </c>
      <c r="C430" s="1" t="s">
        <v>980</v>
      </c>
      <c r="K430" s="1" t="s">
        <v>981</v>
      </c>
    </row>
    <row r="431" spans="1:50" x14ac:dyDescent="0.15">
      <c r="A431" s="1" t="s">
        <v>928</v>
      </c>
      <c r="C431" s="1" t="s">
        <v>982</v>
      </c>
      <c r="K431" s="1" t="s">
        <v>983</v>
      </c>
    </row>
    <row r="432" spans="1:50" x14ac:dyDescent="0.15">
      <c r="A432" s="1" t="s">
        <v>928</v>
      </c>
      <c r="C432" s="1" t="s">
        <v>984</v>
      </c>
      <c r="K432" s="1" t="s">
        <v>985</v>
      </c>
    </row>
    <row r="433" spans="1:50" x14ac:dyDescent="0.15">
      <c r="A433" s="1" t="s">
        <v>928</v>
      </c>
      <c r="C433" s="1" t="s">
        <v>986</v>
      </c>
      <c r="K433" s="1" t="s">
        <v>987</v>
      </c>
    </row>
    <row r="434" spans="1:50" x14ac:dyDescent="0.15">
      <c r="A434" s="1" t="s">
        <v>928</v>
      </c>
      <c r="C434" s="1" t="s">
        <v>988</v>
      </c>
      <c r="K434" s="1" t="s">
        <v>989</v>
      </c>
    </row>
    <row r="435" spans="1:50" x14ac:dyDescent="0.15">
      <c r="A435" s="1" t="s">
        <v>928</v>
      </c>
      <c r="B435" s="1" t="s">
        <v>152</v>
      </c>
      <c r="C435" s="1" t="s">
        <v>990</v>
      </c>
      <c r="E435" s="1" t="s">
        <v>991</v>
      </c>
      <c r="F435" s="1" t="s">
        <v>992</v>
      </c>
      <c r="G435" s="1" t="s">
        <v>993</v>
      </c>
      <c r="R435" s="1" t="s">
        <v>994</v>
      </c>
      <c r="T435" s="1" t="s">
        <v>995</v>
      </c>
      <c r="U435" s="1" t="s">
        <v>996</v>
      </c>
      <c r="V435" s="1" t="s">
        <v>997</v>
      </c>
      <c r="AD435" s="1" t="s">
        <v>998</v>
      </c>
      <c r="AG435" s="1" t="s">
        <v>991</v>
      </c>
      <c r="AH435" s="1" t="s">
        <v>991</v>
      </c>
      <c r="AI435" s="1" t="s">
        <v>999</v>
      </c>
      <c r="AJ435" s="1" t="s">
        <v>999</v>
      </c>
      <c r="AW435" s="1" t="s">
        <v>745</v>
      </c>
      <c r="AX435" s="1" t="s">
        <v>940</v>
      </c>
    </row>
    <row r="436" spans="1:50" x14ac:dyDescent="0.15">
      <c r="A436" s="1" t="s">
        <v>928</v>
      </c>
      <c r="B436" s="1" t="s">
        <v>1000</v>
      </c>
      <c r="E436" s="1" t="s">
        <v>1001</v>
      </c>
      <c r="H436" s="1" t="s">
        <v>1002</v>
      </c>
      <c r="AG436" s="1" t="s">
        <v>1003</v>
      </c>
    </row>
    <row r="437" spans="1:50" x14ac:dyDescent="0.15">
      <c r="A437" s="1" t="s">
        <v>928</v>
      </c>
      <c r="B437" s="1" t="s">
        <v>1004</v>
      </c>
      <c r="C437" s="1" t="s">
        <v>1005</v>
      </c>
      <c r="E437" s="1" t="s">
        <v>1006</v>
      </c>
    </row>
    <row r="438" spans="1:50" x14ac:dyDescent="0.15">
      <c r="A438" s="1" t="s">
        <v>928</v>
      </c>
      <c r="B438" s="1" t="s">
        <v>1007</v>
      </c>
      <c r="C438" s="1" t="s">
        <v>1008</v>
      </c>
      <c r="E438" s="1" t="s">
        <v>1009</v>
      </c>
    </row>
    <row r="439" spans="1:50" x14ac:dyDescent="0.15">
      <c r="A439" s="1" t="s">
        <v>928</v>
      </c>
      <c r="C439" s="1" t="s">
        <v>1010</v>
      </c>
      <c r="K439" s="1" t="s">
        <v>1011</v>
      </c>
      <c r="R439" s="1" t="s">
        <v>1012</v>
      </c>
    </row>
    <row r="440" spans="1:50" x14ac:dyDescent="0.15">
      <c r="A440" s="1" t="s">
        <v>928</v>
      </c>
      <c r="B440" s="1" t="s">
        <v>1013</v>
      </c>
      <c r="C440" s="1" t="s">
        <v>1014</v>
      </c>
      <c r="E440" s="1" t="s">
        <v>1015</v>
      </c>
      <c r="R440" s="1" t="s">
        <v>1016</v>
      </c>
    </row>
    <row r="441" spans="1:50" x14ac:dyDescent="0.15">
      <c r="A441" s="1" t="s">
        <v>928</v>
      </c>
      <c r="C441" s="1" t="s">
        <v>1017</v>
      </c>
      <c r="K441" s="1" t="s">
        <v>1018</v>
      </c>
    </row>
    <row r="442" spans="1:50" x14ac:dyDescent="0.15">
      <c r="A442" s="1" t="s">
        <v>928</v>
      </c>
      <c r="C442" s="1" t="s">
        <v>1019</v>
      </c>
      <c r="K442" s="1" t="s">
        <v>1020</v>
      </c>
    </row>
    <row r="443" spans="1:50" x14ac:dyDescent="0.15">
      <c r="A443" s="1" t="s">
        <v>928</v>
      </c>
      <c r="C443" s="1" t="s">
        <v>1021</v>
      </c>
      <c r="K443" s="1" t="s">
        <v>1022</v>
      </c>
    </row>
    <row r="444" spans="1:50" x14ac:dyDescent="0.15">
      <c r="A444" s="1" t="s">
        <v>928</v>
      </c>
      <c r="C444" s="1" t="s">
        <v>1023</v>
      </c>
      <c r="K444" s="1" t="s">
        <v>1024</v>
      </c>
    </row>
    <row r="445" spans="1:50" x14ac:dyDescent="0.15">
      <c r="A445" s="1" t="s">
        <v>928</v>
      </c>
      <c r="C445" s="1" t="s">
        <v>1025</v>
      </c>
      <c r="K445" s="1" t="s">
        <v>1026</v>
      </c>
    </row>
    <row r="446" spans="1:50" x14ac:dyDescent="0.15">
      <c r="A446" s="1" t="s">
        <v>928</v>
      </c>
      <c r="C446" s="1" t="s">
        <v>526</v>
      </c>
      <c r="K446" s="1" t="s">
        <v>1027</v>
      </c>
    </row>
    <row r="447" spans="1:50" x14ac:dyDescent="0.15">
      <c r="A447" s="1" t="s">
        <v>928</v>
      </c>
      <c r="B447" s="1" t="s">
        <v>1028</v>
      </c>
      <c r="E447" s="1" t="s">
        <v>1029</v>
      </c>
    </row>
    <row r="448" spans="1:50" x14ac:dyDescent="0.15">
      <c r="A448" s="1" t="s">
        <v>928</v>
      </c>
      <c r="C448" s="1" t="s">
        <v>1030</v>
      </c>
      <c r="K448" s="1" t="s">
        <v>1031</v>
      </c>
    </row>
    <row r="449" spans="1:50" x14ac:dyDescent="0.15">
      <c r="A449" s="1" t="s">
        <v>928</v>
      </c>
      <c r="B449" s="1" t="s">
        <v>1032</v>
      </c>
      <c r="E449" s="1" t="s">
        <v>1033</v>
      </c>
    </row>
    <row r="450" spans="1:50" x14ac:dyDescent="0.15">
      <c r="A450" s="1" t="s">
        <v>928</v>
      </c>
      <c r="B450" s="1" t="s">
        <v>1034</v>
      </c>
      <c r="C450" s="1" t="s">
        <v>1035</v>
      </c>
    </row>
    <row r="451" spans="1:50" x14ac:dyDescent="0.15">
      <c r="A451" s="1" t="s">
        <v>928</v>
      </c>
      <c r="B451" s="1" t="s">
        <v>1036</v>
      </c>
      <c r="E451" s="1" t="s">
        <v>1037</v>
      </c>
    </row>
    <row r="452" spans="1:50" x14ac:dyDescent="0.15">
      <c r="A452" s="1" t="s">
        <v>928</v>
      </c>
      <c r="B452" s="1" t="s">
        <v>1038</v>
      </c>
      <c r="C452" s="1" t="s">
        <v>1039</v>
      </c>
      <c r="E452" s="1" t="s">
        <v>1040</v>
      </c>
      <c r="F452" s="1" t="s">
        <v>1041</v>
      </c>
      <c r="G452" s="1" t="s">
        <v>1042</v>
      </c>
      <c r="I452" s="1" t="s">
        <v>1043</v>
      </c>
      <c r="R452" s="1" t="s">
        <v>1044</v>
      </c>
      <c r="T452" s="1" t="s">
        <v>1045</v>
      </c>
      <c r="U452" s="1"/>
      <c r="V452" s="1" t="s">
        <v>1046</v>
      </c>
      <c r="AD452" s="1" t="s">
        <v>1047</v>
      </c>
      <c r="AG452" s="1" t="s">
        <v>1040</v>
      </c>
      <c r="AH452" s="1" t="s">
        <v>1040</v>
      </c>
      <c r="AM452" s="1" t="s">
        <v>1043</v>
      </c>
      <c r="AN452" s="1" t="s">
        <v>1043</v>
      </c>
      <c r="AW452" s="1" t="s">
        <v>745</v>
      </c>
      <c r="AX452" s="1" t="s">
        <v>940</v>
      </c>
    </row>
    <row r="453" spans="1:50" x14ac:dyDescent="0.15">
      <c r="A453" s="1" t="s">
        <v>928</v>
      </c>
      <c r="B453" s="1" t="s">
        <v>1048</v>
      </c>
      <c r="E453" s="1" t="s">
        <v>1049</v>
      </c>
      <c r="F453" s="1" t="s">
        <v>1050</v>
      </c>
    </row>
    <row r="454" spans="1:50" x14ac:dyDescent="0.15">
      <c r="A454" s="1" t="s">
        <v>928</v>
      </c>
      <c r="B454" s="1" t="s">
        <v>1051</v>
      </c>
      <c r="C454" s="1" t="s">
        <v>1052</v>
      </c>
      <c r="E454" s="1" t="s">
        <v>1053</v>
      </c>
      <c r="F454" s="1" t="s">
        <v>1054</v>
      </c>
      <c r="G454" s="1" t="s">
        <v>1055</v>
      </c>
      <c r="S454" s="1" t="s">
        <v>1056</v>
      </c>
      <c r="T454" s="1" t="s">
        <v>1057</v>
      </c>
      <c r="U454" s="1" t="s">
        <v>1058</v>
      </c>
      <c r="V454" s="1" t="s">
        <v>1059</v>
      </c>
      <c r="AD454" s="1" t="s">
        <v>1060</v>
      </c>
      <c r="AI454" s="1" t="s">
        <v>1055</v>
      </c>
      <c r="AJ454" s="1" t="s">
        <v>1055</v>
      </c>
      <c r="AW454" s="1" t="s">
        <v>745</v>
      </c>
      <c r="AX454" s="1" t="s">
        <v>940</v>
      </c>
    </row>
    <row r="455" spans="1:50" x14ac:dyDescent="0.15">
      <c r="A455" s="1" t="s">
        <v>928</v>
      </c>
      <c r="B455" s="1" t="s">
        <v>1061</v>
      </c>
      <c r="C455" s="1" t="s">
        <v>1062</v>
      </c>
      <c r="E455" s="1" t="s">
        <v>1063</v>
      </c>
      <c r="F455" s="1" t="s">
        <v>1064</v>
      </c>
      <c r="G455" s="1" t="s">
        <v>1065</v>
      </c>
      <c r="I455" s="1" t="s">
        <v>1066</v>
      </c>
      <c r="S455" s="1" t="s">
        <v>1067</v>
      </c>
      <c r="T455" s="1" t="s">
        <v>1068</v>
      </c>
      <c r="AG455" s="1" t="s">
        <v>1069</v>
      </c>
      <c r="AH455" s="1" t="s">
        <v>1063</v>
      </c>
      <c r="AM455" s="1" t="s">
        <v>1066</v>
      </c>
      <c r="AN455" s="1" t="s">
        <v>1066</v>
      </c>
      <c r="AS455" s="1" t="s">
        <v>1070</v>
      </c>
      <c r="AT455" s="1" t="s">
        <v>1070</v>
      </c>
      <c r="AW455" s="1" t="s">
        <v>745</v>
      </c>
      <c r="AX455" s="1" t="s">
        <v>940</v>
      </c>
    </row>
    <row r="456" spans="1:50" x14ac:dyDescent="0.15">
      <c r="A456" s="1" t="s">
        <v>928</v>
      </c>
      <c r="C456" s="1" t="s">
        <v>1071</v>
      </c>
      <c r="K456" s="1" t="s">
        <v>1072</v>
      </c>
    </row>
    <row r="457" spans="1:50" x14ac:dyDescent="0.15">
      <c r="A457" s="1" t="s">
        <v>928</v>
      </c>
      <c r="C457" s="1" t="s">
        <v>1073</v>
      </c>
      <c r="K457" s="1" t="s">
        <v>1074</v>
      </c>
    </row>
    <row r="458" spans="1:50" x14ac:dyDescent="0.15">
      <c r="A458" s="1" t="s">
        <v>928</v>
      </c>
      <c r="C458" s="1" t="s">
        <v>1075</v>
      </c>
      <c r="K458" s="1" t="s">
        <v>1076</v>
      </c>
    </row>
    <row r="459" spans="1:50" x14ac:dyDescent="0.15">
      <c r="A459" s="1" t="s">
        <v>928</v>
      </c>
      <c r="C459" s="1" t="s">
        <v>1077</v>
      </c>
      <c r="E459" s="1" t="s">
        <v>1078</v>
      </c>
    </row>
    <row r="460" spans="1:50" x14ac:dyDescent="0.15">
      <c r="A460" s="1" t="s">
        <v>928</v>
      </c>
      <c r="B460" s="1" t="s">
        <v>1079</v>
      </c>
      <c r="E460" s="1" t="s">
        <v>1080</v>
      </c>
    </row>
    <row r="461" spans="1:50" x14ac:dyDescent="0.15">
      <c r="A461" s="1" t="s">
        <v>928</v>
      </c>
      <c r="B461" s="1" t="s">
        <v>1081</v>
      </c>
      <c r="E461" s="1" t="s">
        <v>1037</v>
      </c>
      <c r="F461" s="1" t="s">
        <v>1082</v>
      </c>
    </row>
    <row r="462" spans="1:50" x14ac:dyDescent="0.15">
      <c r="A462" s="1" t="s">
        <v>928</v>
      </c>
      <c r="B462" s="1" t="s">
        <v>1083</v>
      </c>
      <c r="C462" s="1" t="s">
        <v>1084</v>
      </c>
      <c r="F462" s="1" t="s">
        <v>1085</v>
      </c>
      <c r="G462" s="1" t="s">
        <v>1086</v>
      </c>
      <c r="R462" s="1" t="s">
        <v>1046</v>
      </c>
      <c r="T462" s="1" t="s">
        <v>1087</v>
      </c>
      <c r="U462" s="1"/>
      <c r="V462" s="1" t="s">
        <v>1088</v>
      </c>
      <c r="AD462" s="1" t="s">
        <v>1047</v>
      </c>
      <c r="AI462" s="1" t="s">
        <v>1089</v>
      </c>
      <c r="AJ462" s="1" t="s">
        <v>1089</v>
      </c>
      <c r="AW462" s="1" t="s">
        <v>745</v>
      </c>
      <c r="AX462" s="1" t="s">
        <v>940</v>
      </c>
    </row>
    <row r="463" spans="1:50" x14ac:dyDescent="0.15">
      <c r="A463" s="1" t="s">
        <v>928</v>
      </c>
      <c r="C463" s="1" t="s">
        <v>1090</v>
      </c>
      <c r="K463" s="1" t="s">
        <v>1091</v>
      </c>
    </row>
    <row r="464" spans="1:50" x14ac:dyDescent="0.15">
      <c r="A464" s="1" t="s">
        <v>928</v>
      </c>
      <c r="B464" s="1" t="s">
        <v>1092</v>
      </c>
      <c r="E464" s="1" t="s">
        <v>1093</v>
      </c>
      <c r="R464" s="1" t="s">
        <v>1094</v>
      </c>
    </row>
    <row r="465" spans="1:49" x14ac:dyDescent="0.15">
      <c r="A465" s="1" t="s">
        <v>928</v>
      </c>
      <c r="B465" s="1" t="s">
        <v>1095</v>
      </c>
      <c r="E465" s="1" t="s">
        <v>1096</v>
      </c>
      <c r="R465" s="1" t="s">
        <v>1097</v>
      </c>
    </row>
    <row r="466" spans="1:49" x14ac:dyDescent="0.15">
      <c r="A466" s="1" t="s">
        <v>928</v>
      </c>
      <c r="C466" s="1" t="s">
        <v>1098</v>
      </c>
      <c r="K466" s="1" t="s">
        <v>1018</v>
      </c>
    </row>
    <row r="467" spans="1:49" x14ac:dyDescent="0.15">
      <c r="A467" s="1" t="s">
        <v>928</v>
      </c>
      <c r="C467" s="1" t="s">
        <v>1099</v>
      </c>
      <c r="K467" s="1" t="s">
        <v>1100</v>
      </c>
    </row>
    <row r="468" spans="1:49" x14ac:dyDescent="0.15">
      <c r="A468" s="1" t="s">
        <v>1101</v>
      </c>
      <c r="C468" s="1" t="s">
        <v>1102</v>
      </c>
      <c r="F468" s="1" t="s">
        <v>1103</v>
      </c>
      <c r="R468" s="1" t="s">
        <v>1104</v>
      </c>
      <c r="AW468" s="1" t="s">
        <v>155</v>
      </c>
    </row>
    <row r="469" spans="1:49" x14ac:dyDescent="0.15">
      <c r="A469" s="1" t="s">
        <v>1101</v>
      </c>
      <c r="C469" s="1" t="s">
        <v>1105</v>
      </c>
      <c r="E469" s="1" t="s">
        <v>1106</v>
      </c>
      <c r="F469" s="1" t="s">
        <v>395</v>
      </c>
      <c r="R469" s="1" t="s">
        <v>1107</v>
      </c>
    </row>
    <row r="470" spans="1:49" x14ac:dyDescent="0.15">
      <c r="A470" s="1" t="s">
        <v>1101</v>
      </c>
      <c r="C470" s="1" t="s">
        <v>400</v>
      </c>
      <c r="K470" s="1" t="s">
        <v>1108</v>
      </c>
    </row>
    <row r="471" spans="1:49" x14ac:dyDescent="0.15">
      <c r="A471" s="1" t="s">
        <v>1101</v>
      </c>
      <c r="C471" s="1" t="s">
        <v>1109</v>
      </c>
      <c r="F471" s="1" t="s">
        <v>401</v>
      </c>
    </row>
    <row r="472" spans="1:49" x14ac:dyDescent="0.15">
      <c r="A472" s="1" t="s">
        <v>1101</v>
      </c>
      <c r="C472" s="1" t="s">
        <v>402</v>
      </c>
      <c r="F472" s="1" t="s">
        <v>403</v>
      </c>
      <c r="AW472" s="1" t="s">
        <v>155</v>
      </c>
    </row>
    <row r="473" spans="1:49" x14ac:dyDescent="0.15">
      <c r="A473" s="1" t="s">
        <v>1101</v>
      </c>
      <c r="C473" s="1" t="s">
        <v>402</v>
      </c>
      <c r="K473" s="1" t="s">
        <v>1110</v>
      </c>
    </row>
    <row r="474" spans="1:49" x14ac:dyDescent="0.15">
      <c r="A474" s="1" t="s">
        <v>1101</v>
      </c>
      <c r="C474" s="1" t="s">
        <v>1111</v>
      </c>
      <c r="K474" s="1" t="s">
        <v>1112</v>
      </c>
    </row>
    <row r="475" spans="1:49" x14ac:dyDescent="0.15">
      <c r="A475" s="1" t="s">
        <v>1101</v>
      </c>
      <c r="C475" s="1" t="s">
        <v>1113</v>
      </c>
      <c r="F475" s="1" t="s">
        <v>1114</v>
      </c>
      <c r="AW475" s="1" t="s">
        <v>155</v>
      </c>
    </row>
    <row r="476" spans="1:49" x14ac:dyDescent="0.15">
      <c r="A476" s="1" t="s">
        <v>1101</v>
      </c>
      <c r="C476" s="1" t="s">
        <v>1113</v>
      </c>
      <c r="K476" s="1" t="s">
        <v>1115</v>
      </c>
    </row>
    <row r="477" spans="1:49" x14ac:dyDescent="0.15">
      <c r="A477" s="1" t="s">
        <v>1101</v>
      </c>
      <c r="C477" s="1" t="s">
        <v>1116</v>
      </c>
      <c r="E477" s="1" t="s">
        <v>1117</v>
      </c>
    </row>
    <row r="478" spans="1:49" x14ac:dyDescent="0.15">
      <c r="A478" s="1" t="s">
        <v>1101</v>
      </c>
      <c r="C478" s="1" t="s">
        <v>1118</v>
      </c>
      <c r="K478" s="1" t="s">
        <v>1119</v>
      </c>
    </row>
    <row r="479" spans="1:49" x14ac:dyDescent="0.15">
      <c r="A479" s="1" t="s">
        <v>1101</v>
      </c>
      <c r="C479" s="1" t="s">
        <v>1120</v>
      </c>
      <c r="F479" s="1" t="s">
        <v>424</v>
      </c>
    </row>
    <row r="480" spans="1:49" x14ac:dyDescent="0.15">
      <c r="A480" s="1" t="s">
        <v>1101</v>
      </c>
      <c r="C480" s="1" t="s">
        <v>1121</v>
      </c>
      <c r="F480" s="1" t="s">
        <v>1122</v>
      </c>
      <c r="AW480" s="1" t="s">
        <v>80</v>
      </c>
    </row>
    <row r="481" spans="1:49" x14ac:dyDescent="0.15">
      <c r="A481" s="1" t="s">
        <v>1101</v>
      </c>
      <c r="C481" s="1" t="s">
        <v>1121</v>
      </c>
      <c r="K481" s="1" t="s">
        <v>1123</v>
      </c>
    </row>
    <row r="482" spans="1:49" x14ac:dyDescent="0.15">
      <c r="A482" s="1" t="s">
        <v>1101</v>
      </c>
      <c r="C482" s="1" t="s">
        <v>1121</v>
      </c>
      <c r="E482" s="1" t="s">
        <v>1124</v>
      </c>
    </row>
    <row r="483" spans="1:49" x14ac:dyDescent="0.15">
      <c r="A483" s="1" t="s">
        <v>1101</v>
      </c>
      <c r="C483" s="1" t="s">
        <v>1125</v>
      </c>
      <c r="K483" s="1" t="s">
        <v>1126</v>
      </c>
    </row>
    <row r="484" spans="1:49" x14ac:dyDescent="0.15">
      <c r="A484" s="1" t="s">
        <v>1101</v>
      </c>
      <c r="C484" s="1" t="s">
        <v>59</v>
      </c>
      <c r="K484" s="1" t="s">
        <v>1127</v>
      </c>
    </row>
    <row r="485" spans="1:49" x14ac:dyDescent="0.15">
      <c r="A485" s="1" t="s">
        <v>1101</v>
      </c>
      <c r="C485" s="1" t="s">
        <v>1128</v>
      </c>
      <c r="F485" s="1" t="s">
        <v>60</v>
      </c>
    </row>
    <row r="486" spans="1:49" x14ac:dyDescent="0.15">
      <c r="A486" s="1" t="s">
        <v>1101</v>
      </c>
      <c r="C486" s="1" t="s">
        <v>1129</v>
      </c>
      <c r="F486" s="1" t="s">
        <v>1130</v>
      </c>
      <c r="AW486" s="1" t="s">
        <v>58</v>
      </c>
    </row>
    <row r="487" spans="1:49" x14ac:dyDescent="0.15">
      <c r="A487" s="1" t="s">
        <v>1101</v>
      </c>
      <c r="C487" s="1" t="s">
        <v>1131</v>
      </c>
      <c r="F487" s="1" t="s">
        <v>1132</v>
      </c>
      <c r="AW487" s="1" t="s">
        <v>58</v>
      </c>
    </row>
    <row r="488" spans="1:49" x14ac:dyDescent="0.15">
      <c r="A488" s="1" t="s">
        <v>1101</v>
      </c>
      <c r="C488" s="1" t="s">
        <v>457</v>
      </c>
      <c r="E488" s="1" t="s">
        <v>1133</v>
      </c>
      <c r="F488" s="1" t="s">
        <v>1134</v>
      </c>
      <c r="AW488" s="1" t="s">
        <v>58</v>
      </c>
    </row>
    <row r="489" spans="1:49" x14ac:dyDescent="0.15">
      <c r="A489" s="1" t="s">
        <v>1101</v>
      </c>
      <c r="C489" s="1" t="s">
        <v>1135</v>
      </c>
      <c r="K489" s="1" t="s">
        <v>1136</v>
      </c>
    </row>
    <row r="490" spans="1:49" x14ac:dyDescent="0.15">
      <c r="A490" s="1" t="s">
        <v>1101</v>
      </c>
      <c r="C490" s="1" t="s">
        <v>1137</v>
      </c>
      <c r="K490" s="1" t="s">
        <v>1138</v>
      </c>
    </row>
    <row r="491" spans="1:49" x14ac:dyDescent="0.15">
      <c r="A491" s="1" t="s">
        <v>1101</v>
      </c>
      <c r="C491" s="1" t="s">
        <v>64</v>
      </c>
      <c r="K491" s="1" t="s">
        <v>1139</v>
      </c>
    </row>
    <row r="492" spans="1:49" x14ac:dyDescent="0.15">
      <c r="A492" s="1" t="s">
        <v>1101</v>
      </c>
      <c r="C492" s="1" t="s">
        <v>1140</v>
      </c>
      <c r="F492" s="1" t="s">
        <v>65</v>
      </c>
    </row>
    <row r="493" spans="1:49" x14ac:dyDescent="0.15">
      <c r="A493" s="1" t="s">
        <v>1101</v>
      </c>
      <c r="C493" s="1" t="s">
        <v>1141</v>
      </c>
      <c r="F493" s="1" t="s">
        <v>1142</v>
      </c>
      <c r="AW493" s="1" t="s">
        <v>80</v>
      </c>
    </row>
    <row r="494" spans="1:49" x14ac:dyDescent="0.15">
      <c r="A494" s="1" t="s">
        <v>1101</v>
      </c>
      <c r="C494" s="1" t="s">
        <v>1143</v>
      </c>
      <c r="K494" s="1" t="s">
        <v>1144</v>
      </c>
    </row>
    <row r="495" spans="1:49" x14ac:dyDescent="0.15">
      <c r="A495" s="1" t="s">
        <v>1101</v>
      </c>
      <c r="C495" s="1" t="s">
        <v>66</v>
      </c>
      <c r="K495" s="1" t="s">
        <v>1145</v>
      </c>
    </row>
    <row r="496" spans="1:49" x14ac:dyDescent="0.15">
      <c r="A496" s="1" t="s">
        <v>1101</v>
      </c>
      <c r="C496" s="1" t="s">
        <v>1146</v>
      </c>
      <c r="F496" s="1" t="s">
        <v>67</v>
      </c>
    </row>
    <row r="497" spans="1:50" x14ac:dyDescent="0.15">
      <c r="A497" s="1" t="s">
        <v>1101</v>
      </c>
      <c r="C497" s="1" t="s">
        <v>1147</v>
      </c>
      <c r="F497" s="1" t="s">
        <v>110</v>
      </c>
    </row>
    <row r="498" spans="1:50" x14ac:dyDescent="0.15">
      <c r="A498" s="1" t="s">
        <v>1101</v>
      </c>
      <c r="C498" s="1" t="s">
        <v>156</v>
      </c>
      <c r="F498" s="1" t="s">
        <v>157</v>
      </c>
      <c r="AW498" s="1" t="s">
        <v>80</v>
      </c>
      <c r="AX498" s="1" t="s">
        <v>61</v>
      </c>
    </row>
    <row r="499" spans="1:50" x14ac:dyDescent="0.15">
      <c r="A499" s="1" t="s">
        <v>1101</v>
      </c>
      <c r="C499" s="1" t="s">
        <v>1148</v>
      </c>
      <c r="K499" s="1" t="s">
        <v>1149</v>
      </c>
    </row>
    <row r="500" spans="1:50" x14ac:dyDescent="0.15">
      <c r="A500" s="1" t="s">
        <v>1101</v>
      </c>
      <c r="C500" s="1" t="s">
        <v>68</v>
      </c>
      <c r="K500" s="1" t="s">
        <v>1150</v>
      </c>
    </row>
    <row r="501" spans="1:50" x14ac:dyDescent="0.15">
      <c r="A501" s="1" t="s">
        <v>1101</v>
      </c>
      <c r="C501" s="1" t="s">
        <v>1151</v>
      </c>
      <c r="F501" s="1" t="s">
        <v>69</v>
      </c>
    </row>
    <row r="502" spans="1:50" x14ac:dyDescent="0.15">
      <c r="A502" s="1" t="s">
        <v>1101</v>
      </c>
      <c r="C502" s="1" t="s">
        <v>1152</v>
      </c>
      <c r="E502" s="1" t="s">
        <v>1153</v>
      </c>
      <c r="K502" s="1" t="s">
        <v>1154</v>
      </c>
    </row>
    <row r="503" spans="1:50" x14ac:dyDescent="0.15">
      <c r="A503" s="1" t="s">
        <v>1101</v>
      </c>
      <c r="C503" s="1" t="s">
        <v>1155</v>
      </c>
      <c r="E503" s="1" t="s">
        <v>1156</v>
      </c>
    </row>
    <row r="504" spans="1:50" x14ac:dyDescent="0.15">
      <c r="A504" s="1" t="s">
        <v>1101</v>
      </c>
      <c r="C504" s="1" t="s">
        <v>72</v>
      </c>
      <c r="E504" s="1" t="s">
        <v>1157</v>
      </c>
    </row>
    <row r="505" spans="1:50" x14ac:dyDescent="0.15">
      <c r="A505" s="1" t="s">
        <v>1101</v>
      </c>
      <c r="C505" s="1" t="s">
        <v>72</v>
      </c>
      <c r="E505" s="1" t="s">
        <v>1158</v>
      </c>
    </row>
    <row r="506" spans="1:50" x14ac:dyDescent="0.15">
      <c r="A506" s="1" t="s">
        <v>1101</v>
      </c>
      <c r="C506" s="1" t="s">
        <v>1159</v>
      </c>
      <c r="F506" s="1" t="s">
        <v>73</v>
      </c>
    </row>
    <row r="507" spans="1:50" x14ac:dyDescent="0.15">
      <c r="A507" s="1" t="s">
        <v>1101</v>
      </c>
      <c r="C507" s="1" t="s">
        <v>1160</v>
      </c>
      <c r="K507" s="1" t="s">
        <v>1161</v>
      </c>
    </row>
    <row r="508" spans="1:50" x14ac:dyDescent="0.15">
      <c r="A508" s="1" t="s">
        <v>1101</v>
      </c>
      <c r="C508" s="1" t="s">
        <v>1162</v>
      </c>
      <c r="F508" s="1" t="s">
        <v>159</v>
      </c>
      <c r="AW508" s="1" t="s">
        <v>58</v>
      </c>
    </row>
    <row r="509" spans="1:50" x14ac:dyDescent="0.15">
      <c r="A509" s="1" t="s">
        <v>1101</v>
      </c>
      <c r="C509" s="1" t="s">
        <v>1163</v>
      </c>
      <c r="K509" s="1" t="s">
        <v>1164</v>
      </c>
    </row>
    <row r="510" spans="1:50" x14ac:dyDescent="0.15">
      <c r="A510" s="1" t="s">
        <v>1101</v>
      </c>
      <c r="C510" s="1" t="s">
        <v>1165</v>
      </c>
      <c r="F510" s="1" t="s">
        <v>1166</v>
      </c>
      <c r="AW510" s="1" t="s">
        <v>58</v>
      </c>
    </row>
    <row r="511" spans="1:50" x14ac:dyDescent="0.15">
      <c r="A511" s="1" t="s">
        <v>1101</v>
      </c>
      <c r="C511" s="1" t="s">
        <v>1167</v>
      </c>
      <c r="F511" s="1" t="s">
        <v>1168</v>
      </c>
      <c r="AW511" s="1" t="s">
        <v>58</v>
      </c>
    </row>
    <row r="512" spans="1:50" x14ac:dyDescent="0.15">
      <c r="A512" s="1" t="s">
        <v>1101</v>
      </c>
      <c r="C512" s="1" t="s">
        <v>1169</v>
      </c>
      <c r="E512" s="1" t="s">
        <v>1170</v>
      </c>
    </row>
    <row r="513" spans="1:49" x14ac:dyDescent="0.15">
      <c r="A513" s="1" t="s">
        <v>1101</v>
      </c>
      <c r="C513" s="1" t="s">
        <v>1171</v>
      </c>
      <c r="F513" s="1" t="s">
        <v>1172</v>
      </c>
      <c r="AW513" s="1" t="s">
        <v>80</v>
      </c>
    </row>
    <row r="514" spans="1:49" x14ac:dyDescent="0.15">
      <c r="A514" s="1" t="s">
        <v>1101</v>
      </c>
      <c r="B514" s="1" t="s">
        <v>1171</v>
      </c>
      <c r="E514" s="1" t="s">
        <v>1173</v>
      </c>
    </row>
    <row r="515" spans="1:49" x14ac:dyDescent="0.15">
      <c r="A515" s="1" t="s">
        <v>1101</v>
      </c>
      <c r="C515" s="1" t="s">
        <v>1174</v>
      </c>
      <c r="E515" s="1" t="s">
        <v>1175</v>
      </c>
      <c r="AG515" s="1" t="s">
        <v>1176</v>
      </c>
    </row>
    <row r="516" spans="1:49" x14ac:dyDescent="0.15">
      <c r="A516" s="1" t="s">
        <v>1101</v>
      </c>
      <c r="C516" s="1" t="s">
        <v>1177</v>
      </c>
      <c r="E516" s="1" t="s">
        <v>1178</v>
      </c>
    </row>
    <row r="517" spans="1:49" x14ac:dyDescent="0.15">
      <c r="A517" s="1" t="s">
        <v>1101</v>
      </c>
      <c r="C517" s="1" t="s">
        <v>1179</v>
      </c>
      <c r="F517" s="1" t="s">
        <v>1180</v>
      </c>
      <c r="AW517" s="1" t="s">
        <v>58</v>
      </c>
    </row>
    <row r="518" spans="1:49" x14ac:dyDescent="0.15">
      <c r="A518" s="1" t="s">
        <v>1101</v>
      </c>
      <c r="C518" s="1" t="s">
        <v>1181</v>
      </c>
      <c r="F518" s="1" t="s">
        <v>1182</v>
      </c>
      <c r="AW518" s="1" t="s">
        <v>80</v>
      </c>
    </row>
    <row r="519" spans="1:49" x14ac:dyDescent="0.15">
      <c r="A519" s="1" t="s">
        <v>1101</v>
      </c>
      <c r="B519" s="1" t="s">
        <v>1183</v>
      </c>
      <c r="E519" s="1" t="s">
        <v>1184</v>
      </c>
    </row>
    <row r="520" spans="1:49" x14ac:dyDescent="0.15">
      <c r="A520" s="1" t="s">
        <v>1101</v>
      </c>
      <c r="C520" s="1" t="s">
        <v>1185</v>
      </c>
      <c r="F520" s="1" t="s">
        <v>1186</v>
      </c>
      <c r="AW520" s="1" t="s">
        <v>80</v>
      </c>
    </row>
    <row r="521" spans="1:49" x14ac:dyDescent="0.15">
      <c r="A521" s="1" t="s">
        <v>1101</v>
      </c>
      <c r="C521" s="1" t="s">
        <v>1187</v>
      </c>
      <c r="F521" s="1" t="s">
        <v>1188</v>
      </c>
      <c r="AW521" s="1" t="s">
        <v>80</v>
      </c>
    </row>
    <row r="522" spans="1:49" x14ac:dyDescent="0.15">
      <c r="A522" s="1" t="s">
        <v>1101</v>
      </c>
      <c r="C522" s="1" t="s">
        <v>1189</v>
      </c>
      <c r="F522" s="1" t="s">
        <v>124</v>
      </c>
    </row>
    <row r="523" spans="1:49" x14ac:dyDescent="0.15">
      <c r="A523" s="1" t="s">
        <v>1101</v>
      </c>
      <c r="C523" s="1" t="s">
        <v>1190</v>
      </c>
      <c r="F523" s="1" t="s">
        <v>1191</v>
      </c>
      <c r="AW523" s="1" t="s">
        <v>58</v>
      </c>
    </row>
    <row r="524" spans="1:49" x14ac:dyDescent="0.15">
      <c r="A524" s="1" t="s">
        <v>1101</v>
      </c>
      <c r="C524" s="1" t="s">
        <v>1190</v>
      </c>
      <c r="F524" s="1" t="s">
        <v>1192</v>
      </c>
      <c r="AW524" s="1" t="s">
        <v>80</v>
      </c>
    </row>
    <row r="525" spans="1:49" x14ac:dyDescent="0.15">
      <c r="A525" s="1" t="s">
        <v>1101</v>
      </c>
      <c r="C525" s="1" t="s">
        <v>1193</v>
      </c>
      <c r="K525" s="1" t="s">
        <v>1194</v>
      </c>
    </row>
    <row r="526" spans="1:49" x14ac:dyDescent="0.15">
      <c r="A526" s="1" t="s">
        <v>1101</v>
      </c>
      <c r="C526" s="1" t="s">
        <v>1195</v>
      </c>
      <c r="F526" s="1" t="s">
        <v>1196</v>
      </c>
      <c r="AW526" s="1" t="s">
        <v>80</v>
      </c>
    </row>
    <row r="527" spans="1:49" x14ac:dyDescent="0.15">
      <c r="A527" s="1" t="s">
        <v>1101</v>
      </c>
      <c r="C527" s="1" t="s">
        <v>1197</v>
      </c>
      <c r="F527" s="1" t="s">
        <v>75</v>
      </c>
    </row>
    <row r="528" spans="1:49" x14ac:dyDescent="0.15">
      <c r="A528" s="1" t="s">
        <v>1101</v>
      </c>
      <c r="C528" s="1" t="s">
        <v>76</v>
      </c>
      <c r="K528" s="1" t="s">
        <v>1198</v>
      </c>
    </row>
    <row r="529" spans="1:49" x14ac:dyDescent="0.15">
      <c r="A529" s="1" t="s">
        <v>1101</v>
      </c>
      <c r="C529" s="1" t="s">
        <v>1199</v>
      </c>
      <c r="F529" s="1" t="s">
        <v>77</v>
      </c>
    </row>
    <row r="530" spans="1:49" x14ac:dyDescent="0.15">
      <c r="A530" s="1" t="s">
        <v>1101</v>
      </c>
      <c r="C530" s="1" t="s">
        <v>1200</v>
      </c>
      <c r="F530" s="1" t="s">
        <v>1201</v>
      </c>
      <c r="AW530" s="1" t="s">
        <v>58</v>
      </c>
    </row>
    <row r="531" spans="1:49" x14ac:dyDescent="0.15">
      <c r="A531" s="1" t="s">
        <v>1101</v>
      </c>
      <c r="C531" s="1" t="s">
        <v>1202</v>
      </c>
      <c r="K531" s="1" t="s">
        <v>1203</v>
      </c>
    </row>
    <row r="532" spans="1:49" x14ac:dyDescent="0.15">
      <c r="A532" s="1" t="s">
        <v>1101</v>
      </c>
      <c r="C532" s="1" t="s">
        <v>1204</v>
      </c>
      <c r="E532" s="1" t="s">
        <v>1205</v>
      </c>
    </row>
    <row r="533" spans="1:49" x14ac:dyDescent="0.15">
      <c r="A533" s="1" t="s">
        <v>1101</v>
      </c>
      <c r="C533" s="1" t="s">
        <v>1206</v>
      </c>
      <c r="F533" s="1" t="s">
        <v>1207</v>
      </c>
      <c r="AW533" s="1" t="s">
        <v>80</v>
      </c>
    </row>
    <row r="534" spans="1:49" x14ac:dyDescent="0.15">
      <c r="A534" s="1" t="s">
        <v>1101</v>
      </c>
      <c r="C534" s="1" t="s">
        <v>1208</v>
      </c>
      <c r="F534" s="1" t="s">
        <v>1209</v>
      </c>
      <c r="AW534" s="1" t="s">
        <v>80</v>
      </c>
    </row>
    <row r="535" spans="1:49" x14ac:dyDescent="0.15">
      <c r="A535" s="1" t="s">
        <v>1101</v>
      </c>
      <c r="C535" s="1" t="s">
        <v>1210</v>
      </c>
      <c r="K535" s="1" t="s">
        <v>1211</v>
      </c>
    </row>
    <row r="536" spans="1:49" x14ac:dyDescent="0.15">
      <c r="A536" s="1" t="s">
        <v>1101</v>
      </c>
      <c r="C536" s="1" t="s">
        <v>1212</v>
      </c>
      <c r="F536" s="1" t="s">
        <v>1213</v>
      </c>
      <c r="AW536" s="1" t="s">
        <v>80</v>
      </c>
    </row>
    <row r="537" spans="1:49" x14ac:dyDescent="0.15">
      <c r="A537" s="1" t="s">
        <v>1101</v>
      </c>
      <c r="C537" s="1" t="s">
        <v>1214</v>
      </c>
      <c r="K537" s="1" t="s">
        <v>1215</v>
      </c>
    </row>
    <row r="538" spans="1:49" x14ac:dyDescent="0.15">
      <c r="A538" s="1" t="s">
        <v>1101</v>
      </c>
      <c r="C538" s="1" t="s">
        <v>1216</v>
      </c>
      <c r="K538" s="1" t="s">
        <v>1217</v>
      </c>
    </row>
    <row r="539" spans="1:49" x14ac:dyDescent="0.15">
      <c r="A539" s="1" t="s">
        <v>1101</v>
      </c>
      <c r="C539" s="1" t="s">
        <v>1218</v>
      </c>
      <c r="F539" s="1" t="s">
        <v>1114</v>
      </c>
    </row>
    <row r="540" spans="1:49" x14ac:dyDescent="0.15">
      <c r="A540" s="1" t="s">
        <v>1101</v>
      </c>
      <c r="C540" s="1" t="s">
        <v>1219</v>
      </c>
      <c r="F540" s="1" t="s">
        <v>1220</v>
      </c>
      <c r="AW540" s="1" t="s">
        <v>58</v>
      </c>
    </row>
    <row r="541" spans="1:49" x14ac:dyDescent="0.15">
      <c r="A541" s="1" t="s">
        <v>697</v>
      </c>
      <c r="C541" s="1" t="s">
        <v>1221</v>
      </c>
      <c r="K541" s="1" t="s">
        <v>1222</v>
      </c>
    </row>
    <row r="542" spans="1:49" x14ac:dyDescent="0.15">
      <c r="A542" s="1" t="s">
        <v>697</v>
      </c>
      <c r="B542" s="1" t="s">
        <v>1223</v>
      </c>
      <c r="E542" s="1" t="s">
        <v>1224</v>
      </c>
    </row>
    <row r="543" spans="1:49" x14ac:dyDescent="0.15">
      <c r="A543" s="1" t="s">
        <v>697</v>
      </c>
      <c r="C543" s="1" t="s">
        <v>1225</v>
      </c>
      <c r="K543" s="1" t="s">
        <v>1226</v>
      </c>
    </row>
    <row r="544" spans="1:49" x14ac:dyDescent="0.15">
      <c r="A544" s="1" t="s">
        <v>697</v>
      </c>
      <c r="B544" s="1" t="s">
        <v>1227</v>
      </c>
      <c r="E544" s="1" t="s">
        <v>1228</v>
      </c>
    </row>
    <row r="545" spans="1:50" x14ac:dyDescent="0.15">
      <c r="A545" s="1" t="s">
        <v>697</v>
      </c>
      <c r="C545" s="1" t="s">
        <v>1229</v>
      </c>
      <c r="K545" s="1" t="s">
        <v>1230</v>
      </c>
    </row>
    <row r="546" spans="1:50" x14ac:dyDescent="0.15">
      <c r="A546" s="1" t="s">
        <v>697</v>
      </c>
      <c r="C546" s="1" t="s">
        <v>1231</v>
      </c>
      <c r="F546" s="1" t="s">
        <v>174</v>
      </c>
      <c r="K546" s="1" t="s">
        <v>175</v>
      </c>
    </row>
    <row r="547" spans="1:50" x14ac:dyDescent="0.15">
      <c r="A547" s="1" t="s">
        <v>697</v>
      </c>
      <c r="B547" s="1" t="s">
        <v>1232</v>
      </c>
      <c r="E547" s="1" t="s">
        <v>1233</v>
      </c>
      <c r="F547" s="1" t="s">
        <v>1234</v>
      </c>
    </row>
    <row r="548" spans="1:50" x14ac:dyDescent="0.15">
      <c r="A548" s="1" t="s">
        <v>697</v>
      </c>
      <c r="C548" s="1" t="s">
        <v>1235</v>
      </c>
      <c r="K548" s="1" t="s">
        <v>1236</v>
      </c>
    </row>
    <row r="549" spans="1:50" x14ac:dyDescent="0.15">
      <c r="A549" s="1" t="s">
        <v>697</v>
      </c>
      <c r="B549" s="1" t="s">
        <v>1237</v>
      </c>
      <c r="E549" s="1" t="s">
        <v>1238</v>
      </c>
      <c r="F549" s="1" t="s">
        <v>193</v>
      </c>
    </row>
    <row r="550" spans="1:50" x14ac:dyDescent="0.15">
      <c r="A550" s="1" t="s">
        <v>697</v>
      </c>
      <c r="C550" s="1" t="s">
        <v>1239</v>
      </c>
      <c r="E550" s="1" t="s">
        <v>1240</v>
      </c>
    </row>
    <row r="551" spans="1:50" x14ac:dyDescent="0.15">
      <c r="A551" s="1" t="s">
        <v>697</v>
      </c>
      <c r="B551" s="1" t="s">
        <v>1241</v>
      </c>
    </row>
    <row r="552" spans="1:50" x14ac:dyDescent="0.15">
      <c r="A552" s="1" t="s">
        <v>697</v>
      </c>
      <c r="B552" s="1" t="s">
        <v>1242</v>
      </c>
      <c r="E552" s="1" t="s">
        <v>1243</v>
      </c>
      <c r="F552" s="1" t="s">
        <v>212</v>
      </c>
    </row>
    <row r="553" spans="1:50" x14ac:dyDescent="0.15">
      <c r="A553" s="1" t="s">
        <v>697</v>
      </c>
      <c r="B553" s="1" t="s">
        <v>1244</v>
      </c>
      <c r="E553" s="1" t="s">
        <v>1245</v>
      </c>
    </row>
    <row r="554" spans="1:50" x14ac:dyDescent="0.15">
      <c r="A554" s="1" t="s">
        <v>697</v>
      </c>
      <c r="C554" s="1" t="s">
        <v>1246</v>
      </c>
      <c r="K554" s="1" t="s">
        <v>1247</v>
      </c>
    </row>
    <row r="555" spans="1:50" x14ac:dyDescent="0.15">
      <c r="A555" s="1" t="s">
        <v>697</v>
      </c>
      <c r="C555" s="1" t="s">
        <v>1248</v>
      </c>
      <c r="K555" s="1" t="s">
        <v>1249</v>
      </c>
    </row>
    <row r="556" spans="1:50" x14ac:dyDescent="0.15">
      <c r="A556" s="1" t="s">
        <v>697</v>
      </c>
      <c r="C556" s="1" t="s">
        <v>1250</v>
      </c>
      <c r="K556" s="1" t="s">
        <v>1251</v>
      </c>
    </row>
    <row r="557" spans="1:50" x14ac:dyDescent="0.15">
      <c r="A557" s="1" t="s">
        <v>697</v>
      </c>
      <c r="C557" s="1" t="s">
        <v>1252</v>
      </c>
      <c r="K557" s="1" t="s">
        <v>1253</v>
      </c>
    </row>
    <row r="558" spans="1:50" x14ac:dyDescent="0.15">
      <c r="A558" s="1" t="s">
        <v>697</v>
      </c>
      <c r="B558" s="1" t="s">
        <v>1252</v>
      </c>
      <c r="F558" s="1" t="s">
        <v>170</v>
      </c>
    </row>
    <row r="559" spans="1:50" x14ac:dyDescent="0.15">
      <c r="A559" s="1" t="s">
        <v>697</v>
      </c>
      <c r="C559" s="1" t="s">
        <v>1254</v>
      </c>
      <c r="E559" s="1" t="s">
        <v>1255</v>
      </c>
      <c r="F559" s="1" t="s">
        <v>1256</v>
      </c>
      <c r="AW559" s="1" t="s">
        <v>164</v>
      </c>
      <c r="AX559" s="1" t="s">
        <v>155</v>
      </c>
    </row>
    <row r="560" spans="1:50" x14ac:dyDescent="0.15">
      <c r="A560" s="1" t="s">
        <v>697</v>
      </c>
      <c r="C560" s="1" t="s">
        <v>1257</v>
      </c>
      <c r="K560" s="1" t="s">
        <v>1258</v>
      </c>
    </row>
    <row r="561" spans="1:49" x14ac:dyDescent="0.15">
      <c r="A561" s="1" t="s">
        <v>697</v>
      </c>
      <c r="C561" s="1" t="s">
        <v>1259</v>
      </c>
      <c r="F561" s="1" t="s">
        <v>172</v>
      </c>
    </row>
    <row r="562" spans="1:49" x14ac:dyDescent="0.15">
      <c r="A562" s="1" t="s">
        <v>697</v>
      </c>
      <c r="B562" s="1" t="s">
        <v>1260</v>
      </c>
      <c r="E562" s="1" t="s">
        <v>1261</v>
      </c>
    </row>
    <row r="563" spans="1:49" x14ac:dyDescent="0.15">
      <c r="A563" s="1" t="s">
        <v>697</v>
      </c>
      <c r="C563" s="1" t="s">
        <v>1262</v>
      </c>
      <c r="F563" s="1" t="s">
        <v>1263</v>
      </c>
      <c r="AW563" s="1" t="s">
        <v>0</v>
      </c>
    </row>
    <row r="564" spans="1:49" x14ac:dyDescent="0.15">
      <c r="A564" s="1" t="s">
        <v>697</v>
      </c>
      <c r="C564" s="1" t="s">
        <v>1264</v>
      </c>
      <c r="K564" s="1" t="s">
        <v>1265</v>
      </c>
    </row>
    <row r="565" spans="1:49" x14ac:dyDescent="0.15">
      <c r="A565" s="1" t="s">
        <v>697</v>
      </c>
      <c r="C565" s="1" t="s">
        <v>1266</v>
      </c>
      <c r="E565" s="1" t="s">
        <v>1267</v>
      </c>
      <c r="AG565" s="1" t="s">
        <v>1268</v>
      </c>
    </row>
    <row r="566" spans="1:49" x14ac:dyDescent="0.15">
      <c r="A566" s="1" t="s">
        <v>697</v>
      </c>
      <c r="C566" s="1" t="s">
        <v>1269</v>
      </c>
      <c r="F566" s="1" t="s">
        <v>1270</v>
      </c>
      <c r="AW566" s="1" t="s">
        <v>80</v>
      </c>
    </row>
    <row r="567" spans="1:49" x14ac:dyDescent="0.15">
      <c r="A567" s="1" t="s">
        <v>697</v>
      </c>
      <c r="C567" s="1" t="s">
        <v>1269</v>
      </c>
      <c r="K567" s="1" t="s">
        <v>1271</v>
      </c>
    </row>
    <row r="568" spans="1:49" x14ac:dyDescent="0.15">
      <c r="A568" s="1" t="s">
        <v>697</v>
      </c>
      <c r="B568" s="1" t="s">
        <v>1272</v>
      </c>
      <c r="F568" s="1" t="s">
        <v>1273</v>
      </c>
      <c r="K568" s="1" t="s">
        <v>1274</v>
      </c>
    </row>
    <row r="569" spans="1:49" x14ac:dyDescent="0.15">
      <c r="A569" s="1" t="s">
        <v>697</v>
      </c>
      <c r="C569" s="1" t="s">
        <v>1275</v>
      </c>
      <c r="K569" s="1" t="s">
        <v>1276</v>
      </c>
    </row>
    <row r="570" spans="1:49" x14ac:dyDescent="0.15">
      <c r="A570" s="1" t="s">
        <v>697</v>
      </c>
      <c r="C570" s="1" t="s">
        <v>1277</v>
      </c>
      <c r="K570" s="1" t="s">
        <v>1278</v>
      </c>
    </row>
    <row r="571" spans="1:49" x14ac:dyDescent="0.15">
      <c r="A571" s="1" t="s">
        <v>697</v>
      </c>
      <c r="C571" s="1" t="s">
        <v>1279</v>
      </c>
      <c r="K571" s="1" t="s">
        <v>1280</v>
      </c>
    </row>
    <row r="572" spans="1:49" x14ac:dyDescent="0.15">
      <c r="A572" s="1" t="s">
        <v>697</v>
      </c>
      <c r="C572" s="1" t="s">
        <v>1281</v>
      </c>
      <c r="K572" s="1" t="s">
        <v>1282</v>
      </c>
    </row>
    <row r="573" spans="1:49" x14ac:dyDescent="0.15">
      <c r="A573" s="1" t="s">
        <v>697</v>
      </c>
      <c r="C573" s="1" t="s">
        <v>1283</v>
      </c>
      <c r="K573" s="1" t="s">
        <v>1284</v>
      </c>
    </row>
    <row r="574" spans="1:49" x14ac:dyDescent="0.15">
      <c r="A574" s="1" t="s">
        <v>697</v>
      </c>
      <c r="C574" s="1" t="s">
        <v>1285</v>
      </c>
      <c r="K574" s="1" t="s">
        <v>1286</v>
      </c>
    </row>
    <row r="575" spans="1:49" x14ac:dyDescent="0.15">
      <c r="A575" s="1" t="s">
        <v>697</v>
      </c>
      <c r="B575" s="1" t="s">
        <v>1287</v>
      </c>
      <c r="E575" s="1" t="s">
        <v>1288</v>
      </c>
    </row>
    <row r="576" spans="1:49" x14ac:dyDescent="0.15">
      <c r="A576" s="1" t="s">
        <v>697</v>
      </c>
      <c r="B576" s="1" t="s">
        <v>1289</v>
      </c>
      <c r="E576" s="1" t="s">
        <v>1290</v>
      </c>
    </row>
    <row r="577" spans="1:49" x14ac:dyDescent="0.15">
      <c r="A577" s="1" t="s">
        <v>697</v>
      </c>
      <c r="C577" s="1" t="s">
        <v>1291</v>
      </c>
      <c r="F577" s="1" t="s">
        <v>231</v>
      </c>
    </row>
    <row r="578" spans="1:49" x14ac:dyDescent="0.15">
      <c r="A578" s="1" t="s">
        <v>697</v>
      </c>
      <c r="C578" s="1" t="s">
        <v>1292</v>
      </c>
      <c r="F578" s="1" t="s">
        <v>1293</v>
      </c>
      <c r="AW578" s="1" t="s">
        <v>0</v>
      </c>
    </row>
    <row r="579" spans="1:49" x14ac:dyDescent="0.15">
      <c r="A579" s="1" t="s">
        <v>697</v>
      </c>
      <c r="C579" s="1" t="s">
        <v>1294</v>
      </c>
      <c r="K579" s="1" t="s">
        <v>1295</v>
      </c>
    </row>
    <row r="580" spans="1:49" x14ac:dyDescent="0.15">
      <c r="A580" s="1" t="s">
        <v>697</v>
      </c>
      <c r="C580" s="1" t="s">
        <v>1296</v>
      </c>
      <c r="F580" s="1" t="s">
        <v>1297</v>
      </c>
      <c r="AW580" s="1" t="s">
        <v>0</v>
      </c>
    </row>
    <row r="581" spans="1:49" x14ac:dyDescent="0.15">
      <c r="A581" s="1" t="s">
        <v>697</v>
      </c>
      <c r="C581" s="1" t="s">
        <v>1298</v>
      </c>
      <c r="K581" s="1" t="s">
        <v>1299</v>
      </c>
    </row>
    <row r="582" spans="1:49" x14ac:dyDescent="0.15">
      <c r="A582" s="1" t="s">
        <v>697</v>
      </c>
      <c r="C582" s="1" t="s">
        <v>1300</v>
      </c>
      <c r="K582" s="1" t="s">
        <v>1301</v>
      </c>
    </row>
    <row r="583" spans="1:49" x14ac:dyDescent="0.15">
      <c r="A583" s="1" t="s">
        <v>697</v>
      </c>
      <c r="C583" s="1" t="s">
        <v>1302</v>
      </c>
      <c r="K583" s="1" t="s">
        <v>1303</v>
      </c>
    </row>
    <row r="584" spans="1:49" x14ac:dyDescent="0.15">
      <c r="A584" s="1" t="s">
        <v>697</v>
      </c>
      <c r="C584" s="1" t="s">
        <v>1304</v>
      </c>
      <c r="E584" s="1" t="s">
        <v>1305</v>
      </c>
      <c r="K584" s="1" t="s">
        <v>1306</v>
      </c>
    </row>
    <row r="585" spans="1:49" x14ac:dyDescent="0.15">
      <c r="A585" s="1" t="s">
        <v>697</v>
      </c>
      <c r="C585" s="1" t="s">
        <v>1307</v>
      </c>
      <c r="K585" s="1" t="s">
        <v>1308</v>
      </c>
    </row>
    <row r="586" spans="1:49" x14ac:dyDescent="0.15">
      <c r="A586" s="1" t="s">
        <v>697</v>
      </c>
      <c r="C586" s="1" t="s">
        <v>1309</v>
      </c>
      <c r="K586" s="1" t="s">
        <v>1310</v>
      </c>
    </row>
    <row r="587" spans="1:49" x14ac:dyDescent="0.15">
      <c r="A587" s="1" t="s">
        <v>697</v>
      </c>
      <c r="B587" s="1" t="s">
        <v>1311</v>
      </c>
      <c r="E587" s="1" t="s">
        <v>1312</v>
      </c>
    </row>
    <row r="588" spans="1:49" x14ac:dyDescent="0.15">
      <c r="A588" s="1" t="s">
        <v>697</v>
      </c>
      <c r="B588" s="1" t="s">
        <v>1313</v>
      </c>
      <c r="E588" s="1" t="s">
        <v>1314</v>
      </c>
      <c r="F588" s="1" t="s">
        <v>1315</v>
      </c>
    </row>
    <row r="589" spans="1:49" x14ac:dyDescent="0.15">
      <c r="A589" s="1" t="s">
        <v>697</v>
      </c>
      <c r="C589" s="1" t="s">
        <v>1316</v>
      </c>
      <c r="E589" s="1" t="s">
        <v>1317</v>
      </c>
    </row>
    <row r="590" spans="1:49" x14ac:dyDescent="0.15">
      <c r="A590" s="1" t="s">
        <v>697</v>
      </c>
      <c r="C590" s="1" t="s">
        <v>1318</v>
      </c>
      <c r="E590" s="1" t="s">
        <v>1319</v>
      </c>
    </row>
    <row r="591" spans="1:49" x14ac:dyDescent="0.15">
      <c r="A591" s="1" t="s">
        <v>697</v>
      </c>
      <c r="B591" s="1" t="s">
        <v>1320</v>
      </c>
      <c r="E591" s="1" t="s">
        <v>1321</v>
      </c>
    </row>
    <row r="592" spans="1:49" x14ac:dyDescent="0.15">
      <c r="A592" s="1" t="s">
        <v>697</v>
      </c>
      <c r="B592" s="1" t="s">
        <v>1322</v>
      </c>
      <c r="E592" s="1" t="s">
        <v>1323</v>
      </c>
    </row>
    <row r="593" spans="1:49" x14ac:dyDescent="0.15">
      <c r="A593" s="1" t="s">
        <v>697</v>
      </c>
      <c r="B593" s="1" t="s">
        <v>1324</v>
      </c>
      <c r="E593" s="1" t="s">
        <v>1325</v>
      </c>
    </row>
    <row r="594" spans="1:49" x14ac:dyDescent="0.15">
      <c r="A594" s="1" t="s">
        <v>697</v>
      </c>
      <c r="C594" s="1" t="s">
        <v>1326</v>
      </c>
      <c r="K594" s="1" t="s">
        <v>1327</v>
      </c>
    </row>
    <row r="595" spans="1:49" x14ac:dyDescent="0.15">
      <c r="A595" s="1" t="s">
        <v>697</v>
      </c>
      <c r="C595" s="1" t="s">
        <v>1328</v>
      </c>
      <c r="K595" s="1" t="s">
        <v>1329</v>
      </c>
    </row>
    <row r="596" spans="1:49" x14ac:dyDescent="0.15">
      <c r="A596" s="1" t="s">
        <v>697</v>
      </c>
      <c r="C596" s="1" t="s">
        <v>1330</v>
      </c>
      <c r="K596" s="1" t="s">
        <v>1331</v>
      </c>
    </row>
    <row r="597" spans="1:49" x14ac:dyDescent="0.15">
      <c r="A597" s="1" t="s">
        <v>697</v>
      </c>
      <c r="B597" s="1" t="s">
        <v>1332</v>
      </c>
      <c r="E597" s="1" t="s">
        <v>1333</v>
      </c>
    </row>
    <row r="598" spans="1:49" x14ac:dyDescent="0.15">
      <c r="A598" s="1" t="s">
        <v>697</v>
      </c>
      <c r="B598" s="1" t="s">
        <v>1334</v>
      </c>
      <c r="E598" s="1" t="s">
        <v>1335</v>
      </c>
    </row>
    <row r="599" spans="1:49" x14ac:dyDescent="0.15">
      <c r="A599" s="1" t="s">
        <v>697</v>
      </c>
      <c r="C599" s="1" t="s">
        <v>1336</v>
      </c>
      <c r="E599" s="1" t="s">
        <v>1337</v>
      </c>
    </row>
    <row r="600" spans="1:49" x14ac:dyDescent="0.15">
      <c r="A600" s="1" t="s">
        <v>697</v>
      </c>
      <c r="B600" s="1" t="s">
        <v>1338</v>
      </c>
      <c r="E600" s="1" t="s">
        <v>1339</v>
      </c>
    </row>
    <row r="601" spans="1:49" x14ac:dyDescent="0.15">
      <c r="A601" s="1" t="s">
        <v>697</v>
      </c>
      <c r="C601" s="1" t="s">
        <v>1340</v>
      </c>
      <c r="E601" s="1" t="s">
        <v>1341</v>
      </c>
      <c r="AW601" s="1" t="s">
        <v>1101</v>
      </c>
    </row>
    <row r="602" spans="1:49" x14ac:dyDescent="0.15">
      <c r="A602" s="1" t="s">
        <v>697</v>
      </c>
      <c r="C602" s="1" t="s">
        <v>1342</v>
      </c>
      <c r="K602" s="1" t="s">
        <v>1343</v>
      </c>
    </row>
    <row r="603" spans="1:49" x14ac:dyDescent="0.15">
      <c r="A603" s="1" t="s">
        <v>697</v>
      </c>
      <c r="C603" s="1" t="s">
        <v>1344</v>
      </c>
      <c r="K603" s="1" t="s">
        <v>1345</v>
      </c>
    </row>
    <row r="604" spans="1:49" x14ac:dyDescent="0.15">
      <c r="A604" s="1" t="s">
        <v>697</v>
      </c>
      <c r="B604" s="1" t="s">
        <v>1346</v>
      </c>
      <c r="E604" s="1" t="s">
        <v>1347</v>
      </c>
    </row>
    <row r="605" spans="1:49" x14ac:dyDescent="0.15">
      <c r="A605" s="1" t="s">
        <v>697</v>
      </c>
      <c r="C605" s="1" t="s">
        <v>1348</v>
      </c>
      <c r="F605" s="1" t="s">
        <v>193</v>
      </c>
      <c r="K605" s="1" t="s">
        <v>1349</v>
      </c>
    </row>
    <row r="606" spans="1:49" x14ac:dyDescent="0.15">
      <c r="A606" s="1" t="s">
        <v>697</v>
      </c>
      <c r="B606" s="1" t="s">
        <v>1350</v>
      </c>
      <c r="E606" s="1" t="s">
        <v>1351</v>
      </c>
    </row>
    <row r="607" spans="1:49" x14ac:dyDescent="0.15">
      <c r="A607" s="1" t="s">
        <v>697</v>
      </c>
      <c r="C607" s="1" t="s">
        <v>1352</v>
      </c>
      <c r="K607" s="1" t="s">
        <v>1353</v>
      </c>
    </row>
    <row r="608" spans="1:49" x14ac:dyDescent="0.15">
      <c r="A608" s="1" t="s">
        <v>697</v>
      </c>
      <c r="C608" s="1" t="s">
        <v>1354</v>
      </c>
      <c r="AW608" s="1" t="s">
        <v>0</v>
      </c>
    </row>
    <row r="609" spans="1:11" x14ac:dyDescent="0.15">
      <c r="A609" s="1" t="s">
        <v>697</v>
      </c>
      <c r="C609" s="1" t="s">
        <v>1355</v>
      </c>
      <c r="E609" s="1" t="s">
        <v>1356</v>
      </c>
      <c r="F609" s="1" t="s">
        <v>35</v>
      </c>
    </row>
    <row r="610" spans="1:11" x14ac:dyDescent="0.15">
      <c r="A610" s="1" t="s">
        <v>697</v>
      </c>
      <c r="B610" s="1" t="s">
        <v>1357</v>
      </c>
      <c r="E610" s="1" t="s">
        <v>1358</v>
      </c>
    </row>
    <row r="611" spans="1:11" x14ac:dyDescent="0.15">
      <c r="A611" s="1" t="s">
        <v>697</v>
      </c>
      <c r="C611" s="1" t="s">
        <v>1359</v>
      </c>
      <c r="K611" s="1" t="s">
        <v>1360</v>
      </c>
    </row>
    <row r="612" spans="1:11" x14ac:dyDescent="0.15">
      <c r="A612" s="1" t="s">
        <v>697</v>
      </c>
      <c r="C612" s="1" t="s">
        <v>1361</v>
      </c>
      <c r="K612" s="1" t="s">
        <v>1362</v>
      </c>
    </row>
    <row r="613" spans="1:11" x14ac:dyDescent="0.15">
      <c r="A613" s="1" t="s">
        <v>697</v>
      </c>
      <c r="C613" s="1" t="s">
        <v>1363</v>
      </c>
      <c r="K613" s="1" t="s">
        <v>1364</v>
      </c>
    </row>
    <row r="614" spans="1:11" x14ac:dyDescent="0.15">
      <c r="A614" s="1" t="s">
        <v>697</v>
      </c>
      <c r="C614" s="1" t="s">
        <v>1365</v>
      </c>
      <c r="K614" s="1" t="s">
        <v>1366</v>
      </c>
    </row>
    <row r="615" spans="1:11" x14ac:dyDescent="0.15">
      <c r="A615" s="1" t="s">
        <v>697</v>
      </c>
      <c r="C615" s="1" t="s">
        <v>1367</v>
      </c>
      <c r="E615" s="1" t="s">
        <v>1368</v>
      </c>
      <c r="K615" s="1" t="s">
        <v>1369</v>
      </c>
    </row>
    <row r="616" spans="1:11" x14ac:dyDescent="0.15">
      <c r="A616" s="1" t="s">
        <v>697</v>
      </c>
      <c r="C616" s="1" t="s">
        <v>1370</v>
      </c>
      <c r="K616" s="1" t="s">
        <v>1371</v>
      </c>
    </row>
    <row r="617" spans="1:11" x14ac:dyDescent="0.15">
      <c r="A617" s="1" t="s">
        <v>697</v>
      </c>
      <c r="C617" s="1" t="s">
        <v>1372</v>
      </c>
      <c r="K617" s="1" t="s">
        <v>1373</v>
      </c>
    </row>
    <row r="618" spans="1:11" x14ac:dyDescent="0.15">
      <c r="A618" s="1" t="s">
        <v>697</v>
      </c>
      <c r="C618" s="1" t="s">
        <v>1374</v>
      </c>
      <c r="K618" s="1" t="s">
        <v>1375</v>
      </c>
    </row>
    <row r="619" spans="1:11" x14ac:dyDescent="0.15">
      <c r="A619" s="1" t="s">
        <v>697</v>
      </c>
      <c r="C619" s="1" t="s">
        <v>1376</v>
      </c>
      <c r="E619" s="1" t="s">
        <v>1377</v>
      </c>
    </row>
    <row r="620" spans="1:11" x14ac:dyDescent="0.15">
      <c r="A620" s="1" t="s">
        <v>697</v>
      </c>
      <c r="C620" s="1" t="s">
        <v>1378</v>
      </c>
      <c r="K620" s="1" t="s">
        <v>1379</v>
      </c>
    </row>
    <row r="621" spans="1:11" x14ac:dyDescent="0.15">
      <c r="A621" s="1" t="s">
        <v>697</v>
      </c>
      <c r="C621" s="1" t="s">
        <v>1380</v>
      </c>
      <c r="E621" s="1" t="s">
        <v>1381</v>
      </c>
    </row>
    <row r="622" spans="1:11" x14ac:dyDescent="0.15">
      <c r="A622" s="1" t="s">
        <v>697</v>
      </c>
      <c r="C622" s="1" t="s">
        <v>1382</v>
      </c>
      <c r="K622" s="1" t="s">
        <v>1383</v>
      </c>
    </row>
    <row r="623" spans="1:11" x14ac:dyDescent="0.15">
      <c r="A623" s="1" t="s">
        <v>697</v>
      </c>
      <c r="C623" s="1" t="s">
        <v>728</v>
      </c>
      <c r="F623" s="1" t="s">
        <v>1384</v>
      </c>
      <c r="K623" s="1" t="s">
        <v>1385</v>
      </c>
    </row>
    <row r="624" spans="1:11" x14ac:dyDescent="0.15">
      <c r="A624" s="1" t="s">
        <v>697</v>
      </c>
      <c r="B624" s="1" t="s">
        <v>1386</v>
      </c>
      <c r="E624" s="1" t="s">
        <v>1387</v>
      </c>
    </row>
    <row r="625" spans="1:49" x14ac:dyDescent="0.15">
      <c r="A625" s="1" t="s">
        <v>697</v>
      </c>
      <c r="B625" s="1" t="s">
        <v>1388</v>
      </c>
      <c r="E625" s="1" t="s">
        <v>1389</v>
      </c>
    </row>
    <row r="626" spans="1:49" x14ac:dyDescent="0.15">
      <c r="A626" s="1" t="s">
        <v>697</v>
      </c>
      <c r="C626" s="1" t="s">
        <v>1390</v>
      </c>
      <c r="E626" s="1" t="s">
        <v>1391</v>
      </c>
    </row>
    <row r="627" spans="1:49" x14ac:dyDescent="0.15">
      <c r="A627" s="1" t="s">
        <v>697</v>
      </c>
      <c r="B627" s="1" t="s">
        <v>1392</v>
      </c>
      <c r="E627" s="1" t="s">
        <v>1393</v>
      </c>
    </row>
    <row r="628" spans="1:49" x14ac:dyDescent="0.15">
      <c r="A628" s="1" t="s">
        <v>697</v>
      </c>
      <c r="C628" s="1" t="s">
        <v>1394</v>
      </c>
      <c r="E628" s="1" t="s">
        <v>1395</v>
      </c>
    </row>
    <row r="629" spans="1:49" x14ac:dyDescent="0.15">
      <c r="A629" s="1" t="s">
        <v>697</v>
      </c>
      <c r="C629" s="1" t="s">
        <v>1396</v>
      </c>
      <c r="K629" s="1" t="s">
        <v>1397</v>
      </c>
    </row>
    <row r="630" spans="1:49" x14ac:dyDescent="0.15">
      <c r="A630" s="1" t="s">
        <v>697</v>
      </c>
      <c r="C630" s="1" t="s">
        <v>1398</v>
      </c>
      <c r="K630" s="1" t="s">
        <v>1399</v>
      </c>
    </row>
    <row r="631" spans="1:49" x14ac:dyDescent="0.15">
      <c r="A631" s="1" t="s">
        <v>697</v>
      </c>
      <c r="C631" s="1" t="s">
        <v>1400</v>
      </c>
      <c r="F631" s="1" t="s">
        <v>1401</v>
      </c>
      <c r="AW631" s="1" t="s">
        <v>164</v>
      </c>
    </row>
    <row r="632" spans="1:49" x14ac:dyDescent="0.15">
      <c r="A632" s="1" t="s">
        <v>697</v>
      </c>
      <c r="C632" s="1" t="s">
        <v>1402</v>
      </c>
      <c r="K632" s="1" t="s">
        <v>1403</v>
      </c>
    </row>
    <row r="633" spans="1:49" x14ac:dyDescent="0.15">
      <c r="A633" s="1" t="s">
        <v>697</v>
      </c>
      <c r="C633" s="1" t="s">
        <v>1404</v>
      </c>
      <c r="K633" s="1" t="s">
        <v>1405</v>
      </c>
    </row>
    <row r="634" spans="1:49" x14ac:dyDescent="0.15">
      <c r="A634" s="1" t="s">
        <v>697</v>
      </c>
      <c r="B634" s="1" t="s">
        <v>1406</v>
      </c>
      <c r="E634" s="1" t="s">
        <v>1407</v>
      </c>
    </row>
    <row r="635" spans="1:49" x14ac:dyDescent="0.15">
      <c r="A635" s="1" t="s">
        <v>697</v>
      </c>
      <c r="B635" s="1" t="s">
        <v>1408</v>
      </c>
      <c r="E635" s="1" t="s">
        <v>1409</v>
      </c>
    </row>
    <row r="636" spans="1:49" x14ac:dyDescent="0.15">
      <c r="A636" s="1" t="s">
        <v>1410</v>
      </c>
      <c r="B636" s="1" t="s">
        <v>1411</v>
      </c>
      <c r="C636" s="1" t="s">
        <v>1412</v>
      </c>
      <c r="E636" s="1" t="s">
        <v>1413</v>
      </c>
      <c r="R636" s="1" t="s">
        <v>1414</v>
      </c>
    </row>
    <row r="637" spans="1:49" x14ac:dyDescent="0.15">
      <c r="A637" s="1" t="s">
        <v>1410</v>
      </c>
      <c r="B637" s="1" t="s">
        <v>1415</v>
      </c>
      <c r="C637" s="1" t="s">
        <v>1416</v>
      </c>
      <c r="E637" s="1" t="s">
        <v>1417</v>
      </c>
    </row>
    <row r="638" spans="1:49" x14ac:dyDescent="0.15">
      <c r="A638" s="1" t="s">
        <v>1410</v>
      </c>
      <c r="B638" s="1" t="s">
        <v>1418</v>
      </c>
      <c r="E638" s="1" t="s">
        <v>1419</v>
      </c>
      <c r="AG638" s="1" t="s">
        <v>1420</v>
      </c>
    </row>
    <row r="639" spans="1:49" x14ac:dyDescent="0.15">
      <c r="A639" s="1" t="s">
        <v>1410</v>
      </c>
      <c r="C639" s="1" t="s">
        <v>1421</v>
      </c>
      <c r="E639" s="1" t="s">
        <v>1422</v>
      </c>
    </row>
    <row r="640" spans="1:49" x14ac:dyDescent="0.15">
      <c r="A640" s="1" t="s">
        <v>1410</v>
      </c>
      <c r="B640" s="1" t="s">
        <v>1423</v>
      </c>
      <c r="E640" s="1" t="s">
        <v>1424</v>
      </c>
    </row>
    <row r="641" spans="1:33" x14ac:dyDescent="0.15">
      <c r="A641" s="1" t="s">
        <v>1410</v>
      </c>
      <c r="C641" s="1" t="s">
        <v>1425</v>
      </c>
      <c r="E641" s="1" t="s">
        <v>1426</v>
      </c>
    </row>
    <row r="642" spans="1:33" x14ac:dyDescent="0.15">
      <c r="A642" s="1" t="s">
        <v>1427</v>
      </c>
      <c r="B642" s="1" t="s">
        <v>1428</v>
      </c>
      <c r="C642" s="1" t="s">
        <v>1429</v>
      </c>
      <c r="E642" s="1" t="s">
        <v>1430</v>
      </c>
    </row>
    <row r="643" spans="1:33" x14ac:dyDescent="0.15">
      <c r="A643" s="1" t="s">
        <v>1427</v>
      </c>
      <c r="B643" s="1" t="s">
        <v>1431</v>
      </c>
      <c r="E643" s="1" t="s">
        <v>1432</v>
      </c>
    </row>
    <row r="644" spans="1:33" x14ac:dyDescent="0.15">
      <c r="A644" s="1" t="s">
        <v>1427</v>
      </c>
      <c r="B644" s="1" t="s">
        <v>1433</v>
      </c>
      <c r="E644" s="1" t="s">
        <v>1434</v>
      </c>
      <c r="R644" s="1" t="s">
        <v>1435</v>
      </c>
      <c r="AG644" s="1" t="s">
        <v>1436</v>
      </c>
    </row>
    <row r="645" spans="1:33" x14ac:dyDescent="0.15">
      <c r="A645" s="1" t="s">
        <v>1427</v>
      </c>
      <c r="B645" s="1" t="s">
        <v>1437</v>
      </c>
      <c r="E645" s="1" t="s">
        <v>1438</v>
      </c>
    </row>
    <row r="646" spans="1:33" x14ac:dyDescent="0.15">
      <c r="A646" s="1" t="s">
        <v>1427</v>
      </c>
      <c r="B646" s="1" t="s">
        <v>1439</v>
      </c>
      <c r="C646" s="1" t="s">
        <v>1440</v>
      </c>
      <c r="E646" s="1" t="s">
        <v>1441</v>
      </c>
    </row>
    <row r="647" spans="1:33" x14ac:dyDescent="0.15">
      <c r="A647" s="1" t="s">
        <v>1427</v>
      </c>
      <c r="B647" s="1" t="s">
        <v>1442</v>
      </c>
      <c r="E647" s="1" t="s">
        <v>1443</v>
      </c>
    </row>
    <row r="648" spans="1:33" x14ac:dyDescent="0.15">
      <c r="A648" s="1" t="s">
        <v>1427</v>
      </c>
      <c r="B648" s="1" t="s">
        <v>1444</v>
      </c>
      <c r="C648" s="1" t="s">
        <v>1445</v>
      </c>
      <c r="E648" s="1" t="s">
        <v>1446</v>
      </c>
    </row>
    <row r="649" spans="1:33" x14ac:dyDescent="0.15">
      <c r="A649" s="1" t="s">
        <v>1447</v>
      </c>
      <c r="C649" s="1" t="s">
        <v>1448</v>
      </c>
      <c r="E649" s="1" t="s">
        <v>1449</v>
      </c>
    </row>
    <row r="650" spans="1:33" x14ac:dyDescent="0.15">
      <c r="A650" s="1" t="s">
        <v>1447</v>
      </c>
      <c r="C650" s="1" t="s">
        <v>1450</v>
      </c>
      <c r="E650" s="1" t="s">
        <v>1451</v>
      </c>
    </row>
    <row r="651" spans="1:33" x14ac:dyDescent="0.15">
      <c r="A651" s="1" t="s">
        <v>1447</v>
      </c>
      <c r="C651" s="1" t="s">
        <v>1452</v>
      </c>
      <c r="E651" s="1" t="s">
        <v>1453</v>
      </c>
    </row>
    <row r="652" spans="1:33" x14ac:dyDescent="0.15">
      <c r="A652" s="1" t="s">
        <v>1447</v>
      </c>
      <c r="B652" s="1" t="s">
        <v>1454</v>
      </c>
      <c r="E652" s="1" t="s">
        <v>1455</v>
      </c>
    </row>
    <row r="653" spans="1:33" x14ac:dyDescent="0.15">
      <c r="A653" s="1" t="s">
        <v>1447</v>
      </c>
      <c r="C653" s="1" t="s">
        <v>1456</v>
      </c>
      <c r="E653" s="1" t="s">
        <v>1457</v>
      </c>
    </row>
    <row r="654" spans="1:33" x14ac:dyDescent="0.15">
      <c r="A654" s="1" t="s">
        <v>1447</v>
      </c>
      <c r="C654" s="1" t="s">
        <v>1458</v>
      </c>
      <c r="K654" s="1" t="s">
        <v>1459</v>
      </c>
    </row>
    <row r="655" spans="1:33" x14ac:dyDescent="0.15">
      <c r="A655" s="1" t="s">
        <v>1447</v>
      </c>
      <c r="C655" s="1" t="s">
        <v>1460</v>
      </c>
      <c r="E655" s="1" t="s">
        <v>1461</v>
      </c>
      <c r="AG655" s="1" t="s">
        <v>1462</v>
      </c>
    </row>
    <row r="656" spans="1:33" x14ac:dyDescent="0.15">
      <c r="A656" s="1" t="s">
        <v>1447</v>
      </c>
      <c r="C656" s="1" t="s">
        <v>1460</v>
      </c>
      <c r="K656" s="1" t="s">
        <v>1463</v>
      </c>
    </row>
    <row r="657" spans="1:49" x14ac:dyDescent="0.15">
      <c r="A657" s="1" t="s">
        <v>1447</v>
      </c>
      <c r="C657" s="1" t="s">
        <v>1464</v>
      </c>
      <c r="E657" s="1" t="s">
        <v>1465</v>
      </c>
    </row>
    <row r="658" spans="1:49" x14ac:dyDescent="0.15">
      <c r="A658" s="1" t="s">
        <v>1447</v>
      </c>
      <c r="C658" s="1" t="s">
        <v>1464</v>
      </c>
      <c r="K658" s="1" t="s">
        <v>1466</v>
      </c>
    </row>
    <row r="659" spans="1:49" x14ac:dyDescent="0.15">
      <c r="A659" s="1" t="s">
        <v>1447</v>
      </c>
      <c r="B659" s="1" t="s">
        <v>655</v>
      </c>
      <c r="E659" s="1" t="s">
        <v>1467</v>
      </c>
    </row>
    <row r="660" spans="1:49" x14ac:dyDescent="0.15">
      <c r="A660" s="1" t="s">
        <v>1447</v>
      </c>
      <c r="C660" s="1" t="s">
        <v>1468</v>
      </c>
      <c r="E660" s="1" t="s">
        <v>1469</v>
      </c>
      <c r="F660" s="1" t="s">
        <v>1470</v>
      </c>
      <c r="AG660" s="1" t="s">
        <v>1471</v>
      </c>
      <c r="AH660" s="1" t="s">
        <v>1471</v>
      </c>
      <c r="AW660" s="1" t="s">
        <v>218</v>
      </c>
    </row>
    <row r="661" spans="1:49" x14ac:dyDescent="0.15">
      <c r="A661" s="1" t="s">
        <v>1447</v>
      </c>
      <c r="C661" s="1" t="s">
        <v>1472</v>
      </c>
      <c r="E661" s="1" t="s">
        <v>1473</v>
      </c>
      <c r="F661" s="1" t="s">
        <v>1474</v>
      </c>
      <c r="N661" s="1"/>
      <c r="O661" s="1" t="s">
        <v>149</v>
      </c>
      <c r="AW661" s="1" t="s">
        <v>218</v>
      </c>
    </row>
    <row r="662" spans="1:49" x14ac:dyDescent="0.15">
      <c r="A662" s="1" t="s">
        <v>1447</v>
      </c>
      <c r="C662" s="1" t="s">
        <v>1475</v>
      </c>
      <c r="E662" s="1" t="s">
        <v>1476</v>
      </c>
      <c r="F662" s="1" t="s">
        <v>1477</v>
      </c>
      <c r="N662" s="1" t="s">
        <v>148</v>
      </c>
      <c r="O662" s="1" t="s">
        <v>149</v>
      </c>
      <c r="AG662" s="1" t="s">
        <v>1478</v>
      </c>
      <c r="AH662" s="1" t="s">
        <v>1478</v>
      </c>
      <c r="AW662" s="1" t="s">
        <v>218</v>
      </c>
    </row>
    <row r="663" spans="1:49" x14ac:dyDescent="0.15">
      <c r="A663" s="1" t="s">
        <v>1447</v>
      </c>
      <c r="C663" s="1" t="s">
        <v>1479</v>
      </c>
      <c r="F663" s="1" t="s">
        <v>1480</v>
      </c>
      <c r="AW663" s="1" t="s">
        <v>218</v>
      </c>
    </row>
    <row r="664" spans="1:49" x14ac:dyDescent="0.15">
      <c r="A664" s="1" t="s">
        <v>1447</v>
      </c>
      <c r="C664" s="1" t="s">
        <v>1479</v>
      </c>
      <c r="F664" s="1" t="s">
        <v>1481</v>
      </c>
      <c r="AW664" s="1" t="s">
        <v>218</v>
      </c>
    </row>
    <row r="665" spans="1:49" x14ac:dyDescent="0.15">
      <c r="A665" s="1" t="s">
        <v>1447</v>
      </c>
      <c r="C665" s="1" t="s">
        <v>1482</v>
      </c>
      <c r="K665" s="1" t="s">
        <v>1483</v>
      </c>
    </row>
    <row r="666" spans="1:49" x14ac:dyDescent="0.15">
      <c r="A666" s="1" t="s">
        <v>1447</v>
      </c>
      <c r="C666" s="1" t="s">
        <v>1484</v>
      </c>
      <c r="F666" s="1" t="s">
        <v>1485</v>
      </c>
      <c r="K666" s="1" t="s">
        <v>1486</v>
      </c>
      <c r="N666" s="1" t="s">
        <v>148</v>
      </c>
      <c r="O666" s="1" t="s">
        <v>149</v>
      </c>
      <c r="R666" s="1" t="s">
        <v>1487</v>
      </c>
      <c r="S666" s="1"/>
      <c r="T666" s="1"/>
      <c r="AW666" s="1" t="s">
        <v>218</v>
      </c>
    </row>
    <row r="667" spans="1:49" x14ac:dyDescent="0.15">
      <c r="A667" s="1" t="s">
        <v>1447</v>
      </c>
      <c r="C667" s="1" t="s">
        <v>1484</v>
      </c>
      <c r="E667" s="1" t="s">
        <v>1488</v>
      </c>
    </row>
    <row r="668" spans="1:49" x14ac:dyDescent="0.15">
      <c r="A668" s="1" t="s">
        <v>1447</v>
      </c>
      <c r="C668" s="1" t="s">
        <v>1484</v>
      </c>
      <c r="K668" s="1" t="s">
        <v>1489</v>
      </c>
    </row>
    <row r="669" spans="1:49" x14ac:dyDescent="0.15">
      <c r="A669" s="1" t="s">
        <v>1447</v>
      </c>
      <c r="C669" s="1" t="s">
        <v>1490</v>
      </c>
      <c r="K669" s="1" t="s">
        <v>1491</v>
      </c>
    </row>
    <row r="670" spans="1:49" x14ac:dyDescent="0.15">
      <c r="A670" s="1" t="s">
        <v>1447</v>
      </c>
      <c r="C670" s="1" t="s">
        <v>1492</v>
      </c>
      <c r="E670" s="1" t="s">
        <v>1493</v>
      </c>
      <c r="F670" s="1" t="s">
        <v>245</v>
      </c>
      <c r="N670" s="1" t="s">
        <v>1494</v>
      </c>
      <c r="O670" s="1" t="s">
        <v>149</v>
      </c>
      <c r="AG670" s="1" t="s">
        <v>247</v>
      </c>
    </row>
    <row r="671" spans="1:49" x14ac:dyDescent="0.15">
      <c r="A671" s="1" t="s">
        <v>1447</v>
      </c>
      <c r="C671" s="1" t="s">
        <v>219</v>
      </c>
      <c r="E671" s="1" t="s">
        <v>1495</v>
      </c>
    </row>
    <row r="672" spans="1:49" x14ac:dyDescent="0.15">
      <c r="A672" s="1" t="s">
        <v>1447</v>
      </c>
      <c r="C672" s="1" t="s">
        <v>219</v>
      </c>
      <c r="K672" s="1" t="s">
        <v>1496</v>
      </c>
    </row>
    <row r="673" spans="1:15" x14ac:dyDescent="0.15">
      <c r="A673" s="1" t="s">
        <v>1447</v>
      </c>
      <c r="C673" s="1" t="s">
        <v>1497</v>
      </c>
      <c r="E673" s="1" t="s">
        <v>1498</v>
      </c>
      <c r="F673" s="1" t="s">
        <v>220</v>
      </c>
      <c r="N673" s="1" t="s">
        <v>1499</v>
      </c>
      <c r="O673" s="1" t="s">
        <v>149</v>
      </c>
    </row>
    <row r="674" spans="1:15" x14ac:dyDescent="0.15">
      <c r="A674" s="1" t="s">
        <v>1447</v>
      </c>
      <c r="C674" s="1" t="s">
        <v>1500</v>
      </c>
      <c r="E674" s="1" t="s">
        <v>1501</v>
      </c>
    </row>
    <row r="675" spans="1:15" x14ac:dyDescent="0.15">
      <c r="A675" s="1" t="s">
        <v>1447</v>
      </c>
      <c r="B675" s="1" t="s">
        <v>1502</v>
      </c>
      <c r="E675" s="1" t="s">
        <v>1503</v>
      </c>
    </row>
    <row r="676" spans="1:15" x14ac:dyDescent="0.15">
      <c r="A676" s="1" t="s">
        <v>1447</v>
      </c>
      <c r="C676" s="1" t="s">
        <v>1504</v>
      </c>
      <c r="E676" s="1" t="s">
        <v>1505</v>
      </c>
    </row>
    <row r="677" spans="1:15" x14ac:dyDescent="0.15">
      <c r="A677" s="1" t="s">
        <v>1447</v>
      </c>
      <c r="C677" s="1" t="s">
        <v>1506</v>
      </c>
      <c r="E677" s="1" t="s">
        <v>1507</v>
      </c>
    </row>
    <row r="678" spans="1:15" x14ac:dyDescent="0.15">
      <c r="A678" s="1" t="s">
        <v>1447</v>
      </c>
      <c r="B678" s="1" t="s">
        <v>1508</v>
      </c>
      <c r="E678" s="1" t="s">
        <v>1509</v>
      </c>
    </row>
    <row r="679" spans="1:15" x14ac:dyDescent="0.15">
      <c r="A679" s="1" t="s">
        <v>1447</v>
      </c>
      <c r="C679" s="1" t="s">
        <v>1510</v>
      </c>
      <c r="E679" s="1" t="s">
        <v>1469</v>
      </c>
    </row>
    <row r="680" spans="1:15" x14ac:dyDescent="0.15">
      <c r="A680" s="1" t="s">
        <v>1447</v>
      </c>
      <c r="C680" s="1" t="s">
        <v>1511</v>
      </c>
      <c r="E680" s="1" t="s">
        <v>1512</v>
      </c>
    </row>
    <row r="681" spans="1:15" x14ac:dyDescent="0.15">
      <c r="A681" s="1" t="s">
        <v>1447</v>
      </c>
      <c r="C681" s="1" t="s">
        <v>1513</v>
      </c>
      <c r="E681" s="1" t="s">
        <v>1473</v>
      </c>
    </row>
    <row r="682" spans="1:15" x14ac:dyDescent="0.15">
      <c r="A682" s="1" t="s">
        <v>1447</v>
      </c>
      <c r="C682" s="1" t="s">
        <v>1514</v>
      </c>
      <c r="E682" s="1" t="s">
        <v>1476</v>
      </c>
    </row>
    <row r="683" spans="1:15" x14ac:dyDescent="0.15">
      <c r="A683" s="1" t="s">
        <v>1447</v>
      </c>
      <c r="C683" s="1" t="s">
        <v>1515</v>
      </c>
      <c r="E683" s="1" t="s">
        <v>1516</v>
      </c>
    </row>
    <row r="684" spans="1:15" x14ac:dyDescent="0.15">
      <c r="A684" s="1" t="s">
        <v>1447</v>
      </c>
      <c r="C684" s="1" t="s">
        <v>1517</v>
      </c>
      <c r="K684" s="1" t="s">
        <v>1518</v>
      </c>
    </row>
    <row r="685" spans="1:15" x14ac:dyDescent="0.15">
      <c r="A685" s="1" t="s">
        <v>1447</v>
      </c>
      <c r="C685" s="1" t="s">
        <v>1519</v>
      </c>
      <c r="E685" s="1" t="s">
        <v>1520</v>
      </c>
    </row>
    <row r="686" spans="1:15" x14ac:dyDescent="0.15">
      <c r="A686" s="1" t="s">
        <v>1447</v>
      </c>
      <c r="C686" s="1" t="s">
        <v>1521</v>
      </c>
      <c r="K686" s="1" t="s">
        <v>1522</v>
      </c>
    </row>
    <row r="687" spans="1:15" x14ac:dyDescent="0.15">
      <c r="A687" s="1" t="s">
        <v>1447</v>
      </c>
      <c r="C687" s="1" t="s">
        <v>1521</v>
      </c>
      <c r="E687" s="1" t="s">
        <v>1523</v>
      </c>
    </row>
    <row r="688" spans="1:15" x14ac:dyDescent="0.15">
      <c r="A688" s="1" t="s">
        <v>1447</v>
      </c>
      <c r="C688" s="1" t="s">
        <v>1524</v>
      </c>
      <c r="E688" s="1" t="s">
        <v>1525</v>
      </c>
    </row>
    <row r="689" spans="1:49" x14ac:dyDescent="0.15">
      <c r="A689" s="1" t="s">
        <v>1447</v>
      </c>
      <c r="C689" s="1" t="s">
        <v>1526</v>
      </c>
      <c r="E689" s="1" t="s">
        <v>1527</v>
      </c>
    </row>
    <row r="690" spans="1:49" x14ac:dyDescent="0.15">
      <c r="A690" s="1" t="s">
        <v>1447</v>
      </c>
      <c r="C690" s="1" t="s">
        <v>1526</v>
      </c>
      <c r="E690" s="1" t="s">
        <v>1528</v>
      </c>
    </row>
    <row r="691" spans="1:49" x14ac:dyDescent="0.15">
      <c r="A691" s="1" t="s">
        <v>1447</v>
      </c>
      <c r="C691" s="1" t="s">
        <v>1529</v>
      </c>
      <c r="E691" s="1" t="s">
        <v>1512</v>
      </c>
    </row>
    <row r="692" spans="1:49" x14ac:dyDescent="0.15">
      <c r="A692" s="1" t="s">
        <v>1447</v>
      </c>
      <c r="B692" s="1" t="s">
        <v>1529</v>
      </c>
      <c r="E692" s="1" t="s">
        <v>1530</v>
      </c>
    </row>
    <row r="693" spans="1:49" x14ac:dyDescent="0.15">
      <c r="A693" s="1" t="s">
        <v>1447</v>
      </c>
      <c r="C693" s="1" t="s">
        <v>1531</v>
      </c>
      <c r="E693" s="1" t="s">
        <v>1532</v>
      </c>
    </row>
    <row r="694" spans="1:49" x14ac:dyDescent="0.15">
      <c r="A694" s="1" t="s">
        <v>1447</v>
      </c>
      <c r="B694" s="1" t="s">
        <v>1533</v>
      </c>
      <c r="E694" s="1" t="s">
        <v>1534</v>
      </c>
    </row>
    <row r="695" spans="1:49" x14ac:dyDescent="0.15">
      <c r="A695" s="1" t="s">
        <v>1535</v>
      </c>
      <c r="C695" s="1" t="s">
        <v>1536</v>
      </c>
      <c r="E695" s="1" t="s">
        <v>1537</v>
      </c>
      <c r="AW695" s="1" t="s">
        <v>1101</v>
      </c>
    </row>
    <row r="696" spans="1:49" x14ac:dyDescent="0.15">
      <c r="A696" s="1" t="s">
        <v>1535</v>
      </c>
      <c r="B696" s="1" t="s">
        <v>1538</v>
      </c>
      <c r="E696" s="1" t="s">
        <v>1539</v>
      </c>
    </row>
    <row r="697" spans="1:49" x14ac:dyDescent="0.15">
      <c r="A697" s="1" t="s">
        <v>1535</v>
      </c>
      <c r="C697" s="1" t="s">
        <v>1540</v>
      </c>
      <c r="E697" s="1" t="s">
        <v>1541</v>
      </c>
      <c r="AW697" s="1" t="s">
        <v>1101</v>
      </c>
    </row>
    <row r="698" spans="1:49" x14ac:dyDescent="0.15">
      <c r="A698" s="1" t="s">
        <v>1535</v>
      </c>
      <c r="C698" s="1" t="s">
        <v>1542</v>
      </c>
      <c r="E698" s="1" t="s">
        <v>1543</v>
      </c>
      <c r="AW698" s="1" t="s">
        <v>1101</v>
      </c>
    </row>
    <row r="699" spans="1:49" x14ac:dyDescent="0.15">
      <c r="A699" s="1" t="s">
        <v>1535</v>
      </c>
      <c r="C699" s="1" t="s">
        <v>1544</v>
      </c>
      <c r="E699" s="1" t="s">
        <v>1545</v>
      </c>
      <c r="AW699" s="1" t="s">
        <v>1101</v>
      </c>
    </row>
    <row r="700" spans="1:49" x14ac:dyDescent="0.15">
      <c r="A700" s="1" t="s">
        <v>1535</v>
      </c>
      <c r="C700" s="1" t="s">
        <v>1546</v>
      </c>
      <c r="E700" s="1" t="s">
        <v>1547</v>
      </c>
      <c r="AW700" s="1" t="s">
        <v>1101</v>
      </c>
    </row>
    <row r="701" spans="1:49" x14ac:dyDescent="0.15">
      <c r="A701" s="1" t="s">
        <v>1535</v>
      </c>
      <c r="C701" s="1" t="s">
        <v>1548</v>
      </c>
      <c r="E701" s="1" t="s">
        <v>1549</v>
      </c>
      <c r="AW701" s="1" t="s">
        <v>1101</v>
      </c>
    </row>
    <row r="702" spans="1:49" x14ac:dyDescent="0.15">
      <c r="A702" s="1" t="s">
        <v>1535</v>
      </c>
      <c r="C702" s="1" t="s">
        <v>1550</v>
      </c>
      <c r="E702" s="1" t="s">
        <v>1551</v>
      </c>
      <c r="K702" s="1" t="s">
        <v>1552</v>
      </c>
      <c r="AG702" s="1" t="s">
        <v>1551</v>
      </c>
      <c r="AW702" s="1" t="s">
        <v>1101</v>
      </c>
    </row>
    <row r="703" spans="1:49" x14ac:dyDescent="0.15">
      <c r="A703" s="1" t="s">
        <v>1535</v>
      </c>
      <c r="C703" s="1" t="s">
        <v>1553</v>
      </c>
      <c r="E703" s="1" t="s">
        <v>1554</v>
      </c>
      <c r="AG703" s="1" t="s">
        <v>1555</v>
      </c>
      <c r="AH703" s="1" t="s">
        <v>1555</v>
      </c>
      <c r="AW703" s="1" t="s">
        <v>1101</v>
      </c>
    </row>
    <row r="704" spans="1:49" x14ac:dyDescent="0.15">
      <c r="A704" s="1" t="s">
        <v>1535</v>
      </c>
      <c r="C704" s="1" t="s">
        <v>1556</v>
      </c>
      <c r="E704" s="1" t="s">
        <v>1557</v>
      </c>
      <c r="AW704" s="1" t="s">
        <v>1101</v>
      </c>
    </row>
    <row r="705" spans="1:49" x14ac:dyDescent="0.15">
      <c r="A705" s="1" t="s">
        <v>1558</v>
      </c>
      <c r="B705" s="1" t="s">
        <v>1559</v>
      </c>
      <c r="E705" s="1" t="s">
        <v>1560</v>
      </c>
    </row>
    <row r="706" spans="1:49" x14ac:dyDescent="0.15">
      <c r="A706" s="1" t="s">
        <v>1558</v>
      </c>
      <c r="C706" s="1" t="s">
        <v>1561</v>
      </c>
      <c r="K706" s="1" t="s">
        <v>1562</v>
      </c>
    </row>
    <row r="707" spans="1:49" x14ac:dyDescent="0.15">
      <c r="A707" s="1" t="s">
        <v>1558</v>
      </c>
      <c r="C707" s="1" t="s">
        <v>1563</v>
      </c>
      <c r="E707" s="1" t="s">
        <v>1564</v>
      </c>
      <c r="F707" s="1" t="s">
        <v>1565</v>
      </c>
      <c r="AW707" s="1" t="s">
        <v>213</v>
      </c>
    </row>
    <row r="708" spans="1:49" x14ac:dyDescent="0.15">
      <c r="A708" s="1" t="s">
        <v>1558</v>
      </c>
      <c r="C708" s="1" t="s">
        <v>1566</v>
      </c>
      <c r="K708" s="1" t="s">
        <v>1567</v>
      </c>
    </row>
    <row r="709" spans="1:49" x14ac:dyDescent="0.15">
      <c r="A709" s="1" t="s">
        <v>1558</v>
      </c>
      <c r="C709" s="1" t="s">
        <v>1568</v>
      </c>
      <c r="F709" s="1" t="s">
        <v>1569</v>
      </c>
      <c r="AW709" s="1" t="s">
        <v>213</v>
      </c>
    </row>
    <row r="710" spans="1:49" x14ac:dyDescent="0.15">
      <c r="A710" s="1" t="s">
        <v>1558</v>
      </c>
      <c r="C710" s="1" t="s">
        <v>1570</v>
      </c>
      <c r="F710" s="1" t="s">
        <v>1571</v>
      </c>
      <c r="AW710" s="1" t="s">
        <v>213</v>
      </c>
    </row>
    <row r="711" spans="1:49" x14ac:dyDescent="0.15">
      <c r="A711" s="1" t="s">
        <v>1558</v>
      </c>
      <c r="C711" s="1" t="s">
        <v>1572</v>
      </c>
      <c r="F711" s="1" t="s">
        <v>1573</v>
      </c>
      <c r="AW711" s="1" t="s">
        <v>213</v>
      </c>
    </row>
    <row r="712" spans="1:49" x14ac:dyDescent="0.15">
      <c r="A712" s="1" t="s">
        <v>1558</v>
      </c>
      <c r="C712" s="1" t="s">
        <v>1574</v>
      </c>
      <c r="K712" s="1" t="s">
        <v>1575</v>
      </c>
    </row>
    <row r="713" spans="1:49" x14ac:dyDescent="0.15">
      <c r="A713" s="1" t="s">
        <v>940</v>
      </c>
      <c r="B713" s="1" t="s">
        <v>1576</v>
      </c>
      <c r="E713" s="1" t="s">
        <v>1577</v>
      </c>
    </row>
    <row r="714" spans="1:49" x14ac:dyDescent="0.15">
      <c r="A714" s="1" t="s">
        <v>940</v>
      </c>
      <c r="B714" s="1" t="s">
        <v>1578</v>
      </c>
      <c r="E714" s="1" t="s">
        <v>1579</v>
      </c>
    </row>
    <row r="715" spans="1:49" x14ac:dyDescent="0.15">
      <c r="A715" s="1" t="s">
        <v>940</v>
      </c>
      <c r="B715" s="1" t="s">
        <v>323</v>
      </c>
      <c r="E715" s="1" t="s">
        <v>1580</v>
      </c>
      <c r="AW715" s="1" t="s">
        <v>1558</v>
      </c>
    </row>
    <row r="716" spans="1:49" x14ac:dyDescent="0.15">
      <c r="A716" s="1" t="s">
        <v>940</v>
      </c>
      <c r="B716" s="1" t="s">
        <v>1581</v>
      </c>
      <c r="E716" s="1" t="s">
        <v>1582</v>
      </c>
    </row>
    <row r="717" spans="1:49" x14ac:dyDescent="0.15">
      <c r="A717" s="1" t="s">
        <v>940</v>
      </c>
      <c r="B717" s="1" t="s">
        <v>1583</v>
      </c>
      <c r="E717" s="1" t="s">
        <v>1584</v>
      </c>
    </row>
    <row r="718" spans="1:49" x14ac:dyDescent="0.15">
      <c r="A718" s="1" t="s">
        <v>940</v>
      </c>
      <c r="B718" s="1" t="s">
        <v>1585</v>
      </c>
      <c r="E718" s="1" t="s">
        <v>1586</v>
      </c>
    </row>
    <row r="719" spans="1:49" x14ac:dyDescent="0.15">
      <c r="A719" s="1" t="s">
        <v>940</v>
      </c>
      <c r="B719" s="1" t="s">
        <v>1587</v>
      </c>
      <c r="E719" s="1" t="s">
        <v>1588</v>
      </c>
      <c r="AG719" s="1" t="s">
        <v>1589</v>
      </c>
    </row>
    <row r="720" spans="1:49" x14ac:dyDescent="0.15">
      <c r="A720" s="1" t="s">
        <v>940</v>
      </c>
      <c r="C720" s="1" t="s">
        <v>1590</v>
      </c>
      <c r="E720" s="1" t="s">
        <v>1591</v>
      </c>
    </row>
    <row r="721" spans="1:50" x14ac:dyDescent="0.15">
      <c r="A721" s="1" t="s">
        <v>940</v>
      </c>
      <c r="B721" s="1" t="s">
        <v>965</v>
      </c>
      <c r="C721" s="1" t="s">
        <v>1592</v>
      </c>
      <c r="G721" s="1" t="s">
        <v>1593</v>
      </c>
      <c r="S721" s="1" t="s">
        <v>1594</v>
      </c>
      <c r="T721" s="1" t="s">
        <v>1595</v>
      </c>
    </row>
    <row r="722" spans="1:50" x14ac:dyDescent="0.15">
      <c r="A722" s="1" t="s">
        <v>940</v>
      </c>
      <c r="B722" s="1" t="s">
        <v>965</v>
      </c>
      <c r="C722" s="1" t="s">
        <v>1596</v>
      </c>
      <c r="E722" s="1" t="s">
        <v>967</v>
      </c>
      <c r="F722" s="1" t="s">
        <v>975</v>
      </c>
      <c r="G722" s="1" t="s">
        <v>1597</v>
      </c>
      <c r="R722" s="1" t="s">
        <v>1598</v>
      </c>
      <c r="T722" s="1" t="s">
        <v>1599</v>
      </c>
      <c r="U722" s="1" t="s">
        <v>937</v>
      </c>
      <c r="V722" s="1" t="s">
        <v>1600</v>
      </c>
      <c r="AD722" s="1" t="s">
        <v>973</v>
      </c>
      <c r="AG722" s="1" t="s">
        <v>974</v>
      </c>
      <c r="AS722" s="1" t="s">
        <v>644</v>
      </c>
    </row>
    <row r="723" spans="1:50" x14ac:dyDescent="0.15">
      <c r="A723" s="1" t="s">
        <v>940</v>
      </c>
      <c r="B723" s="1" t="s">
        <v>1601</v>
      </c>
      <c r="E723" s="1" t="s">
        <v>1602</v>
      </c>
    </row>
    <row r="724" spans="1:50" x14ac:dyDescent="0.15">
      <c r="A724" s="1" t="s">
        <v>940</v>
      </c>
      <c r="B724" s="1" t="s">
        <v>1603</v>
      </c>
      <c r="E724" s="1" t="s">
        <v>1604</v>
      </c>
    </row>
    <row r="725" spans="1:50" x14ac:dyDescent="0.15">
      <c r="A725" s="1" t="s">
        <v>940</v>
      </c>
      <c r="B725" s="1" t="s">
        <v>1605</v>
      </c>
      <c r="E725" s="1" t="s">
        <v>1606</v>
      </c>
      <c r="AG725" s="1" t="s">
        <v>1607</v>
      </c>
    </row>
    <row r="726" spans="1:50" x14ac:dyDescent="0.15">
      <c r="A726" s="1" t="s">
        <v>940</v>
      </c>
      <c r="B726" s="1" t="s">
        <v>1605</v>
      </c>
      <c r="E726" s="1" t="s">
        <v>1608</v>
      </c>
    </row>
    <row r="727" spans="1:50" x14ac:dyDescent="0.15">
      <c r="A727" s="1" t="s">
        <v>940</v>
      </c>
      <c r="B727" s="1" t="s">
        <v>1609</v>
      </c>
      <c r="E727" s="1" t="s">
        <v>1610</v>
      </c>
    </row>
    <row r="728" spans="1:50" x14ac:dyDescent="0.15">
      <c r="A728" s="1" t="s">
        <v>940</v>
      </c>
      <c r="C728" s="1" t="s">
        <v>1611</v>
      </c>
      <c r="E728" s="1" t="s">
        <v>1612</v>
      </c>
    </row>
    <row r="729" spans="1:50" x14ac:dyDescent="0.15">
      <c r="A729" s="1" t="s">
        <v>940</v>
      </c>
      <c r="B729" s="1" t="s">
        <v>1613</v>
      </c>
      <c r="E729" s="1" t="s">
        <v>1614</v>
      </c>
      <c r="F729" s="1" t="s">
        <v>1615</v>
      </c>
      <c r="AG729" s="1" t="s">
        <v>1616</v>
      </c>
    </row>
    <row r="730" spans="1:50" x14ac:dyDescent="0.15">
      <c r="A730" s="1" t="s">
        <v>940</v>
      </c>
      <c r="C730" s="1" t="s">
        <v>1479</v>
      </c>
      <c r="E730" s="1" t="s">
        <v>1617</v>
      </c>
      <c r="F730" s="1" t="s">
        <v>644</v>
      </c>
      <c r="R730" s="1" t="s">
        <v>940</v>
      </c>
      <c r="AG730" s="1" t="s">
        <v>1618</v>
      </c>
      <c r="AH730" s="1" t="s">
        <v>1618</v>
      </c>
      <c r="AW730" s="1" t="s">
        <v>1447</v>
      </c>
      <c r="AX730" s="1" t="s">
        <v>80</v>
      </c>
    </row>
    <row r="731" spans="1:50" x14ac:dyDescent="0.15">
      <c r="A731" s="1" t="s">
        <v>940</v>
      </c>
      <c r="B731" s="1" t="s">
        <v>1619</v>
      </c>
      <c r="E731" s="1" t="s">
        <v>1620</v>
      </c>
      <c r="AG731" s="1" t="s">
        <v>1621</v>
      </c>
    </row>
    <row r="732" spans="1:50" x14ac:dyDescent="0.15">
      <c r="A732" s="1" t="s">
        <v>940</v>
      </c>
      <c r="B732" s="1" t="s">
        <v>1622</v>
      </c>
      <c r="E732" s="1" t="s">
        <v>1623</v>
      </c>
      <c r="F732" s="1" t="s">
        <v>1624</v>
      </c>
      <c r="AG732" s="1" t="s">
        <v>1625</v>
      </c>
    </row>
    <row r="733" spans="1:50" x14ac:dyDescent="0.15">
      <c r="A733" s="1" t="s">
        <v>940</v>
      </c>
      <c r="B733" s="1" t="s">
        <v>467</v>
      </c>
      <c r="E733" s="1" t="s">
        <v>1626</v>
      </c>
      <c r="AG733" s="1" t="s">
        <v>1627</v>
      </c>
    </row>
    <row r="734" spans="1:50" x14ac:dyDescent="0.15">
      <c r="A734" s="1" t="s">
        <v>940</v>
      </c>
      <c r="B734" s="1" t="s">
        <v>1628</v>
      </c>
      <c r="E734" s="1" t="s">
        <v>1629</v>
      </c>
      <c r="F734" s="1" t="s">
        <v>1630</v>
      </c>
      <c r="AG734" s="1" t="s">
        <v>1631</v>
      </c>
    </row>
    <row r="735" spans="1:50" x14ac:dyDescent="0.15">
      <c r="A735" s="1" t="s">
        <v>940</v>
      </c>
      <c r="B735" s="1" t="s">
        <v>1632</v>
      </c>
      <c r="E735" s="1" t="s">
        <v>1633</v>
      </c>
    </row>
    <row r="736" spans="1:50" x14ac:dyDescent="0.15">
      <c r="A736" s="1" t="s">
        <v>940</v>
      </c>
      <c r="B736" s="1" t="s">
        <v>1634</v>
      </c>
      <c r="E736" s="1" t="s">
        <v>1635</v>
      </c>
    </row>
    <row r="737" spans="1:49" x14ac:dyDescent="0.15">
      <c r="A737" s="1" t="s">
        <v>940</v>
      </c>
      <c r="B737" s="1" t="s">
        <v>1636</v>
      </c>
      <c r="E737" s="1" t="s">
        <v>1637</v>
      </c>
      <c r="F737" s="1" t="s">
        <v>1638</v>
      </c>
    </row>
    <row r="738" spans="1:49" x14ac:dyDescent="0.15">
      <c r="A738" s="1" t="s">
        <v>940</v>
      </c>
      <c r="B738" s="1" t="s">
        <v>1639</v>
      </c>
      <c r="E738" s="1" t="s">
        <v>1640</v>
      </c>
    </row>
    <row r="739" spans="1:49" x14ac:dyDescent="0.15">
      <c r="A739" s="1" t="s">
        <v>940</v>
      </c>
      <c r="B739" s="1" t="s">
        <v>1641</v>
      </c>
      <c r="E739" s="1" t="s">
        <v>1642</v>
      </c>
    </row>
    <row r="740" spans="1:49" x14ac:dyDescent="0.15">
      <c r="A740" s="1" t="s">
        <v>940</v>
      </c>
      <c r="B740" s="1" t="s">
        <v>1643</v>
      </c>
      <c r="E740" s="1" t="s">
        <v>1644</v>
      </c>
      <c r="K740" s="1" t="s">
        <v>1645</v>
      </c>
    </row>
    <row r="741" spans="1:49" x14ac:dyDescent="0.15">
      <c r="A741" s="1" t="s">
        <v>940</v>
      </c>
      <c r="B741" s="1" t="s">
        <v>1646</v>
      </c>
      <c r="E741" s="1" t="s">
        <v>1647</v>
      </c>
    </row>
    <row r="742" spans="1:49" x14ac:dyDescent="0.15">
      <c r="A742" s="1" t="s">
        <v>940</v>
      </c>
      <c r="B742" s="1" t="s">
        <v>1648</v>
      </c>
      <c r="E742" s="1" t="s">
        <v>1649</v>
      </c>
    </row>
    <row r="743" spans="1:49" x14ac:dyDescent="0.15">
      <c r="A743" s="1" t="s">
        <v>940</v>
      </c>
      <c r="B743" s="1" t="s">
        <v>1650</v>
      </c>
      <c r="E743" s="1" t="s">
        <v>1651</v>
      </c>
    </row>
    <row r="744" spans="1:49" x14ac:dyDescent="0.15">
      <c r="A744" s="1" t="s">
        <v>940</v>
      </c>
      <c r="B744" s="1" t="s">
        <v>1652</v>
      </c>
      <c r="E744" s="1" t="s">
        <v>1653</v>
      </c>
    </row>
    <row r="745" spans="1:49" x14ac:dyDescent="0.15">
      <c r="A745" s="1" t="s">
        <v>940</v>
      </c>
      <c r="B745" s="1" t="s">
        <v>1654</v>
      </c>
      <c r="E745" s="1" t="s">
        <v>1655</v>
      </c>
    </row>
    <row r="746" spans="1:49" x14ac:dyDescent="0.15">
      <c r="A746" s="1" t="s">
        <v>940</v>
      </c>
      <c r="B746" s="1" t="s">
        <v>1656</v>
      </c>
      <c r="E746" s="1" t="s">
        <v>1657</v>
      </c>
      <c r="AG746" s="1" t="s">
        <v>1658</v>
      </c>
    </row>
    <row r="747" spans="1:49" x14ac:dyDescent="0.15">
      <c r="A747" s="1" t="s">
        <v>940</v>
      </c>
      <c r="B747" s="1" t="s">
        <v>1659</v>
      </c>
      <c r="E747" s="1" t="s">
        <v>1660</v>
      </c>
      <c r="AG747" s="1" t="s">
        <v>1661</v>
      </c>
    </row>
    <row r="748" spans="1:49" x14ac:dyDescent="0.15">
      <c r="A748" s="1" t="s">
        <v>940</v>
      </c>
      <c r="B748" s="1" t="s">
        <v>1662</v>
      </c>
      <c r="G748" s="1" t="s">
        <v>1663</v>
      </c>
    </row>
    <row r="749" spans="1:49" x14ac:dyDescent="0.15">
      <c r="A749" s="1" t="s">
        <v>940</v>
      </c>
      <c r="B749" s="1" t="s">
        <v>1664</v>
      </c>
      <c r="G749" s="1" t="s">
        <v>1665</v>
      </c>
      <c r="AI749" s="1" t="s">
        <v>1666</v>
      </c>
    </row>
    <row r="750" spans="1:49" x14ac:dyDescent="0.15">
      <c r="A750" s="1" t="s">
        <v>1667</v>
      </c>
      <c r="B750" s="1" t="s">
        <v>1668</v>
      </c>
      <c r="C750" s="1" t="s">
        <v>1669</v>
      </c>
      <c r="E750" s="1" t="s">
        <v>1670</v>
      </c>
      <c r="F750" s="1" t="s">
        <v>1671</v>
      </c>
      <c r="G750" s="1" t="s">
        <v>1672</v>
      </c>
      <c r="R750" s="1" t="s">
        <v>1673</v>
      </c>
      <c r="T750" s="1" t="s">
        <v>1674</v>
      </c>
      <c r="U750" s="1"/>
      <c r="V750" s="1" t="s">
        <v>1675</v>
      </c>
      <c r="AG750" s="1" t="s">
        <v>1670</v>
      </c>
      <c r="AW750" s="1" t="s">
        <v>1676</v>
      </c>
    </row>
    <row r="751" spans="1:49" x14ac:dyDescent="0.15">
      <c r="A751" s="1" t="s">
        <v>1667</v>
      </c>
      <c r="B751" s="1" t="s">
        <v>1677</v>
      </c>
      <c r="C751" s="1" t="s">
        <v>1678</v>
      </c>
      <c r="E751" s="1" t="s">
        <v>1679</v>
      </c>
      <c r="F751" s="1" t="s">
        <v>1680</v>
      </c>
      <c r="G751" s="1" t="s">
        <v>1681</v>
      </c>
      <c r="I751" s="1" t="s">
        <v>1682</v>
      </c>
      <c r="S751" s="1" t="s">
        <v>1683</v>
      </c>
      <c r="U751" s="1"/>
      <c r="V751" s="1" t="s">
        <v>1684</v>
      </c>
      <c r="AD751" s="1" t="s">
        <v>1685</v>
      </c>
      <c r="AG751" s="1" t="s">
        <v>1679</v>
      </c>
      <c r="AM751" s="1" t="s">
        <v>1682</v>
      </c>
      <c r="AW751" s="1" t="s">
        <v>1676</v>
      </c>
    </row>
    <row r="752" spans="1:49" x14ac:dyDescent="0.15">
      <c r="A752" s="1" t="s">
        <v>1667</v>
      </c>
      <c r="C752" s="1" t="s">
        <v>1686</v>
      </c>
      <c r="K752" s="1" t="s">
        <v>1687</v>
      </c>
    </row>
    <row r="753" spans="1:49" x14ac:dyDescent="0.15">
      <c r="A753" s="1" t="s">
        <v>1667</v>
      </c>
      <c r="B753" s="1" t="s">
        <v>1688</v>
      </c>
      <c r="E753" s="1" t="s">
        <v>1689</v>
      </c>
    </row>
    <row r="754" spans="1:49" x14ac:dyDescent="0.15">
      <c r="A754" s="1" t="s">
        <v>1667</v>
      </c>
      <c r="B754" s="1" t="s">
        <v>1690</v>
      </c>
      <c r="C754" s="1" t="s">
        <v>1691</v>
      </c>
      <c r="E754" s="1" t="s">
        <v>1692</v>
      </c>
      <c r="F754" s="1" t="s">
        <v>1693</v>
      </c>
      <c r="R754" s="1" t="s">
        <v>1694</v>
      </c>
      <c r="T754" s="1" t="s">
        <v>1695</v>
      </c>
    </row>
    <row r="755" spans="1:49" x14ac:dyDescent="0.15">
      <c r="A755" s="1" t="s">
        <v>1667</v>
      </c>
      <c r="B755" s="1" t="s">
        <v>1696</v>
      </c>
      <c r="C755" s="1" t="s">
        <v>1697</v>
      </c>
      <c r="G755" s="1" t="s">
        <v>1698</v>
      </c>
      <c r="I755" s="1" t="s">
        <v>1699</v>
      </c>
      <c r="R755" s="1" t="s">
        <v>1044</v>
      </c>
      <c r="T755" s="1" t="s">
        <v>1700</v>
      </c>
      <c r="U755" s="1"/>
      <c r="V755" s="1" t="s">
        <v>1046</v>
      </c>
      <c r="AD755" s="1" t="s">
        <v>1701</v>
      </c>
      <c r="AM755" s="1" t="s">
        <v>1702</v>
      </c>
      <c r="AU755" s="1" t="s">
        <v>1703</v>
      </c>
    </row>
    <row r="756" spans="1:49" x14ac:dyDescent="0.15">
      <c r="A756" s="1" t="s">
        <v>1667</v>
      </c>
      <c r="C756" s="1" t="s">
        <v>1704</v>
      </c>
      <c r="K756" s="1" t="s">
        <v>1705</v>
      </c>
    </row>
    <row r="757" spans="1:49" x14ac:dyDescent="0.15">
      <c r="A757" s="1" t="s">
        <v>1667</v>
      </c>
      <c r="B757" s="1" t="s">
        <v>1706</v>
      </c>
      <c r="C757" s="1" t="s">
        <v>1707</v>
      </c>
      <c r="E757" s="1" t="s">
        <v>1708</v>
      </c>
      <c r="F757" s="1" t="s">
        <v>1709</v>
      </c>
      <c r="G757" s="1" t="s">
        <v>1710</v>
      </c>
      <c r="I757" s="1" t="s">
        <v>1711</v>
      </c>
      <c r="R757" s="1" t="s">
        <v>1712</v>
      </c>
      <c r="S757" s="1" t="s">
        <v>1713</v>
      </c>
      <c r="T757" s="1" t="s">
        <v>1714</v>
      </c>
      <c r="U757" s="1" t="s">
        <v>1715</v>
      </c>
      <c r="V757" s="1" t="s">
        <v>1716</v>
      </c>
      <c r="AD757" s="1" t="s">
        <v>1717</v>
      </c>
      <c r="AI757" s="1" t="s">
        <v>1718</v>
      </c>
      <c r="AU757" s="1" t="s">
        <v>1719</v>
      </c>
    </row>
    <row r="758" spans="1:49" x14ac:dyDescent="0.15">
      <c r="A758" s="1" t="s">
        <v>1667</v>
      </c>
      <c r="B758" s="1" t="s">
        <v>1720</v>
      </c>
      <c r="E758" s="1" t="s">
        <v>1721</v>
      </c>
    </row>
    <row r="759" spans="1:49" x14ac:dyDescent="0.15">
      <c r="A759" s="1" t="s">
        <v>1667</v>
      </c>
      <c r="B759" s="1" t="s">
        <v>1722</v>
      </c>
      <c r="C759" s="1" t="s">
        <v>1723</v>
      </c>
      <c r="E759" s="1" t="s">
        <v>1724</v>
      </c>
      <c r="F759" s="1" t="s">
        <v>1725</v>
      </c>
      <c r="G759" s="1" t="s">
        <v>1726</v>
      </c>
      <c r="T759" s="1" t="s">
        <v>1727</v>
      </c>
      <c r="U759" s="1" t="s">
        <v>1058</v>
      </c>
      <c r="V759" s="1" t="s">
        <v>1728</v>
      </c>
      <c r="AD759" s="1" t="s">
        <v>1060</v>
      </c>
    </row>
    <row r="760" spans="1:49" x14ac:dyDescent="0.15">
      <c r="A760" s="1" t="s">
        <v>1729</v>
      </c>
      <c r="B760" s="1" t="s">
        <v>1730</v>
      </c>
      <c r="F760" s="1" t="s">
        <v>1731</v>
      </c>
      <c r="AW760" s="1" t="s">
        <v>858</v>
      </c>
    </row>
    <row r="761" spans="1:49" x14ac:dyDescent="0.15">
      <c r="A761" s="1" t="s">
        <v>1729</v>
      </c>
      <c r="B761" s="1" t="s">
        <v>1732</v>
      </c>
      <c r="E761" s="1" t="s">
        <v>1733</v>
      </c>
      <c r="AG761" s="1" t="s">
        <v>1734</v>
      </c>
      <c r="AH761" s="1" t="s">
        <v>1734</v>
      </c>
      <c r="AW761" s="1" t="s">
        <v>858</v>
      </c>
    </row>
    <row r="762" spans="1:49" x14ac:dyDescent="0.15">
      <c r="A762" s="1" t="s">
        <v>1729</v>
      </c>
      <c r="B762" s="1" t="s">
        <v>1735</v>
      </c>
      <c r="E762" s="1" t="s">
        <v>1736</v>
      </c>
      <c r="AW762" s="1" t="s">
        <v>858</v>
      </c>
    </row>
    <row r="763" spans="1:49" x14ac:dyDescent="0.15">
      <c r="A763" s="1" t="s">
        <v>1729</v>
      </c>
      <c r="B763" s="1" t="s">
        <v>1737</v>
      </c>
      <c r="E763" s="1" t="s">
        <v>1738</v>
      </c>
      <c r="AW763" s="1" t="s">
        <v>858</v>
      </c>
    </row>
    <row r="764" spans="1:49" x14ac:dyDescent="0.15">
      <c r="A764" s="1" t="s">
        <v>1729</v>
      </c>
      <c r="B764" s="1" t="s">
        <v>1739</v>
      </c>
      <c r="E764" s="1" t="s">
        <v>1740</v>
      </c>
      <c r="AG764" s="1" t="s">
        <v>1741</v>
      </c>
      <c r="AH764" s="1" t="s">
        <v>1741</v>
      </c>
      <c r="AW764" s="1" t="s">
        <v>858</v>
      </c>
    </row>
    <row r="765" spans="1:49" x14ac:dyDescent="0.15">
      <c r="A765" s="1" t="s">
        <v>1729</v>
      </c>
      <c r="B765" s="1" t="s">
        <v>1742</v>
      </c>
      <c r="E765" s="1" t="s">
        <v>1743</v>
      </c>
      <c r="AW765" s="1" t="s">
        <v>858</v>
      </c>
    </row>
    <row r="766" spans="1:49" x14ac:dyDescent="0.15">
      <c r="A766" s="1" t="s">
        <v>1729</v>
      </c>
      <c r="B766" s="1" t="s">
        <v>1744</v>
      </c>
      <c r="E766" s="1" t="s">
        <v>1745</v>
      </c>
      <c r="AW766" s="1" t="s">
        <v>858</v>
      </c>
    </row>
    <row r="767" spans="1:49" x14ac:dyDescent="0.15">
      <c r="A767" s="1" t="s">
        <v>1729</v>
      </c>
      <c r="B767" s="1" t="s">
        <v>1746</v>
      </c>
      <c r="E767" s="1" t="s">
        <v>1747</v>
      </c>
      <c r="AW767" s="1" t="s">
        <v>858</v>
      </c>
    </row>
    <row r="768" spans="1:49" x14ac:dyDescent="0.15">
      <c r="A768" s="1" t="s">
        <v>1729</v>
      </c>
      <c r="B768" s="1" t="s">
        <v>1748</v>
      </c>
      <c r="E768" s="1" t="s">
        <v>1749</v>
      </c>
      <c r="AG768" s="1" t="s">
        <v>1750</v>
      </c>
      <c r="AH768" s="1" t="s">
        <v>1750</v>
      </c>
      <c r="AW768" s="1" t="s">
        <v>858</v>
      </c>
    </row>
    <row r="769" spans="1:49" x14ac:dyDescent="0.15">
      <c r="A769" s="1" t="s">
        <v>1751</v>
      </c>
      <c r="B769" s="1" t="s">
        <v>1752</v>
      </c>
      <c r="E769" s="1" t="s">
        <v>1753</v>
      </c>
    </row>
    <row r="770" spans="1:49" x14ac:dyDescent="0.15">
      <c r="A770" s="1" t="s">
        <v>1751</v>
      </c>
      <c r="B770" s="1" t="s">
        <v>1754</v>
      </c>
      <c r="E770" s="1" t="s">
        <v>1755</v>
      </c>
    </row>
    <row r="771" spans="1:49" x14ac:dyDescent="0.15">
      <c r="A771" s="1" t="s">
        <v>1751</v>
      </c>
      <c r="B771" s="1" t="s">
        <v>1756</v>
      </c>
      <c r="E771" s="1" t="s">
        <v>1757</v>
      </c>
      <c r="AW771" s="1" t="s">
        <v>155</v>
      </c>
    </row>
    <row r="772" spans="1:49" x14ac:dyDescent="0.15">
      <c r="A772" s="1" t="s">
        <v>1751</v>
      </c>
      <c r="B772" s="1" t="s">
        <v>1758</v>
      </c>
      <c r="E772" s="1" t="s">
        <v>1759</v>
      </c>
      <c r="AW772" s="1" t="s">
        <v>940</v>
      </c>
    </row>
    <row r="773" spans="1:49" x14ac:dyDescent="0.15">
      <c r="A773" s="1" t="s">
        <v>1751</v>
      </c>
      <c r="B773" s="1" t="s">
        <v>1760</v>
      </c>
      <c r="E773" s="1" t="s">
        <v>1761</v>
      </c>
    </row>
    <row r="774" spans="1:49" x14ac:dyDescent="0.15">
      <c r="A774" s="1" t="s">
        <v>1751</v>
      </c>
      <c r="B774" s="1" t="s">
        <v>1762</v>
      </c>
      <c r="E774" s="1" t="s">
        <v>1763</v>
      </c>
    </row>
    <row r="775" spans="1:49" x14ac:dyDescent="0.15">
      <c r="A775" s="1" t="s">
        <v>1751</v>
      </c>
      <c r="B775" s="1" t="s">
        <v>1764</v>
      </c>
      <c r="E775" s="1" t="s">
        <v>354</v>
      </c>
    </row>
    <row r="776" spans="1:49" x14ac:dyDescent="0.15">
      <c r="A776" s="1" t="s">
        <v>1751</v>
      </c>
      <c r="B776" s="1" t="s">
        <v>1765</v>
      </c>
      <c r="E776" s="1" t="s">
        <v>1766</v>
      </c>
    </row>
    <row r="777" spans="1:49" x14ac:dyDescent="0.15">
      <c r="A777" s="1" t="s">
        <v>1751</v>
      </c>
      <c r="B777" s="1" t="s">
        <v>1767</v>
      </c>
      <c r="E777" s="1" t="s">
        <v>1768</v>
      </c>
    </row>
    <row r="778" spans="1:49" x14ac:dyDescent="0.15">
      <c r="A778" s="1" t="s">
        <v>1751</v>
      </c>
      <c r="B778" s="1" t="s">
        <v>1769</v>
      </c>
      <c r="E778" s="1" t="s">
        <v>1770</v>
      </c>
    </row>
    <row r="779" spans="1:49" x14ac:dyDescent="0.15">
      <c r="A779" s="1" t="s">
        <v>1751</v>
      </c>
      <c r="B779" s="1" t="s">
        <v>1771</v>
      </c>
      <c r="E779" s="1" t="s">
        <v>1772</v>
      </c>
    </row>
    <row r="780" spans="1:49" x14ac:dyDescent="0.15">
      <c r="A780" s="1" t="s">
        <v>1751</v>
      </c>
      <c r="B780" s="1" t="s">
        <v>1773</v>
      </c>
      <c r="E780" s="1" t="s">
        <v>1774</v>
      </c>
    </row>
    <row r="781" spans="1:49" x14ac:dyDescent="0.15">
      <c r="A781" s="1" t="s">
        <v>1751</v>
      </c>
      <c r="B781" s="1" t="s">
        <v>1775</v>
      </c>
      <c r="E781" s="1" t="s">
        <v>1776</v>
      </c>
    </row>
    <row r="782" spans="1:49" x14ac:dyDescent="0.15">
      <c r="A782" s="1" t="s">
        <v>1751</v>
      </c>
      <c r="B782" s="1" t="s">
        <v>1777</v>
      </c>
      <c r="E782" s="1" t="s">
        <v>1778</v>
      </c>
    </row>
    <row r="783" spans="1:49" x14ac:dyDescent="0.15">
      <c r="A783" s="1" t="s">
        <v>1751</v>
      </c>
      <c r="B783" s="1" t="s">
        <v>1779</v>
      </c>
      <c r="E783" s="1" t="s">
        <v>1780</v>
      </c>
    </row>
    <row r="784" spans="1:49" x14ac:dyDescent="0.15">
      <c r="A784" s="1" t="s">
        <v>1751</v>
      </c>
      <c r="B784" s="1" t="s">
        <v>1781</v>
      </c>
      <c r="E784" s="1" t="s">
        <v>1782</v>
      </c>
    </row>
    <row r="785" spans="1:49" x14ac:dyDescent="0.15">
      <c r="A785" s="1" t="s">
        <v>1751</v>
      </c>
      <c r="B785" s="1" t="s">
        <v>1783</v>
      </c>
      <c r="E785" s="1" t="s">
        <v>1784</v>
      </c>
    </row>
    <row r="786" spans="1:49" x14ac:dyDescent="0.15">
      <c r="A786" s="1" t="s">
        <v>1751</v>
      </c>
      <c r="B786" s="1" t="s">
        <v>1785</v>
      </c>
      <c r="E786" s="1" t="s">
        <v>1786</v>
      </c>
    </row>
    <row r="787" spans="1:49" x14ac:dyDescent="0.15">
      <c r="A787" s="1" t="s">
        <v>1751</v>
      </c>
      <c r="B787" s="1" t="s">
        <v>1787</v>
      </c>
    </row>
    <row r="788" spans="1:49" x14ac:dyDescent="0.15">
      <c r="A788" s="1" t="s">
        <v>1751</v>
      </c>
      <c r="B788" s="1" t="s">
        <v>1788</v>
      </c>
    </row>
    <row r="789" spans="1:49" x14ac:dyDescent="0.15">
      <c r="A789" s="1" t="s">
        <v>1751</v>
      </c>
      <c r="B789" s="1" t="s">
        <v>1788</v>
      </c>
      <c r="E789" s="1" t="s">
        <v>1789</v>
      </c>
    </row>
    <row r="790" spans="1:49" x14ac:dyDescent="0.15">
      <c r="A790" s="1" t="s">
        <v>1751</v>
      </c>
      <c r="B790" s="1" t="s">
        <v>1790</v>
      </c>
      <c r="E790" s="1" t="s">
        <v>1791</v>
      </c>
    </row>
    <row r="791" spans="1:49" x14ac:dyDescent="0.15">
      <c r="A791" s="1" t="s">
        <v>1751</v>
      </c>
      <c r="B791" s="1" t="s">
        <v>1792</v>
      </c>
      <c r="E791" s="1" t="s">
        <v>1793</v>
      </c>
    </row>
    <row r="792" spans="1:49" x14ac:dyDescent="0.15">
      <c r="A792" s="1" t="s">
        <v>1751</v>
      </c>
      <c r="B792" s="1" t="s">
        <v>1794</v>
      </c>
      <c r="E792" s="1" t="s">
        <v>1795</v>
      </c>
    </row>
    <row r="793" spans="1:49" x14ac:dyDescent="0.15">
      <c r="A793" s="1" t="s">
        <v>1751</v>
      </c>
      <c r="B793" s="1" t="s">
        <v>1796</v>
      </c>
      <c r="C793" s="1" t="s">
        <v>1797</v>
      </c>
      <c r="E793" s="1" t="s">
        <v>1798</v>
      </c>
    </row>
    <row r="794" spans="1:49" x14ac:dyDescent="0.15">
      <c r="A794" s="1" t="s">
        <v>1751</v>
      </c>
      <c r="B794" s="1" t="s">
        <v>1799</v>
      </c>
      <c r="E794" s="1" t="s">
        <v>1800</v>
      </c>
    </row>
    <row r="795" spans="1:49" x14ac:dyDescent="0.15">
      <c r="A795" s="1" t="s">
        <v>1751</v>
      </c>
      <c r="B795" s="1" t="s">
        <v>1801</v>
      </c>
      <c r="E795" s="1" t="s">
        <v>1802</v>
      </c>
    </row>
    <row r="796" spans="1:49" x14ac:dyDescent="0.15">
      <c r="A796" s="1" t="s">
        <v>1751</v>
      </c>
      <c r="B796" s="1" t="s">
        <v>1803</v>
      </c>
      <c r="E796" s="1" t="s">
        <v>1804</v>
      </c>
    </row>
    <row r="797" spans="1:49" x14ac:dyDescent="0.15">
      <c r="A797" s="1" t="s">
        <v>1751</v>
      </c>
      <c r="B797" s="1" t="s">
        <v>1805</v>
      </c>
      <c r="E797" s="1" t="s">
        <v>1806</v>
      </c>
    </row>
    <row r="798" spans="1:49" x14ac:dyDescent="0.15">
      <c r="A798" s="1" t="s">
        <v>1751</v>
      </c>
      <c r="B798" s="1" t="s">
        <v>1807</v>
      </c>
      <c r="E798" s="1" t="s">
        <v>1808</v>
      </c>
    </row>
    <row r="799" spans="1:49" x14ac:dyDescent="0.15">
      <c r="A799" s="1" t="s">
        <v>1751</v>
      </c>
      <c r="B799" s="1" t="s">
        <v>1809</v>
      </c>
      <c r="E799" s="1" t="s">
        <v>1810</v>
      </c>
      <c r="AG799" s="1" t="s">
        <v>1811</v>
      </c>
      <c r="AH799" s="1" t="s">
        <v>1811</v>
      </c>
      <c r="AW799" s="1" t="s">
        <v>1410</v>
      </c>
    </row>
    <row r="800" spans="1:49" x14ac:dyDescent="0.15">
      <c r="A800" s="1" t="s">
        <v>1751</v>
      </c>
      <c r="B800" s="1" t="s">
        <v>1812</v>
      </c>
      <c r="E800" s="1" t="s">
        <v>1813</v>
      </c>
    </row>
    <row r="801" spans="1:49" x14ac:dyDescent="0.15">
      <c r="A801" s="1" t="s">
        <v>1751</v>
      </c>
      <c r="B801" s="1" t="s">
        <v>1814</v>
      </c>
      <c r="E801" s="1" t="s">
        <v>1815</v>
      </c>
    </row>
    <row r="802" spans="1:49" x14ac:dyDescent="0.15">
      <c r="A802" s="1" t="s">
        <v>1751</v>
      </c>
      <c r="B802" s="1" t="s">
        <v>1816</v>
      </c>
      <c r="E802" s="1" t="s">
        <v>1817</v>
      </c>
    </row>
    <row r="803" spans="1:49" x14ac:dyDescent="0.15">
      <c r="A803" s="1" t="s">
        <v>1751</v>
      </c>
      <c r="B803" s="1" t="s">
        <v>1818</v>
      </c>
      <c r="C803" s="1" t="s">
        <v>1819</v>
      </c>
      <c r="E803" s="1" t="s">
        <v>1820</v>
      </c>
    </row>
    <row r="804" spans="1:49" x14ac:dyDescent="0.15">
      <c r="A804" s="1" t="s">
        <v>1751</v>
      </c>
      <c r="B804" s="1" t="s">
        <v>1821</v>
      </c>
      <c r="E804" s="1" t="s">
        <v>1822</v>
      </c>
    </row>
    <row r="805" spans="1:49" x14ac:dyDescent="0.15">
      <c r="A805" s="1" t="s">
        <v>1751</v>
      </c>
      <c r="B805" s="1" t="s">
        <v>1823</v>
      </c>
      <c r="E805" s="1" t="s">
        <v>1824</v>
      </c>
    </row>
    <row r="806" spans="1:49" x14ac:dyDescent="0.15">
      <c r="A806" s="1" t="s">
        <v>1751</v>
      </c>
      <c r="B806" s="1" t="s">
        <v>1825</v>
      </c>
      <c r="E806" s="1" t="s">
        <v>1826</v>
      </c>
    </row>
    <row r="807" spans="1:49" x14ac:dyDescent="0.15">
      <c r="A807" s="1" t="s">
        <v>1827</v>
      </c>
      <c r="C807" s="1" t="s">
        <v>1828</v>
      </c>
      <c r="F807" s="1" t="s">
        <v>1829</v>
      </c>
      <c r="K807" s="1" t="s">
        <v>1830</v>
      </c>
      <c r="AW807" s="1" t="s">
        <v>155</v>
      </c>
    </row>
    <row r="808" spans="1:49" x14ac:dyDescent="0.15">
      <c r="A808" s="1" t="s">
        <v>1827</v>
      </c>
      <c r="C808" s="1" t="s">
        <v>1831</v>
      </c>
      <c r="F808" s="1" t="s">
        <v>1832</v>
      </c>
      <c r="AW808" s="1" t="s">
        <v>155</v>
      </c>
    </row>
    <row r="809" spans="1:49" x14ac:dyDescent="0.15">
      <c r="A809" s="1" t="s">
        <v>1827</v>
      </c>
      <c r="C809" s="1" t="s">
        <v>1831</v>
      </c>
      <c r="K809" s="1" t="s">
        <v>1833</v>
      </c>
    </row>
    <row r="810" spans="1:49" x14ac:dyDescent="0.15">
      <c r="A810" s="1" t="s">
        <v>1827</v>
      </c>
      <c r="C810" s="1" t="s">
        <v>1834</v>
      </c>
      <c r="E810" s="1" t="s">
        <v>1835</v>
      </c>
      <c r="F810" s="1" t="s">
        <v>397</v>
      </c>
    </row>
    <row r="811" spans="1:49" x14ac:dyDescent="0.15">
      <c r="A811" s="1" t="s">
        <v>1827</v>
      </c>
      <c r="C811" s="1" t="s">
        <v>1836</v>
      </c>
      <c r="K811" s="1" t="s">
        <v>1837</v>
      </c>
    </row>
    <row r="812" spans="1:49" x14ac:dyDescent="0.15">
      <c r="A812" s="1" t="s">
        <v>1827</v>
      </c>
      <c r="C812" s="1" t="s">
        <v>1838</v>
      </c>
      <c r="F812" s="1" t="s">
        <v>1839</v>
      </c>
      <c r="AW812" s="1" t="s">
        <v>155</v>
      </c>
    </row>
    <row r="813" spans="1:49" x14ac:dyDescent="0.15">
      <c r="A813" s="1" t="s">
        <v>1827</v>
      </c>
      <c r="C813" s="1" t="s">
        <v>1840</v>
      </c>
      <c r="F813" s="1" t="s">
        <v>1841</v>
      </c>
      <c r="AW813" s="1" t="s">
        <v>155</v>
      </c>
    </row>
    <row r="814" spans="1:49" x14ac:dyDescent="0.15">
      <c r="A814" s="1" t="s">
        <v>1827</v>
      </c>
      <c r="C814" s="1" t="s">
        <v>1840</v>
      </c>
      <c r="K814" s="1" t="s">
        <v>1842</v>
      </c>
    </row>
    <row r="815" spans="1:49" x14ac:dyDescent="0.15">
      <c r="A815" s="1" t="s">
        <v>1827</v>
      </c>
      <c r="C815" s="1" t="s">
        <v>1843</v>
      </c>
      <c r="F815" s="1" t="s">
        <v>1844</v>
      </c>
      <c r="AW815" s="1" t="s">
        <v>155</v>
      </c>
    </row>
    <row r="816" spans="1:49" x14ac:dyDescent="0.15">
      <c r="A816" s="1" t="s">
        <v>1827</v>
      </c>
      <c r="C816" s="1" t="s">
        <v>1843</v>
      </c>
      <c r="K816" s="1" t="s">
        <v>1845</v>
      </c>
    </row>
    <row r="817" spans="1:49" x14ac:dyDescent="0.15">
      <c r="A817" s="1" t="s">
        <v>1827</v>
      </c>
      <c r="C817" s="1" t="s">
        <v>1846</v>
      </c>
      <c r="F817" s="1" t="s">
        <v>1847</v>
      </c>
      <c r="AW817" s="1" t="s">
        <v>0</v>
      </c>
    </row>
    <row r="818" spans="1:49" x14ac:dyDescent="0.15">
      <c r="A818" s="1" t="s">
        <v>1827</v>
      </c>
      <c r="C818" s="1" t="s">
        <v>1848</v>
      </c>
      <c r="F818" s="1" t="s">
        <v>1849</v>
      </c>
      <c r="AW818" s="1" t="s">
        <v>0</v>
      </c>
    </row>
    <row r="819" spans="1:49" x14ac:dyDescent="0.15">
      <c r="A819" s="1" t="s">
        <v>1827</v>
      </c>
      <c r="C819" s="1" t="s">
        <v>1850</v>
      </c>
      <c r="K819" s="1" t="s">
        <v>1851</v>
      </c>
    </row>
    <row r="820" spans="1:49" x14ac:dyDescent="0.15">
      <c r="A820" s="1" t="s">
        <v>1827</v>
      </c>
      <c r="C820" s="1" t="s">
        <v>1852</v>
      </c>
      <c r="K820" s="1" t="s">
        <v>1853</v>
      </c>
    </row>
    <row r="821" spans="1:49" x14ac:dyDescent="0.15">
      <c r="A821" s="1" t="s">
        <v>1827</v>
      </c>
      <c r="C821" s="1" t="s">
        <v>1854</v>
      </c>
      <c r="F821" s="1" t="s">
        <v>1855</v>
      </c>
      <c r="AW821" s="1" t="s">
        <v>0</v>
      </c>
    </row>
    <row r="822" spans="1:49" x14ac:dyDescent="0.15">
      <c r="A822" s="1" t="s">
        <v>1827</v>
      </c>
      <c r="C822" s="1" t="s">
        <v>1854</v>
      </c>
      <c r="K822" s="1" t="s">
        <v>1856</v>
      </c>
    </row>
    <row r="823" spans="1:49" x14ac:dyDescent="0.15">
      <c r="A823" s="1" t="s">
        <v>1827</v>
      </c>
      <c r="C823" s="1" t="s">
        <v>1857</v>
      </c>
      <c r="F823" s="1" t="s">
        <v>1858</v>
      </c>
      <c r="AW823" s="1" t="s">
        <v>0</v>
      </c>
    </row>
    <row r="824" spans="1:49" x14ac:dyDescent="0.15">
      <c r="A824" s="1" t="s">
        <v>1827</v>
      </c>
      <c r="C824" s="1" t="s">
        <v>1857</v>
      </c>
      <c r="K824" s="1" t="s">
        <v>1859</v>
      </c>
    </row>
    <row r="825" spans="1:49" x14ac:dyDescent="0.15">
      <c r="A825" s="1" t="s">
        <v>1827</v>
      </c>
      <c r="C825" s="1" t="s">
        <v>1860</v>
      </c>
      <c r="E825" s="1" t="s">
        <v>1861</v>
      </c>
    </row>
    <row r="826" spans="1:49" x14ac:dyDescent="0.15">
      <c r="A826" s="1" t="s">
        <v>1827</v>
      </c>
      <c r="C826" s="1" t="s">
        <v>1862</v>
      </c>
      <c r="K826" s="1" t="s">
        <v>1863</v>
      </c>
    </row>
    <row r="827" spans="1:49" x14ac:dyDescent="0.15">
      <c r="A827" s="1" t="s">
        <v>1827</v>
      </c>
      <c r="C827" s="1" t="s">
        <v>1864</v>
      </c>
      <c r="F827" s="1" t="s">
        <v>1865</v>
      </c>
      <c r="AW827" s="1" t="s">
        <v>0</v>
      </c>
    </row>
    <row r="828" spans="1:49" x14ac:dyDescent="0.15">
      <c r="A828" s="1" t="s">
        <v>1827</v>
      </c>
      <c r="C828" s="1" t="s">
        <v>1864</v>
      </c>
      <c r="K828" s="1" t="s">
        <v>1866</v>
      </c>
    </row>
    <row r="829" spans="1:49" x14ac:dyDescent="0.15">
      <c r="A829" s="1" t="s">
        <v>1827</v>
      </c>
      <c r="C829" s="1" t="s">
        <v>1867</v>
      </c>
      <c r="F829" s="1" t="s">
        <v>1868</v>
      </c>
      <c r="AW829" s="1" t="s">
        <v>0</v>
      </c>
    </row>
    <row r="830" spans="1:49" x14ac:dyDescent="0.15">
      <c r="A830" s="1" t="s">
        <v>1827</v>
      </c>
      <c r="C830" s="1" t="s">
        <v>1867</v>
      </c>
      <c r="K830" s="1" t="s">
        <v>1869</v>
      </c>
    </row>
    <row r="831" spans="1:49" x14ac:dyDescent="0.15">
      <c r="A831" s="1" t="s">
        <v>1827</v>
      </c>
      <c r="C831" s="1" t="s">
        <v>1870</v>
      </c>
      <c r="F831" s="1" t="s">
        <v>1871</v>
      </c>
      <c r="AW831" s="1" t="s">
        <v>0</v>
      </c>
    </row>
    <row r="832" spans="1:49" x14ac:dyDescent="0.15">
      <c r="A832" s="1" t="s">
        <v>1827</v>
      </c>
      <c r="C832" s="1" t="s">
        <v>1872</v>
      </c>
      <c r="K832" s="1" t="s">
        <v>1873</v>
      </c>
    </row>
    <row r="833" spans="1:49" x14ac:dyDescent="0.15">
      <c r="A833" s="1" t="s">
        <v>1827</v>
      </c>
      <c r="C833" s="1" t="s">
        <v>1874</v>
      </c>
      <c r="F833" s="1" t="s">
        <v>1875</v>
      </c>
      <c r="AW833" s="1" t="s">
        <v>0</v>
      </c>
    </row>
    <row r="834" spans="1:49" x14ac:dyDescent="0.15">
      <c r="A834" s="1" t="s">
        <v>1827</v>
      </c>
      <c r="C834" s="1" t="s">
        <v>1876</v>
      </c>
      <c r="F834" s="1" t="s">
        <v>1877</v>
      </c>
      <c r="AW834" s="1" t="s">
        <v>0</v>
      </c>
    </row>
    <row r="835" spans="1:49" x14ac:dyDescent="0.15">
      <c r="A835" s="1" t="s">
        <v>1827</v>
      </c>
      <c r="C835" s="1" t="s">
        <v>1878</v>
      </c>
      <c r="E835" s="1" t="s">
        <v>1879</v>
      </c>
      <c r="F835" s="1" t="s">
        <v>1880</v>
      </c>
      <c r="AW835" s="1" t="s">
        <v>1881</v>
      </c>
    </row>
    <row r="836" spans="1:49" x14ac:dyDescent="0.15">
      <c r="A836" s="1" t="s">
        <v>1827</v>
      </c>
      <c r="C836" s="1" t="s">
        <v>1878</v>
      </c>
      <c r="F836" s="1" t="s">
        <v>1882</v>
      </c>
      <c r="AW836" s="1" t="s">
        <v>0</v>
      </c>
    </row>
    <row r="837" spans="1:49" x14ac:dyDescent="0.15">
      <c r="A837" s="1" t="s">
        <v>1827</v>
      </c>
      <c r="C837" s="1" t="s">
        <v>1883</v>
      </c>
      <c r="F837" s="1" t="s">
        <v>1884</v>
      </c>
      <c r="AW837" s="1" t="s">
        <v>0</v>
      </c>
    </row>
    <row r="838" spans="1:49" x14ac:dyDescent="0.15">
      <c r="A838" s="1" t="s">
        <v>1827</v>
      </c>
      <c r="C838" s="1" t="s">
        <v>1885</v>
      </c>
      <c r="F838" s="1" t="s">
        <v>1886</v>
      </c>
      <c r="AW838" s="1" t="s">
        <v>0</v>
      </c>
    </row>
    <row r="839" spans="1:49" x14ac:dyDescent="0.15">
      <c r="A839" s="1" t="s">
        <v>1827</v>
      </c>
      <c r="C839" s="1" t="s">
        <v>1885</v>
      </c>
      <c r="K839" s="1" t="s">
        <v>1887</v>
      </c>
    </row>
    <row r="840" spans="1:49" x14ac:dyDescent="0.15">
      <c r="A840" s="1" t="s">
        <v>1827</v>
      </c>
      <c r="C840" s="1" t="s">
        <v>28</v>
      </c>
      <c r="F840" s="1" t="s">
        <v>29</v>
      </c>
      <c r="AW840" s="1" t="s">
        <v>0</v>
      </c>
    </row>
    <row r="841" spans="1:49" x14ac:dyDescent="0.15">
      <c r="A841" s="1" t="s">
        <v>1827</v>
      </c>
      <c r="C841" s="1" t="s">
        <v>1888</v>
      </c>
      <c r="K841" s="1" t="s">
        <v>1889</v>
      </c>
    </row>
    <row r="842" spans="1:49" x14ac:dyDescent="0.15">
      <c r="A842" s="1" t="s">
        <v>1827</v>
      </c>
      <c r="C842" s="1" t="s">
        <v>1890</v>
      </c>
      <c r="F842" s="1" t="s">
        <v>1891</v>
      </c>
      <c r="AW842" s="1" t="s">
        <v>0</v>
      </c>
    </row>
    <row r="843" spans="1:49" x14ac:dyDescent="0.15">
      <c r="A843" s="1" t="s">
        <v>1827</v>
      </c>
      <c r="C843" s="1" t="s">
        <v>1892</v>
      </c>
      <c r="K843" s="1" t="s">
        <v>1893</v>
      </c>
    </row>
    <row r="844" spans="1:49" x14ac:dyDescent="0.15">
      <c r="A844" s="1" t="s">
        <v>1827</v>
      </c>
      <c r="C844" s="1" t="s">
        <v>1894</v>
      </c>
      <c r="F844" s="1" t="s">
        <v>1895</v>
      </c>
      <c r="AW844" s="1" t="s">
        <v>0</v>
      </c>
    </row>
    <row r="845" spans="1:49" x14ac:dyDescent="0.15">
      <c r="A845" s="1" t="s">
        <v>1827</v>
      </c>
      <c r="C845" s="1" t="s">
        <v>1896</v>
      </c>
      <c r="K845" s="1" t="s">
        <v>1897</v>
      </c>
    </row>
    <row r="846" spans="1:49" x14ac:dyDescent="0.15">
      <c r="A846" s="1" t="s">
        <v>1827</v>
      </c>
      <c r="C846" s="1" t="s">
        <v>1898</v>
      </c>
      <c r="K846" s="1" t="s">
        <v>1899</v>
      </c>
    </row>
    <row r="847" spans="1:49" x14ac:dyDescent="0.15">
      <c r="A847" s="1" t="s">
        <v>1827</v>
      </c>
      <c r="C847" s="1" t="s">
        <v>1900</v>
      </c>
      <c r="F847" s="1" t="s">
        <v>1901</v>
      </c>
      <c r="AW847" s="1" t="s">
        <v>0</v>
      </c>
    </row>
    <row r="848" spans="1:49" x14ac:dyDescent="0.15">
      <c r="A848" s="1" t="s">
        <v>1827</v>
      </c>
      <c r="C848" s="1" t="s">
        <v>1900</v>
      </c>
      <c r="K848" s="1" t="s">
        <v>1902</v>
      </c>
    </row>
    <row r="849" spans="1:49" x14ac:dyDescent="0.15">
      <c r="A849" s="1" t="s">
        <v>1827</v>
      </c>
      <c r="C849" s="1" t="s">
        <v>1903</v>
      </c>
      <c r="F849" s="1" t="s">
        <v>1904</v>
      </c>
      <c r="R849" s="1" t="s">
        <v>1905</v>
      </c>
      <c r="S849" s="1"/>
      <c r="T849" s="1"/>
      <c r="AW849" s="1" t="s">
        <v>1881</v>
      </c>
    </row>
    <row r="850" spans="1:49" x14ac:dyDescent="0.15">
      <c r="A850" s="1" t="s">
        <v>1827</v>
      </c>
      <c r="C850" s="1" t="s">
        <v>1903</v>
      </c>
      <c r="F850" s="1" t="s">
        <v>1906</v>
      </c>
      <c r="AW850" s="1" t="s">
        <v>0</v>
      </c>
    </row>
    <row r="851" spans="1:49" x14ac:dyDescent="0.15">
      <c r="A851" s="1" t="s">
        <v>1827</v>
      </c>
      <c r="C851" s="1" t="s">
        <v>1907</v>
      </c>
      <c r="K851" s="1" t="s">
        <v>1908</v>
      </c>
    </row>
    <row r="852" spans="1:49" x14ac:dyDescent="0.15">
      <c r="A852" s="1" t="s">
        <v>1827</v>
      </c>
      <c r="C852" s="1" t="s">
        <v>1909</v>
      </c>
      <c r="F852" s="1" t="s">
        <v>1910</v>
      </c>
      <c r="AW852" s="1" t="s">
        <v>0</v>
      </c>
    </row>
    <row r="853" spans="1:49" x14ac:dyDescent="0.15">
      <c r="A853" s="1" t="s">
        <v>1827</v>
      </c>
      <c r="C853" s="1" t="s">
        <v>1909</v>
      </c>
      <c r="K853" s="1" t="s">
        <v>1911</v>
      </c>
    </row>
    <row r="854" spans="1:49" x14ac:dyDescent="0.15">
      <c r="A854" s="1" t="s">
        <v>1827</v>
      </c>
      <c r="C854" s="1" t="s">
        <v>45</v>
      </c>
      <c r="F854" s="1" t="s">
        <v>1912</v>
      </c>
      <c r="AW854" s="1" t="s">
        <v>0</v>
      </c>
    </row>
    <row r="855" spans="1:49" x14ac:dyDescent="0.15">
      <c r="A855" s="1" t="s">
        <v>1827</v>
      </c>
      <c r="C855" s="1" t="s">
        <v>45</v>
      </c>
      <c r="E855" s="1" t="s">
        <v>1913</v>
      </c>
    </row>
    <row r="856" spans="1:49" x14ac:dyDescent="0.15">
      <c r="A856" s="1" t="s">
        <v>1827</v>
      </c>
      <c r="C856" s="1" t="s">
        <v>1914</v>
      </c>
      <c r="K856" s="1" t="s">
        <v>1915</v>
      </c>
    </row>
    <row r="857" spans="1:49" x14ac:dyDescent="0.15">
      <c r="A857" s="1" t="s">
        <v>1827</v>
      </c>
      <c r="C857" s="1" t="s">
        <v>1916</v>
      </c>
      <c r="AW857" s="1" t="s">
        <v>0</v>
      </c>
    </row>
    <row r="858" spans="1:49" x14ac:dyDescent="0.15">
      <c r="A858" s="1" t="s">
        <v>1827</v>
      </c>
      <c r="C858" s="1" t="s">
        <v>1917</v>
      </c>
      <c r="F858" s="1" t="s">
        <v>1918</v>
      </c>
      <c r="AW858" s="1" t="s">
        <v>0</v>
      </c>
    </row>
    <row r="859" spans="1:49" x14ac:dyDescent="0.15">
      <c r="A859" s="1" t="s">
        <v>1827</v>
      </c>
      <c r="C859" s="1" t="s">
        <v>1917</v>
      </c>
      <c r="K859" s="1" t="s">
        <v>1919</v>
      </c>
    </row>
    <row r="860" spans="1:49" x14ac:dyDescent="0.15">
      <c r="A860" s="1" t="s">
        <v>1827</v>
      </c>
      <c r="C860" s="1" t="s">
        <v>1920</v>
      </c>
      <c r="F860" s="1" t="s">
        <v>1921</v>
      </c>
      <c r="AW860" s="1" t="s">
        <v>0</v>
      </c>
    </row>
    <row r="861" spans="1:49" x14ac:dyDescent="0.15">
      <c r="A861" s="1" t="s">
        <v>1827</v>
      </c>
      <c r="C861" s="1" t="s">
        <v>1920</v>
      </c>
      <c r="K861" s="1" t="s">
        <v>1922</v>
      </c>
    </row>
    <row r="862" spans="1:49" x14ac:dyDescent="0.15">
      <c r="A862" s="1" t="s">
        <v>1827</v>
      </c>
      <c r="C862" s="1" t="s">
        <v>1923</v>
      </c>
      <c r="F862" s="1" t="s">
        <v>1924</v>
      </c>
      <c r="AW862" s="1" t="s">
        <v>0</v>
      </c>
    </row>
    <row r="863" spans="1:49" x14ac:dyDescent="0.15">
      <c r="A863" s="1" t="s">
        <v>1827</v>
      </c>
      <c r="C863" s="1" t="s">
        <v>1923</v>
      </c>
      <c r="K863" s="1" t="s">
        <v>1925</v>
      </c>
    </row>
    <row r="864" spans="1:49" x14ac:dyDescent="0.15">
      <c r="A864" s="1" t="s">
        <v>1827</v>
      </c>
      <c r="C864" s="1" t="s">
        <v>1926</v>
      </c>
      <c r="E864" s="1" t="s">
        <v>1927</v>
      </c>
    </row>
    <row r="865" spans="1:49" x14ac:dyDescent="0.15">
      <c r="A865" s="1" t="s">
        <v>1827</v>
      </c>
      <c r="C865" s="1" t="s">
        <v>1928</v>
      </c>
      <c r="F865" s="1" t="s">
        <v>1929</v>
      </c>
      <c r="AW865" s="1" t="s">
        <v>0</v>
      </c>
    </row>
    <row r="866" spans="1:49" x14ac:dyDescent="0.15">
      <c r="A866" s="1" t="s">
        <v>1827</v>
      </c>
      <c r="C866" s="1" t="s">
        <v>1928</v>
      </c>
      <c r="K866" s="1" t="s">
        <v>1930</v>
      </c>
    </row>
    <row r="867" spans="1:49" x14ac:dyDescent="0.15">
      <c r="A867" s="1" t="s">
        <v>1827</v>
      </c>
      <c r="C867" s="1" t="s">
        <v>1931</v>
      </c>
      <c r="F867" s="1" t="s">
        <v>1932</v>
      </c>
      <c r="AW867" s="1" t="s">
        <v>1881</v>
      </c>
    </row>
    <row r="868" spans="1:49" x14ac:dyDescent="0.15">
      <c r="A868" s="1" t="s">
        <v>1827</v>
      </c>
      <c r="C868" s="1" t="s">
        <v>1933</v>
      </c>
      <c r="K868" s="1" t="s">
        <v>1934</v>
      </c>
    </row>
    <row r="869" spans="1:49" x14ac:dyDescent="0.15">
      <c r="A869" s="1" t="s">
        <v>1827</v>
      </c>
      <c r="C869" s="1" t="s">
        <v>1935</v>
      </c>
      <c r="K869" s="1" t="s">
        <v>1936</v>
      </c>
    </row>
    <row r="870" spans="1:49" x14ac:dyDescent="0.15">
      <c r="A870" s="1" t="s">
        <v>1827</v>
      </c>
      <c r="C870" s="1" t="s">
        <v>1937</v>
      </c>
      <c r="K870" s="1" t="s">
        <v>1938</v>
      </c>
    </row>
    <row r="871" spans="1:49" x14ac:dyDescent="0.15">
      <c r="A871" s="1" t="s">
        <v>1827</v>
      </c>
      <c r="C871" s="1" t="s">
        <v>1939</v>
      </c>
      <c r="K871" s="1" t="s">
        <v>1940</v>
      </c>
    </row>
    <row r="872" spans="1:49" x14ac:dyDescent="0.15">
      <c r="A872" s="1" t="s">
        <v>1827</v>
      </c>
      <c r="C872" s="1" t="s">
        <v>1941</v>
      </c>
      <c r="K872" s="1" t="s">
        <v>1942</v>
      </c>
    </row>
    <row r="873" spans="1:49" x14ac:dyDescent="0.15">
      <c r="A873" s="1" t="s">
        <v>1827</v>
      </c>
      <c r="C873" s="1" t="s">
        <v>1943</v>
      </c>
      <c r="F873" s="1" t="s">
        <v>1944</v>
      </c>
      <c r="K873" s="1" t="s">
        <v>1945</v>
      </c>
      <c r="N873" s="1" t="s">
        <v>148</v>
      </c>
      <c r="O873" s="1" t="s">
        <v>149</v>
      </c>
      <c r="R873" s="1" t="s">
        <v>1945</v>
      </c>
      <c r="S873" s="1"/>
      <c r="T873" s="1"/>
      <c r="W873" s="1"/>
      <c r="X873" s="1" t="s">
        <v>1946</v>
      </c>
      <c r="AD873" s="1" t="s">
        <v>1947</v>
      </c>
      <c r="AW873" s="1" t="s">
        <v>1881</v>
      </c>
    </row>
    <row r="874" spans="1:49" x14ac:dyDescent="0.15">
      <c r="A874" s="1" t="s">
        <v>1827</v>
      </c>
      <c r="C874" s="1" t="s">
        <v>1943</v>
      </c>
      <c r="K874" s="1" t="s">
        <v>1948</v>
      </c>
    </row>
    <row r="875" spans="1:49" x14ac:dyDescent="0.15">
      <c r="A875" s="1" t="s">
        <v>1827</v>
      </c>
      <c r="C875" s="1" t="s">
        <v>1949</v>
      </c>
      <c r="F875" s="1" t="s">
        <v>1950</v>
      </c>
      <c r="AW875" s="1" t="s">
        <v>0</v>
      </c>
    </row>
    <row r="876" spans="1:49" x14ac:dyDescent="0.15">
      <c r="A876" s="1" t="s">
        <v>1827</v>
      </c>
      <c r="C876" s="1" t="s">
        <v>1951</v>
      </c>
      <c r="K876" s="1" t="s">
        <v>1952</v>
      </c>
    </row>
    <row r="877" spans="1:49" x14ac:dyDescent="0.15">
      <c r="A877" s="1" t="s">
        <v>1827</v>
      </c>
      <c r="C877" s="1" t="s">
        <v>1953</v>
      </c>
      <c r="K877" s="1" t="s">
        <v>1954</v>
      </c>
    </row>
    <row r="878" spans="1:49" x14ac:dyDescent="0.15">
      <c r="A878" s="1" t="s">
        <v>1827</v>
      </c>
      <c r="C878" s="1" t="s">
        <v>1955</v>
      </c>
      <c r="K878" s="1" t="s">
        <v>1956</v>
      </c>
    </row>
    <row r="879" spans="1:49" x14ac:dyDescent="0.15">
      <c r="A879" s="1" t="s">
        <v>1827</v>
      </c>
      <c r="C879" s="1" t="s">
        <v>1957</v>
      </c>
      <c r="K879" s="1" t="s">
        <v>1958</v>
      </c>
    </row>
    <row r="880" spans="1:49" x14ac:dyDescent="0.15">
      <c r="A880" s="1" t="s">
        <v>1827</v>
      </c>
      <c r="C880" s="1" t="s">
        <v>1959</v>
      </c>
      <c r="K880" s="1" t="s">
        <v>1960</v>
      </c>
    </row>
    <row r="881" spans="1:11" x14ac:dyDescent="0.15">
      <c r="A881" s="1" t="s">
        <v>1827</v>
      </c>
      <c r="C881" s="1" t="s">
        <v>1961</v>
      </c>
      <c r="K881" s="1" t="s">
        <v>1962</v>
      </c>
    </row>
    <row r="882" spans="1:11" x14ac:dyDescent="0.15">
      <c r="A882" s="1" t="s">
        <v>1827</v>
      </c>
      <c r="C882" s="1" t="s">
        <v>1963</v>
      </c>
      <c r="K882" s="1" t="s">
        <v>1964</v>
      </c>
    </row>
    <row r="883" spans="1:11" x14ac:dyDescent="0.15">
      <c r="A883" s="1" t="s">
        <v>1827</v>
      </c>
      <c r="C883" s="1" t="s">
        <v>1965</v>
      </c>
      <c r="K883" s="1" t="s">
        <v>1966</v>
      </c>
    </row>
    <row r="884" spans="1:11" x14ac:dyDescent="0.15">
      <c r="A884" s="1" t="s">
        <v>1827</v>
      </c>
      <c r="C884" s="1" t="s">
        <v>1967</v>
      </c>
      <c r="K884" s="1" t="s">
        <v>1968</v>
      </c>
    </row>
    <row r="885" spans="1:11" x14ac:dyDescent="0.15">
      <c r="A885" s="1" t="s">
        <v>1827</v>
      </c>
      <c r="C885" s="1" t="s">
        <v>1969</v>
      </c>
      <c r="E885" s="1" t="s">
        <v>1970</v>
      </c>
    </row>
    <row r="886" spans="1:11" x14ac:dyDescent="0.15">
      <c r="A886" s="1" t="s">
        <v>1827</v>
      </c>
      <c r="C886" s="1" t="s">
        <v>1971</v>
      </c>
      <c r="K886" s="1" t="s">
        <v>1972</v>
      </c>
    </row>
    <row r="887" spans="1:11" x14ac:dyDescent="0.15">
      <c r="A887" s="1" t="s">
        <v>1827</v>
      </c>
      <c r="C887" s="1" t="s">
        <v>1973</v>
      </c>
      <c r="K887" s="1" t="s">
        <v>1974</v>
      </c>
    </row>
    <row r="888" spans="1:11" x14ac:dyDescent="0.15">
      <c r="A888" s="1" t="s">
        <v>1827</v>
      </c>
      <c r="C888" s="1" t="s">
        <v>1975</v>
      </c>
      <c r="K888" s="1" t="s">
        <v>1976</v>
      </c>
    </row>
    <row r="889" spans="1:11" x14ac:dyDescent="0.15">
      <c r="A889" s="1" t="s">
        <v>1827</v>
      </c>
      <c r="C889" s="1" t="s">
        <v>1977</v>
      </c>
      <c r="K889" s="1" t="s">
        <v>1978</v>
      </c>
    </row>
    <row r="890" spans="1:11" x14ac:dyDescent="0.15">
      <c r="A890" s="1" t="s">
        <v>1827</v>
      </c>
      <c r="C890" s="1" t="s">
        <v>1979</v>
      </c>
      <c r="K890" s="1" t="s">
        <v>1980</v>
      </c>
    </row>
    <row r="891" spans="1:11" x14ac:dyDescent="0.15">
      <c r="A891" s="1" t="s">
        <v>1827</v>
      </c>
      <c r="C891" s="1" t="s">
        <v>1981</v>
      </c>
      <c r="K891" s="1" t="s">
        <v>1982</v>
      </c>
    </row>
    <row r="892" spans="1:11" x14ac:dyDescent="0.15">
      <c r="A892" s="1" t="s">
        <v>1827</v>
      </c>
      <c r="C892" s="1" t="s">
        <v>1983</v>
      </c>
      <c r="K892" s="1" t="s">
        <v>1984</v>
      </c>
    </row>
    <row r="893" spans="1:11" x14ac:dyDescent="0.15">
      <c r="A893" s="1" t="s">
        <v>1827</v>
      </c>
      <c r="C893" s="1" t="s">
        <v>1985</v>
      </c>
      <c r="K893" s="1" t="s">
        <v>1986</v>
      </c>
    </row>
    <row r="894" spans="1:11" x14ac:dyDescent="0.15">
      <c r="A894" s="1" t="s">
        <v>1827</v>
      </c>
      <c r="C894" s="1" t="s">
        <v>1987</v>
      </c>
      <c r="K894" s="1" t="s">
        <v>1988</v>
      </c>
    </row>
    <row r="895" spans="1:11" x14ac:dyDescent="0.15">
      <c r="A895" s="1" t="s">
        <v>1827</v>
      </c>
      <c r="C895" s="1" t="s">
        <v>1989</v>
      </c>
      <c r="K895" s="1" t="s">
        <v>1990</v>
      </c>
    </row>
    <row r="896" spans="1:11" x14ac:dyDescent="0.15">
      <c r="A896" s="1" t="s">
        <v>1827</v>
      </c>
      <c r="C896" s="1" t="s">
        <v>1991</v>
      </c>
      <c r="K896" s="1" t="s">
        <v>1992</v>
      </c>
    </row>
    <row r="897" spans="1:49" x14ac:dyDescent="0.15">
      <c r="A897" s="1" t="s">
        <v>1827</v>
      </c>
      <c r="C897" s="1" t="s">
        <v>1993</v>
      </c>
      <c r="K897" s="1" t="s">
        <v>1994</v>
      </c>
    </row>
    <row r="898" spans="1:49" x14ac:dyDescent="0.15">
      <c r="A898" s="1" t="s">
        <v>1827</v>
      </c>
      <c r="C898" s="1" t="s">
        <v>1995</v>
      </c>
      <c r="K898" s="1" t="s">
        <v>1996</v>
      </c>
    </row>
    <row r="899" spans="1:49" x14ac:dyDescent="0.15">
      <c r="A899" s="1" t="s">
        <v>1827</v>
      </c>
      <c r="C899" s="1" t="s">
        <v>1997</v>
      </c>
      <c r="K899" s="1" t="s">
        <v>1998</v>
      </c>
    </row>
    <row r="900" spans="1:49" x14ac:dyDescent="0.15">
      <c r="A900" s="1" t="s">
        <v>1827</v>
      </c>
      <c r="C900" s="1" t="s">
        <v>1999</v>
      </c>
      <c r="K900" s="1" t="s">
        <v>2000</v>
      </c>
    </row>
    <row r="901" spans="1:49" x14ac:dyDescent="0.15">
      <c r="A901" s="1" t="s">
        <v>1827</v>
      </c>
      <c r="C901" s="1" t="s">
        <v>2001</v>
      </c>
      <c r="K901" s="1" t="s">
        <v>2002</v>
      </c>
    </row>
    <row r="902" spans="1:49" x14ac:dyDescent="0.15">
      <c r="A902" s="1" t="s">
        <v>1827</v>
      </c>
      <c r="C902" s="1" t="s">
        <v>2003</v>
      </c>
      <c r="K902" s="1" t="s">
        <v>2004</v>
      </c>
    </row>
    <row r="903" spans="1:49" x14ac:dyDescent="0.15">
      <c r="A903" s="1" t="s">
        <v>1827</v>
      </c>
      <c r="C903" s="1" t="s">
        <v>2005</v>
      </c>
      <c r="K903" s="1" t="s">
        <v>2006</v>
      </c>
    </row>
    <row r="904" spans="1:49" x14ac:dyDescent="0.15">
      <c r="A904" s="1" t="s">
        <v>1827</v>
      </c>
      <c r="C904" s="1" t="s">
        <v>2007</v>
      </c>
      <c r="F904" s="1" t="s">
        <v>2008</v>
      </c>
      <c r="AW904" s="1" t="s">
        <v>2009</v>
      </c>
    </row>
    <row r="905" spans="1:49" x14ac:dyDescent="0.15">
      <c r="A905" s="1" t="s">
        <v>1827</v>
      </c>
      <c r="C905" s="1" t="s">
        <v>2010</v>
      </c>
      <c r="F905" s="1" t="s">
        <v>2011</v>
      </c>
      <c r="AW905" s="1" t="s">
        <v>1881</v>
      </c>
    </row>
    <row r="906" spans="1:49" x14ac:dyDescent="0.15">
      <c r="A906" s="1" t="s">
        <v>2012</v>
      </c>
      <c r="C906" s="1" t="s">
        <v>2013</v>
      </c>
      <c r="F906" s="1" t="s">
        <v>2014</v>
      </c>
      <c r="AW906" s="1" t="s">
        <v>155</v>
      </c>
    </row>
    <row r="907" spans="1:49" x14ac:dyDescent="0.15">
      <c r="A907" s="1" t="s">
        <v>2012</v>
      </c>
      <c r="C907" s="1" t="s">
        <v>2015</v>
      </c>
      <c r="F907" s="1" t="s">
        <v>2016</v>
      </c>
      <c r="AW907" s="1" t="s">
        <v>155</v>
      </c>
    </row>
    <row r="908" spans="1:49" x14ac:dyDescent="0.15">
      <c r="A908" s="1" t="s">
        <v>2012</v>
      </c>
      <c r="C908" s="1" t="s">
        <v>2017</v>
      </c>
      <c r="F908" s="1" t="s">
        <v>2018</v>
      </c>
      <c r="AW908" s="1" t="s">
        <v>155</v>
      </c>
    </row>
    <row r="909" spans="1:49" x14ac:dyDescent="0.15">
      <c r="A909" s="1" t="s">
        <v>2012</v>
      </c>
      <c r="C909" s="1" t="s">
        <v>2019</v>
      </c>
      <c r="F909" s="1" t="s">
        <v>2020</v>
      </c>
      <c r="AW909" s="1" t="s">
        <v>155</v>
      </c>
    </row>
    <row r="910" spans="1:49" x14ac:dyDescent="0.15">
      <c r="A910" s="1" t="s">
        <v>2012</v>
      </c>
      <c r="C910" s="1" t="s">
        <v>2021</v>
      </c>
      <c r="F910" s="1" t="s">
        <v>2022</v>
      </c>
      <c r="AW910" s="1" t="s">
        <v>155</v>
      </c>
    </row>
    <row r="911" spans="1:49" x14ac:dyDescent="0.15">
      <c r="A911" s="1" t="s">
        <v>2012</v>
      </c>
      <c r="C911" s="1" t="s">
        <v>2023</v>
      </c>
      <c r="F911" s="1" t="s">
        <v>2024</v>
      </c>
      <c r="AW911" s="1" t="s">
        <v>155</v>
      </c>
    </row>
    <row r="912" spans="1:49" x14ac:dyDescent="0.15">
      <c r="A912" s="1" t="s">
        <v>2012</v>
      </c>
      <c r="C912" s="1" t="s">
        <v>2025</v>
      </c>
      <c r="F912" s="1" t="s">
        <v>2026</v>
      </c>
      <c r="AW912" s="1" t="s">
        <v>155</v>
      </c>
    </row>
    <row r="913" spans="1:49" x14ac:dyDescent="0.15">
      <c r="A913" s="1" t="s">
        <v>2012</v>
      </c>
      <c r="C913" s="1" t="s">
        <v>2027</v>
      </c>
      <c r="F913" s="1" t="s">
        <v>2028</v>
      </c>
      <c r="AW913" s="1" t="s">
        <v>155</v>
      </c>
    </row>
    <row r="914" spans="1:49" x14ac:dyDescent="0.15">
      <c r="A914" s="1" t="s">
        <v>2012</v>
      </c>
      <c r="C914" s="1" t="s">
        <v>2029</v>
      </c>
      <c r="F914" s="1" t="s">
        <v>2030</v>
      </c>
      <c r="AW914" s="1" t="s">
        <v>155</v>
      </c>
    </row>
    <row r="915" spans="1:49" x14ac:dyDescent="0.15">
      <c r="A915" s="1" t="s">
        <v>2012</v>
      </c>
      <c r="C915" s="1" t="s">
        <v>2031</v>
      </c>
      <c r="F915" s="1" t="s">
        <v>2032</v>
      </c>
      <c r="AW915" s="1" t="s">
        <v>155</v>
      </c>
    </row>
    <row r="916" spans="1:49" x14ac:dyDescent="0.15">
      <c r="A916" s="1" t="s">
        <v>2012</v>
      </c>
      <c r="C916" s="1" t="s">
        <v>2033</v>
      </c>
      <c r="F916" s="1" t="s">
        <v>2034</v>
      </c>
      <c r="AW916" s="1" t="s">
        <v>155</v>
      </c>
    </row>
    <row r="917" spans="1:49" x14ac:dyDescent="0.15">
      <c r="A917" s="1" t="s">
        <v>2012</v>
      </c>
      <c r="C917" s="1" t="s">
        <v>2035</v>
      </c>
      <c r="F917" s="1" t="s">
        <v>2036</v>
      </c>
      <c r="AW917" s="1" t="s">
        <v>155</v>
      </c>
    </row>
    <row r="918" spans="1:49" x14ac:dyDescent="0.15">
      <c r="A918" s="1" t="s">
        <v>2012</v>
      </c>
      <c r="C918" s="1" t="s">
        <v>2035</v>
      </c>
      <c r="K918" s="1" t="s">
        <v>2037</v>
      </c>
    </row>
    <row r="919" spans="1:49" x14ac:dyDescent="0.15">
      <c r="A919" s="1" t="s">
        <v>2012</v>
      </c>
      <c r="C919" s="1" t="s">
        <v>2038</v>
      </c>
      <c r="F919" s="1" t="s">
        <v>2039</v>
      </c>
      <c r="AW919" s="1" t="s">
        <v>155</v>
      </c>
    </row>
    <row r="920" spans="1:49" x14ac:dyDescent="0.15">
      <c r="A920" s="1" t="s">
        <v>2012</v>
      </c>
      <c r="C920" s="1" t="s">
        <v>2038</v>
      </c>
      <c r="E920" s="1" t="s">
        <v>2040</v>
      </c>
    </row>
    <row r="921" spans="1:49" x14ac:dyDescent="0.15">
      <c r="A921" s="1" t="s">
        <v>2012</v>
      </c>
      <c r="C921" s="1" t="s">
        <v>2041</v>
      </c>
      <c r="F921" s="1" t="s">
        <v>2042</v>
      </c>
      <c r="AW921" s="1" t="s">
        <v>155</v>
      </c>
    </row>
    <row r="922" spans="1:49" x14ac:dyDescent="0.15">
      <c r="A922" s="1" t="s">
        <v>2012</v>
      </c>
      <c r="C922" s="1" t="s">
        <v>2043</v>
      </c>
      <c r="F922" s="1" t="s">
        <v>2044</v>
      </c>
      <c r="AW922" s="1" t="s">
        <v>155</v>
      </c>
    </row>
    <row r="923" spans="1:49" x14ac:dyDescent="0.15">
      <c r="A923" s="1" t="s">
        <v>2012</v>
      </c>
      <c r="C923" s="1" t="s">
        <v>2045</v>
      </c>
      <c r="F923" s="1" t="s">
        <v>2046</v>
      </c>
      <c r="AW923" s="1" t="s">
        <v>155</v>
      </c>
    </row>
    <row r="924" spans="1:49" x14ac:dyDescent="0.15">
      <c r="A924" s="1" t="s">
        <v>2012</v>
      </c>
      <c r="C924" s="1" t="s">
        <v>2047</v>
      </c>
      <c r="F924" s="1" t="s">
        <v>2048</v>
      </c>
      <c r="AW924" s="1" t="s">
        <v>155</v>
      </c>
    </row>
    <row r="925" spans="1:49" x14ac:dyDescent="0.15">
      <c r="A925" s="1" t="s">
        <v>2012</v>
      </c>
      <c r="C925" s="1" t="s">
        <v>2049</v>
      </c>
      <c r="F925" s="1" t="s">
        <v>2050</v>
      </c>
      <c r="AW925" s="1" t="s">
        <v>155</v>
      </c>
    </row>
    <row r="926" spans="1:49" x14ac:dyDescent="0.15">
      <c r="A926" s="1" t="s">
        <v>2012</v>
      </c>
      <c r="C926" s="1" t="s">
        <v>2051</v>
      </c>
      <c r="F926" s="1" t="s">
        <v>2052</v>
      </c>
      <c r="AW926" s="1" t="s">
        <v>155</v>
      </c>
    </row>
    <row r="927" spans="1:49" x14ac:dyDescent="0.15">
      <c r="A927" s="1" t="s">
        <v>2012</v>
      </c>
      <c r="C927" s="1" t="s">
        <v>2053</v>
      </c>
      <c r="F927" s="1" t="s">
        <v>2054</v>
      </c>
      <c r="AW927" s="1" t="s">
        <v>155</v>
      </c>
    </row>
    <row r="928" spans="1:49" x14ac:dyDescent="0.15">
      <c r="A928" s="1" t="s">
        <v>2012</v>
      </c>
      <c r="C928" s="1" t="s">
        <v>2055</v>
      </c>
      <c r="F928" s="1" t="s">
        <v>2056</v>
      </c>
      <c r="AW928" s="1" t="s">
        <v>155</v>
      </c>
    </row>
    <row r="929" spans="1:49" x14ac:dyDescent="0.15">
      <c r="A929" s="1" t="s">
        <v>2012</v>
      </c>
      <c r="C929" s="1" t="s">
        <v>2057</v>
      </c>
      <c r="F929" s="1" t="s">
        <v>2058</v>
      </c>
      <c r="AW929" s="1" t="s">
        <v>155</v>
      </c>
    </row>
    <row r="930" spans="1:49" x14ac:dyDescent="0.15">
      <c r="A930" s="1" t="s">
        <v>2012</v>
      </c>
      <c r="C930" s="1" t="s">
        <v>2059</v>
      </c>
      <c r="F930" s="1" t="s">
        <v>2060</v>
      </c>
      <c r="AW930" s="1" t="s">
        <v>155</v>
      </c>
    </row>
    <row r="931" spans="1:49" x14ac:dyDescent="0.15">
      <c r="A931" s="1" t="s">
        <v>2012</v>
      </c>
      <c r="C931" s="1" t="s">
        <v>2061</v>
      </c>
      <c r="F931" s="1" t="s">
        <v>2062</v>
      </c>
      <c r="AW931" s="1" t="s">
        <v>155</v>
      </c>
    </row>
    <row r="932" spans="1:49" x14ac:dyDescent="0.15">
      <c r="A932" s="1" t="s">
        <v>2012</v>
      </c>
      <c r="C932" s="1" t="s">
        <v>2063</v>
      </c>
      <c r="F932" s="1" t="s">
        <v>2064</v>
      </c>
      <c r="AW932" s="1" t="s">
        <v>155</v>
      </c>
    </row>
    <row r="933" spans="1:49" x14ac:dyDescent="0.15">
      <c r="A933" s="1" t="s">
        <v>2012</v>
      </c>
      <c r="C933" s="1" t="s">
        <v>2065</v>
      </c>
      <c r="F933" s="1" t="s">
        <v>2066</v>
      </c>
      <c r="AW933" s="1" t="s">
        <v>155</v>
      </c>
    </row>
    <row r="934" spans="1:49" x14ac:dyDescent="0.15">
      <c r="A934" s="1" t="s">
        <v>2012</v>
      </c>
      <c r="C934" s="1" t="s">
        <v>2065</v>
      </c>
      <c r="K934" s="1" t="s">
        <v>2067</v>
      </c>
    </row>
    <row r="935" spans="1:49" x14ac:dyDescent="0.15">
      <c r="A935" s="1" t="s">
        <v>2012</v>
      </c>
      <c r="C935" s="1" t="s">
        <v>2068</v>
      </c>
      <c r="F935" s="1" t="s">
        <v>2069</v>
      </c>
      <c r="AW935" s="1" t="s">
        <v>155</v>
      </c>
    </row>
    <row r="936" spans="1:49" x14ac:dyDescent="0.15">
      <c r="A936" s="1" t="s">
        <v>2012</v>
      </c>
      <c r="C936" s="1" t="s">
        <v>2070</v>
      </c>
      <c r="F936" s="1" t="s">
        <v>2071</v>
      </c>
      <c r="AW936" s="1" t="s">
        <v>155</v>
      </c>
    </row>
    <row r="937" spans="1:49" x14ac:dyDescent="0.15">
      <c r="A937" s="1" t="s">
        <v>2012</v>
      </c>
      <c r="C937" s="1" t="s">
        <v>2072</v>
      </c>
      <c r="F937" s="1" t="s">
        <v>2073</v>
      </c>
      <c r="AW937" s="1" t="s">
        <v>155</v>
      </c>
    </row>
    <row r="938" spans="1:49" x14ac:dyDescent="0.15">
      <c r="A938" s="1" t="s">
        <v>2012</v>
      </c>
      <c r="C938" s="1" t="s">
        <v>2074</v>
      </c>
      <c r="F938" s="1" t="s">
        <v>2075</v>
      </c>
      <c r="AW938" s="1" t="s">
        <v>155</v>
      </c>
    </row>
    <row r="939" spans="1:49" x14ac:dyDescent="0.15">
      <c r="A939" s="1" t="s">
        <v>2012</v>
      </c>
      <c r="C939" s="1" t="s">
        <v>2076</v>
      </c>
      <c r="F939" s="1" t="s">
        <v>2077</v>
      </c>
      <c r="AW939" s="1" t="s">
        <v>0</v>
      </c>
    </row>
    <row r="940" spans="1:49" x14ac:dyDescent="0.15">
      <c r="A940" s="1" t="s">
        <v>2012</v>
      </c>
      <c r="C940" s="1" t="s">
        <v>2078</v>
      </c>
      <c r="F940" s="1" t="s">
        <v>2079</v>
      </c>
      <c r="AW940" s="1" t="s">
        <v>0</v>
      </c>
    </row>
    <row r="941" spans="1:49" x14ac:dyDescent="0.15">
      <c r="A941" s="1" t="s">
        <v>2012</v>
      </c>
      <c r="C941" s="1" t="s">
        <v>2078</v>
      </c>
      <c r="K941" s="1" t="s">
        <v>2080</v>
      </c>
    </row>
    <row r="942" spans="1:49" x14ac:dyDescent="0.15">
      <c r="A942" s="1" t="s">
        <v>2012</v>
      </c>
      <c r="C942" s="1" t="s">
        <v>2081</v>
      </c>
      <c r="F942" s="1" t="s">
        <v>2082</v>
      </c>
      <c r="AW942" s="1" t="s">
        <v>0</v>
      </c>
    </row>
    <row r="943" spans="1:49" x14ac:dyDescent="0.15">
      <c r="A943" s="1" t="s">
        <v>2012</v>
      </c>
      <c r="C943" s="1" t="s">
        <v>2083</v>
      </c>
      <c r="F943" s="1" t="s">
        <v>2084</v>
      </c>
      <c r="AW943" s="1" t="s">
        <v>0</v>
      </c>
    </row>
    <row r="944" spans="1:49" x14ac:dyDescent="0.15">
      <c r="A944" s="1" t="s">
        <v>2012</v>
      </c>
      <c r="C944" s="1" t="s">
        <v>2083</v>
      </c>
      <c r="E944" s="1" t="s">
        <v>2085</v>
      </c>
    </row>
    <row r="945" spans="1:49" x14ac:dyDescent="0.15">
      <c r="A945" s="1" t="s">
        <v>2012</v>
      </c>
      <c r="C945" s="1" t="s">
        <v>2086</v>
      </c>
      <c r="F945" s="1" t="s">
        <v>2087</v>
      </c>
      <c r="AW945" s="1" t="s">
        <v>0</v>
      </c>
    </row>
    <row r="946" spans="1:49" x14ac:dyDescent="0.15">
      <c r="A946" s="1" t="s">
        <v>2012</v>
      </c>
      <c r="C946" s="1" t="s">
        <v>2088</v>
      </c>
      <c r="F946" s="1" t="s">
        <v>2089</v>
      </c>
      <c r="AW946" s="1" t="s">
        <v>0</v>
      </c>
    </row>
    <row r="947" spans="1:49" x14ac:dyDescent="0.15">
      <c r="A947" s="1" t="s">
        <v>2012</v>
      </c>
      <c r="C947" s="1" t="s">
        <v>3</v>
      </c>
      <c r="K947" s="1" t="s">
        <v>2090</v>
      </c>
    </row>
    <row r="948" spans="1:49" x14ac:dyDescent="0.15">
      <c r="A948" s="1" t="s">
        <v>2012</v>
      </c>
      <c r="C948" s="1" t="s">
        <v>2091</v>
      </c>
      <c r="F948" s="1" t="s">
        <v>2092</v>
      </c>
      <c r="AW948" s="1" t="s">
        <v>0</v>
      </c>
    </row>
    <row r="949" spans="1:49" x14ac:dyDescent="0.15">
      <c r="A949" s="1" t="s">
        <v>2012</v>
      </c>
      <c r="C949" s="1" t="s">
        <v>2093</v>
      </c>
      <c r="F949" s="1" t="s">
        <v>2094</v>
      </c>
      <c r="AW949" s="1" t="s">
        <v>0</v>
      </c>
    </row>
    <row r="950" spans="1:49" x14ac:dyDescent="0.15">
      <c r="A950" s="1" t="s">
        <v>2012</v>
      </c>
      <c r="C950" s="1" t="s">
        <v>2093</v>
      </c>
      <c r="K950" s="1" t="s">
        <v>2095</v>
      </c>
    </row>
    <row r="951" spans="1:49" x14ac:dyDescent="0.15">
      <c r="A951" s="1" t="s">
        <v>2012</v>
      </c>
      <c r="C951" s="1" t="s">
        <v>2096</v>
      </c>
      <c r="F951" s="1" t="s">
        <v>2097</v>
      </c>
      <c r="AW951" s="1" t="s">
        <v>0</v>
      </c>
    </row>
    <row r="952" spans="1:49" x14ac:dyDescent="0.15">
      <c r="A952" s="1" t="s">
        <v>2012</v>
      </c>
      <c r="C952" s="1" t="s">
        <v>2098</v>
      </c>
      <c r="F952" s="1" t="s">
        <v>2099</v>
      </c>
      <c r="AW952" s="1" t="s">
        <v>80</v>
      </c>
    </row>
    <row r="953" spans="1:49" x14ac:dyDescent="0.15">
      <c r="A953" s="1" t="s">
        <v>2012</v>
      </c>
      <c r="C953" s="1" t="s">
        <v>2100</v>
      </c>
      <c r="F953" s="1" t="s">
        <v>2101</v>
      </c>
      <c r="AW953" s="1" t="s">
        <v>0</v>
      </c>
    </row>
    <row r="954" spans="1:49" x14ac:dyDescent="0.15">
      <c r="A954" s="1" t="s">
        <v>2012</v>
      </c>
      <c r="C954" s="1" t="s">
        <v>2102</v>
      </c>
      <c r="F954" s="1" t="s">
        <v>2103</v>
      </c>
      <c r="AW954" s="1" t="s">
        <v>0</v>
      </c>
    </row>
    <row r="955" spans="1:49" x14ac:dyDescent="0.15">
      <c r="A955" s="1" t="s">
        <v>2012</v>
      </c>
      <c r="C955" s="1" t="s">
        <v>2104</v>
      </c>
      <c r="F955" s="1" t="s">
        <v>2105</v>
      </c>
      <c r="AW955" s="1" t="s">
        <v>0</v>
      </c>
    </row>
    <row r="956" spans="1:49" x14ac:dyDescent="0.15">
      <c r="A956" s="1" t="s">
        <v>2012</v>
      </c>
      <c r="C956" s="1" t="s">
        <v>2104</v>
      </c>
      <c r="K956" s="1" t="s">
        <v>2106</v>
      </c>
    </row>
    <row r="957" spans="1:49" x14ac:dyDescent="0.15">
      <c r="A957" s="1" t="s">
        <v>2012</v>
      </c>
      <c r="C957" s="1" t="s">
        <v>2107</v>
      </c>
      <c r="F957" s="1" t="s">
        <v>2108</v>
      </c>
      <c r="AW957" s="1" t="s">
        <v>0</v>
      </c>
    </row>
    <row r="958" spans="1:49" x14ac:dyDescent="0.15">
      <c r="A958" s="1" t="s">
        <v>2012</v>
      </c>
      <c r="C958" s="1" t="s">
        <v>2107</v>
      </c>
      <c r="E958" s="1" t="s">
        <v>2109</v>
      </c>
    </row>
    <row r="959" spans="1:49" x14ac:dyDescent="0.15">
      <c r="A959" s="1" t="s">
        <v>2012</v>
      </c>
      <c r="C959" s="1" t="s">
        <v>2110</v>
      </c>
      <c r="E959" s="1" t="s">
        <v>2111</v>
      </c>
    </row>
    <row r="960" spans="1:49" x14ac:dyDescent="0.15">
      <c r="A960" s="1" t="s">
        <v>2012</v>
      </c>
      <c r="C960" s="1" t="s">
        <v>2112</v>
      </c>
      <c r="F960" s="1" t="s">
        <v>2113</v>
      </c>
      <c r="AW960" s="1" t="s">
        <v>0</v>
      </c>
    </row>
    <row r="961" spans="1:49" x14ac:dyDescent="0.15">
      <c r="A961" s="1" t="s">
        <v>2012</v>
      </c>
      <c r="C961" s="1" t="s">
        <v>2114</v>
      </c>
      <c r="F961" s="1" t="s">
        <v>2115</v>
      </c>
      <c r="AW961" s="1" t="s">
        <v>0</v>
      </c>
    </row>
    <row r="962" spans="1:49" x14ac:dyDescent="0.15">
      <c r="A962" s="1" t="s">
        <v>2012</v>
      </c>
      <c r="C962" s="1" t="s">
        <v>2116</v>
      </c>
      <c r="F962" s="1" t="s">
        <v>2117</v>
      </c>
      <c r="AW962" s="1" t="s">
        <v>0</v>
      </c>
    </row>
    <row r="963" spans="1:49" x14ac:dyDescent="0.15">
      <c r="A963" s="1" t="s">
        <v>2012</v>
      </c>
      <c r="C963" s="1" t="s">
        <v>2118</v>
      </c>
      <c r="F963" s="1" t="s">
        <v>2119</v>
      </c>
      <c r="AW963" s="1" t="s">
        <v>0</v>
      </c>
    </row>
    <row r="964" spans="1:49" x14ac:dyDescent="0.15">
      <c r="A964" s="1" t="s">
        <v>2012</v>
      </c>
      <c r="C964" s="1" t="s">
        <v>2120</v>
      </c>
      <c r="F964" s="1" t="s">
        <v>2121</v>
      </c>
      <c r="AW964" s="1" t="s">
        <v>0</v>
      </c>
    </row>
    <row r="965" spans="1:49" x14ac:dyDescent="0.15">
      <c r="A965" s="1" t="s">
        <v>2012</v>
      </c>
      <c r="C965" s="1" t="s">
        <v>2122</v>
      </c>
      <c r="F965" s="1" t="s">
        <v>2123</v>
      </c>
      <c r="AW965" s="1" t="s">
        <v>0</v>
      </c>
    </row>
    <row r="966" spans="1:49" x14ac:dyDescent="0.15">
      <c r="A966" s="1" t="s">
        <v>2012</v>
      </c>
      <c r="C966" s="1" t="s">
        <v>2122</v>
      </c>
      <c r="E966" s="1" t="s">
        <v>2124</v>
      </c>
    </row>
    <row r="967" spans="1:49" x14ac:dyDescent="0.15">
      <c r="A967" s="1" t="s">
        <v>2012</v>
      </c>
      <c r="C967" s="1" t="s">
        <v>2125</v>
      </c>
      <c r="F967" s="1" t="s">
        <v>2126</v>
      </c>
      <c r="AW967" s="1" t="s">
        <v>0</v>
      </c>
    </row>
    <row r="968" spans="1:49" x14ac:dyDescent="0.15">
      <c r="A968" s="1" t="s">
        <v>2012</v>
      </c>
      <c r="C968" s="1" t="s">
        <v>2127</v>
      </c>
      <c r="F968" s="1" t="s">
        <v>2128</v>
      </c>
      <c r="AW968" s="1" t="s">
        <v>0</v>
      </c>
    </row>
    <row r="969" spans="1:49" x14ac:dyDescent="0.15">
      <c r="A969" s="1" t="s">
        <v>2012</v>
      </c>
      <c r="C969" s="1" t="s">
        <v>2127</v>
      </c>
      <c r="K969" s="1" t="s">
        <v>2129</v>
      </c>
    </row>
    <row r="970" spans="1:49" x14ac:dyDescent="0.15">
      <c r="A970" s="1" t="s">
        <v>2012</v>
      </c>
      <c r="C970" s="1" t="s">
        <v>2127</v>
      </c>
      <c r="E970" s="1" t="s">
        <v>2130</v>
      </c>
    </row>
    <row r="971" spans="1:49" x14ac:dyDescent="0.15">
      <c r="A971" s="1" t="s">
        <v>2012</v>
      </c>
      <c r="C971" s="1" t="s">
        <v>2131</v>
      </c>
      <c r="K971" s="1" t="s">
        <v>2132</v>
      </c>
    </row>
    <row r="972" spans="1:49" x14ac:dyDescent="0.15">
      <c r="A972" s="1" t="s">
        <v>2012</v>
      </c>
      <c r="C972" s="1" t="s">
        <v>2133</v>
      </c>
      <c r="F972" s="1" t="s">
        <v>2134</v>
      </c>
      <c r="AW972" s="1" t="s">
        <v>0</v>
      </c>
    </row>
    <row r="973" spans="1:49" x14ac:dyDescent="0.15">
      <c r="A973" s="1" t="s">
        <v>2012</v>
      </c>
      <c r="C973" s="1" t="s">
        <v>2135</v>
      </c>
      <c r="F973" s="1" t="s">
        <v>2136</v>
      </c>
      <c r="AW973" s="1" t="s">
        <v>0</v>
      </c>
    </row>
    <row r="974" spans="1:49" x14ac:dyDescent="0.15">
      <c r="A974" s="1" t="s">
        <v>2012</v>
      </c>
      <c r="C974" s="1" t="s">
        <v>2137</v>
      </c>
      <c r="F974" s="1" t="s">
        <v>2138</v>
      </c>
      <c r="AW974" s="1" t="s">
        <v>0</v>
      </c>
    </row>
    <row r="975" spans="1:49" x14ac:dyDescent="0.15">
      <c r="A975" s="1" t="s">
        <v>2012</v>
      </c>
      <c r="C975" s="1" t="s">
        <v>2139</v>
      </c>
      <c r="F975" s="1" t="s">
        <v>2140</v>
      </c>
      <c r="AW975" s="1" t="s">
        <v>0</v>
      </c>
    </row>
    <row r="976" spans="1:49" x14ac:dyDescent="0.15">
      <c r="A976" s="1" t="s">
        <v>2012</v>
      </c>
      <c r="C976" s="1" t="s">
        <v>2139</v>
      </c>
      <c r="E976" s="1" t="s">
        <v>2141</v>
      </c>
    </row>
    <row r="977" spans="1:49" x14ac:dyDescent="0.15">
      <c r="A977" s="1" t="s">
        <v>2012</v>
      </c>
      <c r="C977" s="1" t="s">
        <v>2142</v>
      </c>
      <c r="F977" s="1" t="s">
        <v>2143</v>
      </c>
      <c r="AW977" s="1" t="s">
        <v>0</v>
      </c>
    </row>
    <row r="978" spans="1:49" x14ac:dyDescent="0.15">
      <c r="A978" s="1" t="s">
        <v>2012</v>
      </c>
      <c r="C978" s="1" t="s">
        <v>2144</v>
      </c>
      <c r="F978" s="1" t="s">
        <v>2145</v>
      </c>
      <c r="AW978" s="1" t="s">
        <v>0</v>
      </c>
    </row>
    <row r="979" spans="1:49" x14ac:dyDescent="0.15">
      <c r="A979" s="1" t="s">
        <v>2012</v>
      </c>
      <c r="C979" s="1" t="s">
        <v>2146</v>
      </c>
      <c r="F979" s="1" t="s">
        <v>2147</v>
      </c>
      <c r="AW979" s="1" t="s">
        <v>0</v>
      </c>
    </row>
    <row r="980" spans="1:49" x14ac:dyDescent="0.15">
      <c r="A980" s="1" t="s">
        <v>2012</v>
      </c>
      <c r="C980" s="1" t="s">
        <v>2146</v>
      </c>
      <c r="E980" s="1" t="s">
        <v>2148</v>
      </c>
    </row>
    <row r="981" spans="1:49" x14ac:dyDescent="0.15">
      <c r="A981" s="1" t="s">
        <v>2012</v>
      </c>
      <c r="C981" s="1" t="s">
        <v>2149</v>
      </c>
      <c r="F981" s="1" t="s">
        <v>2150</v>
      </c>
      <c r="AW981" s="1" t="s">
        <v>0</v>
      </c>
    </row>
    <row r="982" spans="1:49" x14ac:dyDescent="0.15">
      <c r="A982" s="1" t="s">
        <v>2012</v>
      </c>
      <c r="C982" s="1" t="s">
        <v>2149</v>
      </c>
      <c r="E982" s="1" t="s">
        <v>2151</v>
      </c>
    </row>
    <row r="983" spans="1:49" x14ac:dyDescent="0.15">
      <c r="A983" s="1" t="s">
        <v>2012</v>
      </c>
      <c r="C983" s="1" t="s">
        <v>2152</v>
      </c>
      <c r="F983" s="1" t="s">
        <v>2153</v>
      </c>
      <c r="AW983" s="1" t="s">
        <v>0</v>
      </c>
    </row>
    <row r="984" spans="1:49" x14ac:dyDescent="0.15">
      <c r="A984" s="1" t="s">
        <v>2012</v>
      </c>
      <c r="C984" s="1" t="s">
        <v>2154</v>
      </c>
      <c r="F984" s="1" t="s">
        <v>2155</v>
      </c>
      <c r="AW984" s="1" t="s">
        <v>0</v>
      </c>
    </row>
    <row r="985" spans="1:49" x14ac:dyDescent="0.15">
      <c r="A985" s="1" t="s">
        <v>2012</v>
      </c>
      <c r="C985" s="1" t="s">
        <v>2156</v>
      </c>
      <c r="F985" s="1" t="s">
        <v>2157</v>
      </c>
      <c r="AW985" s="1" t="s">
        <v>0</v>
      </c>
    </row>
    <row r="986" spans="1:49" x14ac:dyDescent="0.15">
      <c r="A986" s="1" t="s">
        <v>2012</v>
      </c>
      <c r="C986" s="1" t="s">
        <v>2158</v>
      </c>
      <c r="F986" s="1" t="s">
        <v>2159</v>
      </c>
      <c r="AW986" s="1" t="s">
        <v>0</v>
      </c>
    </row>
    <row r="987" spans="1:49" x14ac:dyDescent="0.15">
      <c r="A987" s="1" t="s">
        <v>2012</v>
      </c>
      <c r="C987" s="1" t="s">
        <v>2158</v>
      </c>
      <c r="K987" s="1" t="s">
        <v>2160</v>
      </c>
    </row>
    <row r="988" spans="1:49" x14ac:dyDescent="0.15">
      <c r="A988" s="1" t="s">
        <v>2012</v>
      </c>
      <c r="C988" s="1" t="s">
        <v>2161</v>
      </c>
      <c r="F988" s="1" t="s">
        <v>2162</v>
      </c>
      <c r="AW988" s="1" t="s">
        <v>0</v>
      </c>
    </row>
    <row r="989" spans="1:49" x14ac:dyDescent="0.15">
      <c r="A989" s="1" t="s">
        <v>2012</v>
      </c>
      <c r="C989" s="1" t="s">
        <v>2163</v>
      </c>
      <c r="F989" s="1" t="s">
        <v>2164</v>
      </c>
      <c r="AW989" s="1" t="s">
        <v>0</v>
      </c>
    </row>
    <row r="990" spans="1:49" x14ac:dyDescent="0.15">
      <c r="A990" s="1" t="s">
        <v>2012</v>
      </c>
      <c r="C990" s="1" t="s">
        <v>2165</v>
      </c>
      <c r="F990" s="1" t="s">
        <v>2166</v>
      </c>
      <c r="AW990" s="1" t="s">
        <v>0</v>
      </c>
    </row>
    <row r="991" spans="1:49" x14ac:dyDescent="0.15">
      <c r="A991" s="1" t="s">
        <v>2012</v>
      </c>
      <c r="C991" s="1" t="s">
        <v>2167</v>
      </c>
      <c r="F991" s="1" t="s">
        <v>2168</v>
      </c>
      <c r="AW991" s="1" t="s">
        <v>0</v>
      </c>
    </row>
    <row r="992" spans="1:49" x14ac:dyDescent="0.15">
      <c r="A992" s="1" t="s">
        <v>2012</v>
      </c>
      <c r="C992" s="1" t="s">
        <v>2169</v>
      </c>
      <c r="F992" s="1" t="s">
        <v>2170</v>
      </c>
      <c r="AW992" s="1" t="s">
        <v>0</v>
      </c>
    </row>
    <row r="993" spans="1:49" x14ac:dyDescent="0.15">
      <c r="A993" s="1" t="s">
        <v>2012</v>
      </c>
      <c r="C993" s="1" t="s">
        <v>2171</v>
      </c>
      <c r="F993" s="1" t="s">
        <v>2172</v>
      </c>
      <c r="AW993" s="1" t="s">
        <v>0</v>
      </c>
    </row>
    <row r="994" spans="1:49" x14ac:dyDescent="0.15">
      <c r="A994" s="1" t="s">
        <v>2012</v>
      </c>
      <c r="C994" s="1" t="s">
        <v>2173</v>
      </c>
      <c r="F994" s="1" t="s">
        <v>2174</v>
      </c>
      <c r="AW994" s="1" t="s">
        <v>0</v>
      </c>
    </row>
    <row r="995" spans="1:49" x14ac:dyDescent="0.15">
      <c r="A995" s="1" t="s">
        <v>2012</v>
      </c>
      <c r="C995" s="1" t="s">
        <v>2173</v>
      </c>
      <c r="E995" s="1" t="s">
        <v>2175</v>
      </c>
    </row>
    <row r="996" spans="1:49" x14ac:dyDescent="0.15">
      <c r="A996" s="1" t="s">
        <v>2012</v>
      </c>
      <c r="C996" s="1" t="s">
        <v>2176</v>
      </c>
      <c r="F996" s="1" t="s">
        <v>2177</v>
      </c>
      <c r="AW996" s="1" t="s">
        <v>0</v>
      </c>
    </row>
    <row r="997" spans="1:49" x14ac:dyDescent="0.15">
      <c r="A997" s="1" t="s">
        <v>2012</v>
      </c>
      <c r="C997" s="1" t="s">
        <v>2178</v>
      </c>
      <c r="F997" s="1" t="s">
        <v>2179</v>
      </c>
      <c r="AW997" s="1" t="s">
        <v>0</v>
      </c>
    </row>
    <row r="998" spans="1:49" x14ac:dyDescent="0.15">
      <c r="A998" s="1" t="s">
        <v>2012</v>
      </c>
      <c r="C998" s="1" t="s">
        <v>2180</v>
      </c>
      <c r="F998" s="1" t="s">
        <v>2181</v>
      </c>
      <c r="AW998" s="1" t="s">
        <v>0</v>
      </c>
    </row>
    <row r="999" spans="1:49" x14ac:dyDescent="0.15">
      <c r="A999" s="1" t="s">
        <v>2012</v>
      </c>
      <c r="C999" s="1" t="s">
        <v>2182</v>
      </c>
      <c r="F999" s="1" t="s">
        <v>2183</v>
      </c>
      <c r="AW999" s="1" t="s">
        <v>0</v>
      </c>
    </row>
    <row r="1000" spans="1:49" x14ac:dyDescent="0.15">
      <c r="A1000" s="1" t="s">
        <v>2012</v>
      </c>
      <c r="C1000" s="1" t="s">
        <v>2184</v>
      </c>
      <c r="F1000" s="1" t="s">
        <v>2185</v>
      </c>
      <c r="AW1000" s="1" t="s">
        <v>0</v>
      </c>
    </row>
    <row r="1001" spans="1:49" x14ac:dyDescent="0.15">
      <c r="A1001" s="1" t="s">
        <v>2012</v>
      </c>
      <c r="C1001" s="1" t="s">
        <v>2186</v>
      </c>
      <c r="E1001" s="1" t="s">
        <v>2187</v>
      </c>
      <c r="F1001" s="1" t="s">
        <v>18</v>
      </c>
      <c r="AG1001" s="1" t="s">
        <v>2188</v>
      </c>
    </row>
    <row r="1002" spans="1:49" x14ac:dyDescent="0.15">
      <c r="A1002" s="1" t="s">
        <v>2012</v>
      </c>
      <c r="C1002" s="1" t="s">
        <v>2189</v>
      </c>
      <c r="F1002" s="1" t="s">
        <v>2190</v>
      </c>
      <c r="AW1002" s="1" t="s">
        <v>0</v>
      </c>
    </row>
    <row r="1003" spans="1:49" x14ac:dyDescent="0.15">
      <c r="A1003" s="1" t="s">
        <v>2012</v>
      </c>
      <c r="C1003" s="1" t="s">
        <v>2191</v>
      </c>
      <c r="F1003" s="1" t="s">
        <v>2192</v>
      </c>
      <c r="AW1003" s="1" t="s">
        <v>0</v>
      </c>
    </row>
    <row r="1004" spans="1:49" x14ac:dyDescent="0.15">
      <c r="A1004" s="1" t="s">
        <v>2012</v>
      </c>
      <c r="C1004" s="1" t="s">
        <v>2193</v>
      </c>
      <c r="F1004" s="1" t="s">
        <v>2194</v>
      </c>
      <c r="AW1004" s="1" t="s">
        <v>0</v>
      </c>
    </row>
    <row r="1005" spans="1:49" x14ac:dyDescent="0.15">
      <c r="A1005" s="1" t="s">
        <v>2012</v>
      </c>
      <c r="C1005" s="1" t="s">
        <v>2195</v>
      </c>
      <c r="F1005" s="1" t="s">
        <v>2196</v>
      </c>
      <c r="AW1005" s="1" t="s">
        <v>0</v>
      </c>
    </row>
    <row r="1006" spans="1:49" x14ac:dyDescent="0.15">
      <c r="A1006" s="1" t="s">
        <v>2012</v>
      </c>
      <c r="C1006" s="1" t="s">
        <v>2197</v>
      </c>
      <c r="F1006" s="1" t="s">
        <v>2198</v>
      </c>
      <c r="AW1006" s="1" t="s">
        <v>0</v>
      </c>
    </row>
    <row r="1007" spans="1:49" x14ac:dyDescent="0.15">
      <c r="A1007" s="1" t="s">
        <v>2012</v>
      </c>
      <c r="C1007" s="1" t="s">
        <v>2199</v>
      </c>
      <c r="F1007" s="1" t="s">
        <v>2200</v>
      </c>
      <c r="AW1007" s="1" t="s">
        <v>0</v>
      </c>
    </row>
    <row r="1008" spans="1:49" x14ac:dyDescent="0.15">
      <c r="A1008" s="1" t="s">
        <v>2012</v>
      </c>
      <c r="C1008" s="1" t="s">
        <v>2201</v>
      </c>
      <c r="F1008" s="1" t="s">
        <v>2202</v>
      </c>
      <c r="AW1008" s="1" t="s">
        <v>0</v>
      </c>
    </row>
    <row r="1009" spans="1:49" x14ac:dyDescent="0.15">
      <c r="A1009" s="1" t="s">
        <v>2012</v>
      </c>
      <c r="C1009" s="1" t="s">
        <v>2203</v>
      </c>
      <c r="F1009" s="1" t="s">
        <v>2204</v>
      </c>
      <c r="AW1009" s="1" t="s">
        <v>0</v>
      </c>
    </row>
    <row r="1010" spans="1:49" x14ac:dyDescent="0.15">
      <c r="A1010" s="1" t="s">
        <v>2012</v>
      </c>
      <c r="C1010" s="1" t="s">
        <v>2205</v>
      </c>
      <c r="F1010" s="1" t="s">
        <v>2206</v>
      </c>
      <c r="AW1010" s="1" t="s">
        <v>0</v>
      </c>
    </row>
    <row r="1011" spans="1:49" x14ac:dyDescent="0.15">
      <c r="A1011" s="1" t="s">
        <v>2012</v>
      </c>
      <c r="C1011" s="1" t="s">
        <v>19</v>
      </c>
      <c r="AW1011" s="1" t="s">
        <v>0</v>
      </c>
    </row>
    <row r="1012" spans="1:49" x14ac:dyDescent="0.15">
      <c r="A1012" s="1" t="s">
        <v>2012</v>
      </c>
      <c r="C1012" s="1" t="s">
        <v>2207</v>
      </c>
      <c r="F1012" s="1" t="s">
        <v>2208</v>
      </c>
      <c r="AW1012" s="1" t="s">
        <v>0</v>
      </c>
    </row>
    <row r="1013" spans="1:49" x14ac:dyDescent="0.15">
      <c r="A1013" s="1" t="s">
        <v>2012</v>
      </c>
      <c r="C1013" s="1" t="s">
        <v>2209</v>
      </c>
      <c r="F1013" s="1" t="s">
        <v>2210</v>
      </c>
      <c r="AW1013" s="1" t="s">
        <v>0</v>
      </c>
    </row>
    <row r="1014" spans="1:49" x14ac:dyDescent="0.15">
      <c r="A1014" s="1" t="s">
        <v>2012</v>
      </c>
      <c r="C1014" s="1" t="s">
        <v>2211</v>
      </c>
      <c r="F1014" s="1" t="s">
        <v>2212</v>
      </c>
      <c r="AW1014" s="1" t="s">
        <v>0</v>
      </c>
    </row>
    <row r="1015" spans="1:49" x14ac:dyDescent="0.15">
      <c r="A1015" s="1" t="s">
        <v>2012</v>
      </c>
      <c r="C1015" s="1" t="s">
        <v>2213</v>
      </c>
      <c r="F1015" s="1" t="s">
        <v>2214</v>
      </c>
      <c r="AW1015" s="1" t="s">
        <v>0</v>
      </c>
    </row>
    <row r="1016" spans="1:49" x14ac:dyDescent="0.15">
      <c r="A1016" s="1" t="s">
        <v>2012</v>
      </c>
      <c r="C1016" s="1" t="s">
        <v>2215</v>
      </c>
      <c r="F1016" s="1" t="s">
        <v>2216</v>
      </c>
      <c r="AW1016" s="1" t="s">
        <v>0</v>
      </c>
    </row>
    <row r="1017" spans="1:49" x14ac:dyDescent="0.15">
      <c r="A1017" s="1" t="s">
        <v>2012</v>
      </c>
      <c r="C1017" s="1" t="s">
        <v>2217</v>
      </c>
      <c r="F1017" s="1" t="s">
        <v>2218</v>
      </c>
      <c r="AW1017" s="1" t="s">
        <v>80</v>
      </c>
    </row>
    <row r="1018" spans="1:49" x14ac:dyDescent="0.15">
      <c r="A1018" s="1" t="s">
        <v>2012</v>
      </c>
      <c r="C1018" s="1" t="s">
        <v>2219</v>
      </c>
      <c r="F1018" s="1" t="s">
        <v>2220</v>
      </c>
      <c r="AW1018" s="1" t="s">
        <v>0</v>
      </c>
    </row>
    <row r="1019" spans="1:49" x14ac:dyDescent="0.15">
      <c r="A1019" s="1" t="s">
        <v>2012</v>
      </c>
      <c r="C1019" s="1" t="s">
        <v>2221</v>
      </c>
      <c r="F1019" s="1" t="s">
        <v>2222</v>
      </c>
      <c r="AW1019" s="1" t="s">
        <v>0</v>
      </c>
    </row>
    <row r="1020" spans="1:49" x14ac:dyDescent="0.15">
      <c r="A1020" s="1" t="s">
        <v>2012</v>
      </c>
      <c r="C1020" s="1" t="s">
        <v>2221</v>
      </c>
      <c r="E1020" s="1" t="s">
        <v>2223</v>
      </c>
    </row>
    <row r="1021" spans="1:49" x14ac:dyDescent="0.15">
      <c r="A1021" s="1" t="s">
        <v>2012</v>
      </c>
      <c r="C1021" s="1" t="s">
        <v>2224</v>
      </c>
      <c r="F1021" s="1" t="s">
        <v>2225</v>
      </c>
      <c r="AW1021" s="1" t="s">
        <v>0</v>
      </c>
    </row>
    <row r="1022" spans="1:49" x14ac:dyDescent="0.15">
      <c r="A1022" s="1" t="s">
        <v>2012</v>
      </c>
      <c r="C1022" s="1" t="s">
        <v>2226</v>
      </c>
      <c r="F1022" s="1" t="s">
        <v>2227</v>
      </c>
      <c r="AW1022" s="1" t="s">
        <v>0</v>
      </c>
    </row>
    <row r="1023" spans="1:49" x14ac:dyDescent="0.15">
      <c r="A1023" s="1" t="s">
        <v>2012</v>
      </c>
      <c r="C1023" s="1" t="s">
        <v>2228</v>
      </c>
      <c r="F1023" s="1" t="s">
        <v>2229</v>
      </c>
      <c r="AW1023" s="1" t="s">
        <v>0</v>
      </c>
    </row>
    <row r="1024" spans="1:49" x14ac:dyDescent="0.15">
      <c r="A1024" s="1" t="s">
        <v>2012</v>
      </c>
      <c r="C1024" s="1" t="s">
        <v>2230</v>
      </c>
      <c r="F1024" s="1" t="s">
        <v>2231</v>
      </c>
      <c r="AW1024" s="1" t="s">
        <v>0</v>
      </c>
    </row>
    <row r="1025" spans="1:49" x14ac:dyDescent="0.15">
      <c r="A1025" s="1" t="s">
        <v>2012</v>
      </c>
      <c r="C1025" s="1" t="s">
        <v>2232</v>
      </c>
      <c r="F1025" s="1" t="s">
        <v>2233</v>
      </c>
      <c r="AW1025" s="1" t="s">
        <v>0</v>
      </c>
    </row>
    <row r="1026" spans="1:49" x14ac:dyDescent="0.15">
      <c r="A1026" s="1" t="s">
        <v>2012</v>
      </c>
      <c r="C1026" s="1" t="s">
        <v>2234</v>
      </c>
      <c r="F1026" s="1" t="s">
        <v>2235</v>
      </c>
      <c r="AW1026" s="1" t="s">
        <v>0</v>
      </c>
    </row>
    <row r="1027" spans="1:49" x14ac:dyDescent="0.15">
      <c r="A1027" s="1" t="s">
        <v>2012</v>
      </c>
      <c r="C1027" s="1" t="s">
        <v>2236</v>
      </c>
      <c r="F1027" s="1" t="s">
        <v>2237</v>
      </c>
      <c r="AW1027" s="1" t="s">
        <v>0</v>
      </c>
    </row>
    <row r="1028" spans="1:49" x14ac:dyDescent="0.15">
      <c r="A1028" s="1" t="s">
        <v>2012</v>
      </c>
      <c r="C1028" s="1" t="s">
        <v>2238</v>
      </c>
      <c r="F1028" s="1" t="s">
        <v>2239</v>
      </c>
      <c r="AW1028" s="1" t="s">
        <v>0</v>
      </c>
    </row>
    <row r="1029" spans="1:49" x14ac:dyDescent="0.15">
      <c r="A1029" s="1" t="s">
        <v>2012</v>
      </c>
      <c r="C1029" s="1" t="s">
        <v>2240</v>
      </c>
      <c r="F1029" s="1" t="s">
        <v>2241</v>
      </c>
      <c r="AW1029" s="1" t="s">
        <v>0</v>
      </c>
    </row>
    <row r="1030" spans="1:49" x14ac:dyDescent="0.15">
      <c r="A1030" s="1" t="s">
        <v>2012</v>
      </c>
      <c r="C1030" s="1" t="s">
        <v>2240</v>
      </c>
      <c r="E1030" s="1" t="s">
        <v>2242</v>
      </c>
    </row>
    <row r="1031" spans="1:49" x14ac:dyDescent="0.15">
      <c r="A1031" s="1" t="s">
        <v>2012</v>
      </c>
      <c r="C1031" s="1" t="s">
        <v>2243</v>
      </c>
      <c r="F1031" s="1" t="s">
        <v>2244</v>
      </c>
      <c r="AW1031" s="1" t="s">
        <v>0</v>
      </c>
    </row>
    <row r="1032" spans="1:49" x14ac:dyDescent="0.15">
      <c r="A1032" s="1" t="s">
        <v>2012</v>
      </c>
      <c r="C1032" s="1" t="s">
        <v>2245</v>
      </c>
      <c r="F1032" s="1" t="s">
        <v>2246</v>
      </c>
      <c r="AW1032" s="1" t="s">
        <v>0</v>
      </c>
    </row>
    <row r="1033" spans="1:49" x14ac:dyDescent="0.15">
      <c r="A1033" s="1" t="s">
        <v>2012</v>
      </c>
      <c r="C1033" s="1" t="s">
        <v>2247</v>
      </c>
      <c r="F1033" s="1" t="s">
        <v>2248</v>
      </c>
      <c r="AW1033" s="1" t="s">
        <v>0</v>
      </c>
    </row>
    <row r="1034" spans="1:49" x14ac:dyDescent="0.15">
      <c r="A1034" s="1" t="s">
        <v>2012</v>
      </c>
      <c r="C1034" s="1" t="s">
        <v>2249</v>
      </c>
      <c r="F1034" s="1" t="s">
        <v>2250</v>
      </c>
      <c r="AW1034" s="1" t="s">
        <v>0</v>
      </c>
    </row>
    <row r="1035" spans="1:49" x14ac:dyDescent="0.15">
      <c r="A1035" s="1" t="s">
        <v>2012</v>
      </c>
      <c r="C1035" s="1" t="s">
        <v>2251</v>
      </c>
      <c r="F1035" s="1" t="s">
        <v>2252</v>
      </c>
      <c r="AW1035" s="1" t="s">
        <v>0</v>
      </c>
    </row>
    <row r="1036" spans="1:49" x14ac:dyDescent="0.15">
      <c r="A1036" s="1" t="s">
        <v>2012</v>
      </c>
      <c r="C1036" s="1" t="s">
        <v>2253</v>
      </c>
      <c r="F1036" s="1" t="s">
        <v>2254</v>
      </c>
      <c r="AW1036" s="1" t="s">
        <v>0</v>
      </c>
    </row>
    <row r="1037" spans="1:49" x14ac:dyDescent="0.15">
      <c r="A1037" s="1" t="s">
        <v>2012</v>
      </c>
      <c r="C1037" s="1" t="s">
        <v>2253</v>
      </c>
      <c r="E1037" s="1" t="s">
        <v>2255</v>
      </c>
    </row>
    <row r="1038" spans="1:49" x14ac:dyDescent="0.15">
      <c r="A1038" s="1" t="s">
        <v>2012</v>
      </c>
      <c r="C1038" s="1" t="s">
        <v>2256</v>
      </c>
      <c r="F1038" s="1" t="s">
        <v>2257</v>
      </c>
      <c r="AW1038" s="1" t="s">
        <v>0</v>
      </c>
    </row>
    <row r="1039" spans="1:49" x14ac:dyDescent="0.15">
      <c r="A1039" s="1" t="s">
        <v>2012</v>
      </c>
      <c r="C1039" s="1" t="s">
        <v>2258</v>
      </c>
      <c r="F1039" s="1" t="s">
        <v>2259</v>
      </c>
      <c r="AW1039" s="1" t="s">
        <v>0</v>
      </c>
    </row>
    <row r="1040" spans="1:49" x14ac:dyDescent="0.15">
      <c r="A1040" s="1" t="s">
        <v>2012</v>
      </c>
      <c r="C1040" s="1" t="s">
        <v>2260</v>
      </c>
      <c r="F1040" s="1" t="s">
        <v>2261</v>
      </c>
      <c r="AW1040" s="1" t="s">
        <v>0</v>
      </c>
    </row>
    <row r="1041" spans="1:49" x14ac:dyDescent="0.15">
      <c r="A1041" s="1" t="s">
        <v>2012</v>
      </c>
      <c r="C1041" s="1" t="s">
        <v>2260</v>
      </c>
      <c r="K1041" s="1" t="s">
        <v>2262</v>
      </c>
    </row>
    <row r="1042" spans="1:49" x14ac:dyDescent="0.15">
      <c r="A1042" s="1" t="s">
        <v>2012</v>
      </c>
      <c r="C1042" s="1" t="s">
        <v>2263</v>
      </c>
      <c r="F1042" s="1" t="s">
        <v>2264</v>
      </c>
      <c r="AW1042" s="1" t="s">
        <v>0</v>
      </c>
    </row>
    <row r="1043" spans="1:49" x14ac:dyDescent="0.15">
      <c r="A1043" s="1" t="s">
        <v>2012</v>
      </c>
      <c r="C1043" s="1" t="s">
        <v>2263</v>
      </c>
      <c r="E1043" s="1" t="s">
        <v>2265</v>
      </c>
    </row>
    <row r="1044" spans="1:49" x14ac:dyDescent="0.15">
      <c r="A1044" s="1" t="s">
        <v>2012</v>
      </c>
      <c r="C1044" s="1" t="s">
        <v>2263</v>
      </c>
      <c r="K1044" s="1" t="s">
        <v>2266</v>
      </c>
    </row>
    <row r="1045" spans="1:49" x14ac:dyDescent="0.15">
      <c r="A1045" s="1" t="s">
        <v>2012</v>
      </c>
      <c r="C1045" s="1" t="s">
        <v>2267</v>
      </c>
      <c r="F1045" s="1" t="s">
        <v>2268</v>
      </c>
      <c r="AW1045" s="1" t="s">
        <v>0</v>
      </c>
    </row>
    <row r="1046" spans="1:49" x14ac:dyDescent="0.15">
      <c r="A1046" s="1" t="s">
        <v>2012</v>
      </c>
      <c r="C1046" s="1" t="s">
        <v>2269</v>
      </c>
      <c r="F1046" s="1" t="s">
        <v>2270</v>
      </c>
      <c r="AW1046" s="1" t="s">
        <v>0</v>
      </c>
    </row>
    <row r="1047" spans="1:49" x14ac:dyDescent="0.15">
      <c r="A1047" s="1" t="s">
        <v>2012</v>
      </c>
      <c r="C1047" s="1" t="s">
        <v>2269</v>
      </c>
      <c r="K1047" s="1" t="s">
        <v>2271</v>
      </c>
    </row>
    <row r="1048" spans="1:49" x14ac:dyDescent="0.15">
      <c r="A1048" s="1" t="s">
        <v>2012</v>
      </c>
      <c r="C1048" s="1" t="s">
        <v>2272</v>
      </c>
      <c r="F1048" s="1" t="s">
        <v>2273</v>
      </c>
      <c r="AW1048" s="1" t="s">
        <v>0</v>
      </c>
    </row>
    <row r="1049" spans="1:49" x14ac:dyDescent="0.15">
      <c r="A1049" s="1" t="s">
        <v>2012</v>
      </c>
      <c r="C1049" s="1" t="s">
        <v>2274</v>
      </c>
      <c r="F1049" s="1" t="s">
        <v>2275</v>
      </c>
      <c r="AW1049" s="1" t="s">
        <v>0</v>
      </c>
    </row>
    <row r="1050" spans="1:49" x14ac:dyDescent="0.15">
      <c r="A1050" s="1" t="s">
        <v>2012</v>
      </c>
      <c r="C1050" s="1" t="s">
        <v>2276</v>
      </c>
      <c r="F1050" s="1" t="s">
        <v>2277</v>
      </c>
      <c r="AW1050" s="1" t="s">
        <v>0</v>
      </c>
    </row>
    <row r="1051" spans="1:49" x14ac:dyDescent="0.15">
      <c r="A1051" s="1" t="s">
        <v>2012</v>
      </c>
      <c r="C1051" s="1" t="s">
        <v>2278</v>
      </c>
      <c r="F1051" s="1" t="s">
        <v>2279</v>
      </c>
      <c r="AW1051" s="1" t="s">
        <v>0</v>
      </c>
    </row>
    <row r="1052" spans="1:49" x14ac:dyDescent="0.15">
      <c r="A1052" s="1" t="s">
        <v>2012</v>
      </c>
      <c r="C1052" s="1" t="s">
        <v>2280</v>
      </c>
      <c r="F1052" s="1" t="s">
        <v>2281</v>
      </c>
      <c r="AW1052" s="1" t="s">
        <v>0</v>
      </c>
    </row>
    <row r="1053" spans="1:49" x14ac:dyDescent="0.15">
      <c r="A1053" s="1" t="s">
        <v>2012</v>
      </c>
      <c r="C1053" s="1" t="s">
        <v>2280</v>
      </c>
      <c r="K1053" s="1" t="s">
        <v>2282</v>
      </c>
    </row>
    <row r="1054" spans="1:49" x14ac:dyDescent="0.15">
      <c r="A1054" s="1" t="s">
        <v>2012</v>
      </c>
      <c r="C1054" s="1" t="s">
        <v>2280</v>
      </c>
      <c r="E1054" s="1" t="s">
        <v>2283</v>
      </c>
    </row>
    <row r="1055" spans="1:49" x14ac:dyDescent="0.15">
      <c r="A1055" s="1" t="s">
        <v>2012</v>
      </c>
      <c r="C1055" s="1" t="s">
        <v>2284</v>
      </c>
      <c r="F1055" s="1" t="s">
        <v>2285</v>
      </c>
      <c r="AW1055" s="1" t="s">
        <v>0</v>
      </c>
    </row>
    <row r="1056" spans="1:49" x14ac:dyDescent="0.15">
      <c r="A1056" s="1" t="s">
        <v>2012</v>
      </c>
      <c r="C1056" s="1" t="s">
        <v>2286</v>
      </c>
      <c r="K1056" s="1" t="s">
        <v>2287</v>
      </c>
    </row>
    <row r="1057" spans="1:49" x14ac:dyDescent="0.15">
      <c r="A1057" s="1" t="s">
        <v>2012</v>
      </c>
      <c r="C1057" s="1" t="s">
        <v>2288</v>
      </c>
      <c r="F1057" s="1" t="s">
        <v>2289</v>
      </c>
      <c r="AW1057" s="1" t="s">
        <v>0</v>
      </c>
    </row>
    <row r="1058" spans="1:49" x14ac:dyDescent="0.15">
      <c r="A1058" s="1" t="s">
        <v>2012</v>
      </c>
      <c r="C1058" s="1" t="s">
        <v>2290</v>
      </c>
      <c r="K1058" s="1" t="s">
        <v>2291</v>
      </c>
    </row>
    <row r="1059" spans="1:49" x14ac:dyDescent="0.15">
      <c r="A1059" s="1" t="s">
        <v>2012</v>
      </c>
      <c r="C1059" s="1" t="s">
        <v>2292</v>
      </c>
      <c r="F1059" s="1" t="s">
        <v>2293</v>
      </c>
      <c r="AW1059" s="1" t="s">
        <v>0</v>
      </c>
    </row>
    <row r="1060" spans="1:49" x14ac:dyDescent="0.15">
      <c r="A1060" s="1" t="s">
        <v>2012</v>
      </c>
      <c r="C1060" s="1" t="s">
        <v>2294</v>
      </c>
      <c r="F1060" s="1" t="s">
        <v>2295</v>
      </c>
      <c r="AW1060" s="1" t="s">
        <v>0</v>
      </c>
    </row>
    <row r="1061" spans="1:49" x14ac:dyDescent="0.15">
      <c r="A1061" s="1" t="s">
        <v>2012</v>
      </c>
      <c r="C1061" s="1" t="s">
        <v>2296</v>
      </c>
      <c r="F1061" s="1" t="s">
        <v>2297</v>
      </c>
      <c r="AW1061" s="1" t="s">
        <v>0</v>
      </c>
    </row>
    <row r="1062" spans="1:49" x14ac:dyDescent="0.15">
      <c r="A1062" s="1" t="s">
        <v>2012</v>
      </c>
      <c r="C1062" s="1" t="s">
        <v>2298</v>
      </c>
      <c r="F1062" s="1" t="s">
        <v>2299</v>
      </c>
      <c r="AW1062" s="1" t="s">
        <v>0</v>
      </c>
    </row>
    <row r="1063" spans="1:49" x14ac:dyDescent="0.15">
      <c r="A1063" s="1" t="s">
        <v>2012</v>
      </c>
      <c r="C1063" s="1" t="s">
        <v>2298</v>
      </c>
      <c r="K1063" s="1" t="s">
        <v>2300</v>
      </c>
    </row>
    <row r="1064" spans="1:49" x14ac:dyDescent="0.15">
      <c r="A1064" s="1" t="s">
        <v>2012</v>
      </c>
      <c r="C1064" s="1" t="s">
        <v>2301</v>
      </c>
      <c r="F1064" s="1" t="s">
        <v>2302</v>
      </c>
      <c r="AW1064" s="1" t="s">
        <v>0</v>
      </c>
    </row>
    <row r="1065" spans="1:49" x14ac:dyDescent="0.15">
      <c r="A1065" s="1" t="s">
        <v>2012</v>
      </c>
      <c r="C1065" s="1" t="s">
        <v>2303</v>
      </c>
      <c r="F1065" s="1" t="s">
        <v>2304</v>
      </c>
      <c r="AW1065" s="1" t="s">
        <v>0</v>
      </c>
    </row>
    <row r="1066" spans="1:49" x14ac:dyDescent="0.15">
      <c r="A1066" s="1" t="s">
        <v>2012</v>
      </c>
      <c r="C1066" s="1" t="s">
        <v>2305</v>
      </c>
      <c r="F1066" s="1" t="s">
        <v>2306</v>
      </c>
      <c r="AW1066" s="1" t="s">
        <v>0</v>
      </c>
    </row>
    <row r="1067" spans="1:49" x14ac:dyDescent="0.15">
      <c r="A1067" s="1" t="s">
        <v>2012</v>
      </c>
      <c r="C1067" s="1" t="s">
        <v>2307</v>
      </c>
      <c r="F1067" s="1" t="s">
        <v>2308</v>
      </c>
      <c r="AW1067" s="1" t="s">
        <v>0</v>
      </c>
    </row>
    <row r="1068" spans="1:49" x14ac:dyDescent="0.15">
      <c r="A1068" s="1" t="s">
        <v>2012</v>
      </c>
      <c r="C1068" s="1" t="s">
        <v>2309</v>
      </c>
      <c r="F1068" s="1" t="s">
        <v>2310</v>
      </c>
      <c r="AW1068" s="1" t="s">
        <v>0</v>
      </c>
    </row>
    <row r="1069" spans="1:49" x14ac:dyDescent="0.15">
      <c r="A1069" s="1" t="s">
        <v>2012</v>
      </c>
      <c r="C1069" s="1" t="s">
        <v>2311</v>
      </c>
      <c r="F1069" s="1" t="s">
        <v>2312</v>
      </c>
      <c r="AW1069" s="1" t="s">
        <v>0</v>
      </c>
    </row>
    <row r="1070" spans="1:49" x14ac:dyDescent="0.15">
      <c r="A1070" s="1" t="s">
        <v>2012</v>
      </c>
      <c r="C1070" s="1" t="s">
        <v>2313</v>
      </c>
      <c r="F1070" s="1" t="s">
        <v>2314</v>
      </c>
      <c r="AW1070" s="1" t="s">
        <v>0</v>
      </c>
    </row>
    <row r="1071" spans="1:49" x14ac:dyDescent="0.15">
      <c r="A1071" s="1" t="s">
        <v>2012</v>
      </c>
      <c r="C1071" s="1" t="s">
        <v>2315</v>
      </c>
      <c r="F1071" s="1" t="s">
        <v>2316</v>
      </c>
      <c r="AW1071" s="1" t="s">
        <v>0</v>
      </c>
    </row>
    <row r="1072" spans="1:49" x14ac:dyDescent="0.15">
      <c r="A1072" s="1" t="s">
        <v>2012</v>
      </c>
      <c r="C1072" s="1" t="s">
        <v>2317</v>
      </c>
      <c r="F1072" s="1" t="s">
        <v>2318</v>
      </c>
      <c r="AW1072" s="1" t="s">
        <v>0</v>
      </c>
    </row>
    <row r="1073" spans="1:49" x14ac:dyDescent="0.15">
      <c r="A1073" s="1" t="s">
        <v>2012</v>
      </c>
      <c r="C1073" s="1" t="s">
        <v>2319</v>
      </c>
      <c r="F1073" s="1" t="s">
        <v>2320</v>
      </c>
      <c r="AW1073" s="1" t="s">
        <v>0</v>
      </c>
    </row>
    <row r="1074" spans="1:49" x14ac:dyDescent="0.15">
      <c r="A1074" s="1" t="s">
        <v>2012</v>
      </c>
      <c r="C1074" s="1" t="s">
        <v>2321</v>
      </c>
      <c r="AW1074" s="1" t="s">
        <v>0</v>
      </c>
    </row>
    <row r="1075" spans="1:49" x14ac:dyDescent="0.15">
      <c r="A1075" s="1" t="s">
        <v>2012</v>
      </c>
      <c r="C1075" s="1" t="s">
        <v>2322</v>
      </c>
      <c r="F1075" s="1" t="s">
        <v>2323</v>
      </c>
      <c r="AW1075" s="1" t="s">
        <v>0</v>
      </c>
    </row>
    <row r="1076" spans="1:49" x14ac:dyDescent="0.15">
      <c r="A1076" s="1" t="s">
        <v>2012</v>
      </c>
      <c r="C1076" s="1" t="s">
        <v>2324</v>
      </c>
      <c r="F1076" s="1" t="s">
        <v>2325</v>
      </c>
      <c r="AW1076" s="1" t="s">
        <v>0</v>
      </c>
    </row>
    <row r="1077" spans="1:49" x14ac:dyDescent="0.15">
      <c r="A1077" s="1" t="s">
        <v>2012</v>
      </c>
      <c r="C1077" s="1" t="s">
        <v>2326</v>
      </c>
      <c r="F1077" s="1" t="s">
        <v>2327</v>
      </c>
      <c r="AW1077" s="1" t="s">
        <v>141</v>
      </c>
    </row>
    <row r="1078" spans="1:49" x14ac:dyDescent="0.15">
      <c r="A1078" s="1" t="s">
        <v>2012</v>
      </c>
      <c r="C1078" s="1" t="s">
        <v>2328</v>
      </c>
      <c r="F1078" s="1" t="s">
        <v>2329</v>
      </c>
      <c r="AW1078" s="1" t="s">
        <v>0</v>
      </c>
    </row>
    <row r="1079" spans="1:49" x14ac:dyDescent="0.15">
      <c r="A1079" s="1" t="s">
        <v>2012</v>
      </c>
      <c r="C1079" s="1" t="s">
        <v>2330</v>
      </c>
      <c r="F1079" s="1" t="s">
        <v>2331</v>
      </c>
      <c r="AW1079" s="1" t="s">
        <v>0</v>
      </c>
    </row>
    <row r="1080" spans="1:49" x14ac:dyDescent="0.15">
      <c r="A1080" s="1" t="s">
        <v>2012</v>
      </c>
      <c r="C1080" s="1" t="s">
        <v>2332</v>
      </c>
      <c r="F1080" s="1" t="s">
        <v>2333</v>
      </c>
      <c r="AW1080" s="1" t="s">
        <v>0</v>
      </c>
    </row>
    <row r="1081" spans="1:49" x14ac:dyDescent="0.15">
      <c r="A1081" s="1" t="s">
        <v>2012</v>
      </c>
      <c r="C1081" s="1" t="s">
        <v>2334</v>
      </c>
      <c r="F1081" s="1" t="s">
        <v>2335</v>
      </c>
      <c r="AW1081" s="1" t="s">
        <v>0</v>
      </c>
    </row>
    <row r="1082" spans="1:49" x14ac:dyDescent="0.15">
      <c r="A1082" s="1" t="s">
        <v>2012</v>
      </c>
      <c r="C1082" s="1" t="s">
        <v>2334</v>
      </c>
      <c r="E1082" s="1" t="s">
        <v>2336</v>
      </c>
    </row>
    <row r="1083" spans="1:49" x14ac:dyDescent="0.15">
      <c r="A1083" s="1" t="s">
        <v>2012</v>
      </c>
      <c r="C1083" s="1" t="s">
        <v>2334</v>
      </c>
      <c r="E1083" s="1" t="s">
        <v>2337</v>
      </c>
    </row>
    <row r="1084" spans="1:49" x14ac:dyDescent="0.15">
      <c r="A1084" s="1" t="s">
        <v>2012</v>
      </c>
      <c r="C1084" s="1" t="s">
        <v>2338</v>
      </c>
      <c r="F1084" s="1" t="s">
        <v>2339</v>
      </c>
      <c r="AW1084" s="1" t="s">
        <v>0</v>
      </c>
    </row>
    <row r="1085" spans="1:49" x14ac:dyDescent="0.15">
      <c r="A1085" s="1" t="s">
        <v>2012</v>
      </c>
      <c r="C1085" s="1" t="s">
        <v>2340</v>
      </c>
      <c r="F1085" s="1" t="s">
        <v>2341</v>
      </c>
      <c r="AW1085" s="1" t="s">
        <v>0</v>
      </c>
    </row>
    <row r="1086" spans="1:49" x14ac:dyDescent="0.15">
      <c r="A1086" s="1" t="s">
        <v>2012</v>
      </c>
      <c r="C1086" s="1" t="s">
        <v>2342</v>
      </c>
      <c r="F1086" s="1" t="s">
        <v>2343</v>
      </c>
      <c r="AW1086" s="1" t="s">
        <v>0</v>
      </c>
    </row>
    <row r="1087" spans="1:49" x14ac:dyDescent="0.15">
      <c r="A1087" s="1" t="s">
        <v>2012</v>
      </c>
      <c r="C1087" s="1" t="s">
        <v>2344</v>
      </c>
      <c r="F1087" s="1" t="s">
        <v>2345</v>
      </c>
      <c r="AW1087" s="1" t="s">
        <v>0</v>
      </c>
    </row>
    <row r="1088" spans="1:49" x14ac:dyDescent="0.15">
      <c r="A1088" s="1" t="s">
        <v>2012</v>
      </c>
      <c r="C1088" s="1" t="s">
        <v>2344</v>
      </c>
      <c r="E1088" s="1" t="s">
        <v>2346</v>
      </c>
    </row>
    <row r="1089" spans="1:49" x14ac:dyDescent="0.15">
      <c r="A1089" s="1" t="s">
        <v>2012</v>
      </c>
      <c r="C1089" s="1" t="s">
        <v>2347</v>
      </c>
      <c r="F1089" s="1" t="s">
        <v>2348</v>
      </c>
      <c r="AW1089" s="1" t="s">
        <v>0</v>
      </c>
    </row>
    <row r="1090" spans="1:49" x14ac:dyDescent="0.15">
      <c r="A1090" s="1" t="s">
        <v>2012</v>
      </c>
      <c r="C1090" s="1" t="s">
        <v>2349</v>
      </c>
      <c r="F1090" s="1" t="s">
        <v>2350</v>
      </c>
      <c r="AW1090" s="1" t="s">
        <v>0</v>
      </c>
    </row>
    <row r="1091" spans="1:49" x14ac:dyDescent="0.15">
      <c r="A1091" s="1" t="s">
        <v>2012</v>
      </c>
      <c r="C1091" s="1" t="s">
        <v>2351</v>
      </c>
      <c r="F1091" s="1" t="s">
        <v>2352</v>
      </c>
      <c r="AW1091" s="1" t="s">
        <v>0</v>
      </c>
    </row>
    <row r="1092" spans="1:49" x14ac:dyDescent="0.15">
      <c r="A1092" s="1" t="s">
        <v>2012</v>
      </c>
      <c r="C1092" s="1" t="s">
        <v>2353</v>
      </c>
      <c r="F1092" s="1" t="s">
        <v>2354</v>
      </c>
      <c r="AW1092" s="1" t="s">
        <v>0</v>
      </c>
    </row>
    <row r="1093" spans="1:49" x14ac:dyDescent="0.15">
      <c r="A1093" s="1" t="s">
        <v>2012</v>
      </c>
      <c r="C1093" s="1" t="s">
        <v>2353</v>
      </c>
      <c r="K1093" s="1" t="s">
        <v>2355</v>
      </c>
    </row>
    <row r="1094" spans="1:49" x14ac:dyDescent="0.15">
      <c r="A1094" s="1" t="s">
        <v>2012</v>
      </c>
      <c r="C1094" s="1" t="s">
        <v>2356</v>
      </c>
      <c r="F1094" s="1" t="s">
        <v>2357</v>
      </c>
      <c r="AW1094" s="1" t="s">
        <v>0</v>
      </c>
    </row>
    <row r="1095" spans="1:49" x14ac:dyDescent="0.15">
      <c r="A1095" s="1" t="s">
        <v>2012</v>
      </c>
      <c r="C1095" s="1" t="s">
        <v>2358</v>
      </c>
      <c r="F1095" s="1" t="s">
        <v>2359</v>
      </c>
      <c r="AW1095" s="1" t="s">
        <v>0</v>
      </c>
    </row>
    <row r="1096" spans="1:49" x14ac:dyDescent="0.15">
      <c r="A1096" s="1" t="s">
        <v>2012</v>
      </c>
      <c r="C1096" s="1" t="s">
        <v>2360</v>
      </c>
      <c r="F1096" s="1" t="s">
        <v>2361</v>
      </c>
      <c r="AW1096" s="1" t="s">
        <v>0</v>
      </c>
    </row>
    <row r="1097" spans="1:49" x14ac:dyDescent="0.15">
      <c r="A1097" s="1" t="s">
        <v>2012</v>
      </c>
      <c r="C1097" s="1" t="s">
        <v>2362</v>
      </c>
      <c r="F1097" s="1" t="s">
        <v>2363</v>
      </c>
      <c r="AW1097" s="1" t="s">
        <v>0</v>
      </c>
    </row>
    <row r="1098" spans="1:49" x14ac:dyDescent="0.15">
      <c r="A1098" s="1" t="s">
        <v>2012</v>
      </c>
      <c r="C1098" s="1" t="s">
        <v>2364</v>
      </c>
      <c r="F1098" s="1" t="s">
        <v>2365</v>
      </c>
      <c r="AW1098" s="1" t="s">
        <v>0</v>
      </c>
    </row>
    <row r="1099" spans="1:49" x14ac:dyDescent="0.15">
      <c r="A1099" s="1" t="s">
        <v>2012</v>
      </c>
      <c r="C1099" s="1" t="s">
        <v>2366</v>
      </c>
      <c r="F1099" s="1" t="s">
        <v>2367</v>
      </c>
      <c r="AW1099" s="1" t="s">
        <v>0</v>
      </c>
    </row>
    <row r="1100" spans="1:49" x14ac:dyDescent="0.15">
      <c r="A1100" s="1" t="s">
        <v>2012</v>
      </c>
      <c r="C1100" s="1" t="s">
        <v>2368</v>
      </c>
      <c r="F1100" s="1" t="s">
        <v>2369</v>
      </c>
      <c r="AW1100" s="1" t="s">
        <v>0</v>
      </c>
    </row>
    <row r="1101" spans="1:49" x14ac:dyDescent="0.15">
      <c r="A1101" s="1" t="s">
        <v>2012</v>
      </c>
      <c r="C1101" s="1" t="s">
        <v>2370</v>
      </c>
      <c r="F1101" s="1" t="s">
        <v>2371</v>
      </c>
      <c r="AW1101" s="1" t="s">
        <v>0</v>
      </c>
    </row>
    <row r="1102" spans="1:49" x14ac:dyDescent="0.15">
      <c r="A1102" s="1" t="s">
        <v>2012</v>
      </c>
      <c r="C1102" s="1" t="s">
        <v>2372</v>
      </c>
      <c r="F1102" s="1" t="s">
        <v>2373</v>
      </c>
      <c r="AW1102" s="1" t="s">
        <v>0</v>
      </c>
    </row>
    <row r="1103" spans="1:49" x14ac:dyDescent="0.15">
      <c r="A1103" s="1" t="s">
        <v>2012</v>
      </c>
      <c r="C1103" s="1" t="s">
        <v>2374</v>
      </c>
      <c r="F1103" s="1" t="s">
        <v>2375</v>
      </c>
      <c r="AW1103" s="1" t="s">
        <v>0</v>
      </c>
    </row>
    <row r="1104" spans="1:49" x14ac:dyDescent="0.15">
      <c r="A1104" s="1" t="s">
        <v>2012</v>
      </c>
      <c r="C1104" s="1" t="s">
        <v>2376</v>
      </c>
      <c r="F1104" s="1" t="s">
        <v>2377</v>
      </c>
      <c r="AW1104" s="1" t="s">
        <v>0</v>
      </c>
    </row>
    <row r="1105" spans="1:49" x14ac:dyDescent="0.15">
      <c r="A1105" s="1" t="s">
        <v>2012</v>
      </c>
      <c r="C1105" s="1" t="s">
        <v>2378</v>
      </c>
      <c r="F1105" s="1" t="s">
        <v>2379</v>
      </c>
      <c r="AW1105" s="1" t="s">
        <v>0</v>
      </c>
    </row>
    <row r="1106" spans="1:49" x14ac:dyDescent="0.15">
      <c r="A1106" s="1" t="s">
        <v>2012</v>
      </c>
      <c r="C1106" s="1" t="s">
        <v>2380</v>
      </c>
      <c r="F1106" s="1" t="s">
        <v>2381</v>
      </c>
      <c r="AW1106" s="1" t="s">
        <v>0</v>
      </c>
    </row>
    <row r="1107" spans="1:49" x14ac:dyDescent="0.15">
      <c r="A1107" s="1" t="s">
        <v>2012</v>
      </c>
      <c r="C1107" s="1" t="s">
        <v>2380</v>
      </c>
      <c r="K1107" s="1" t="s">
        <v>2382</v>
      </c>
    </row>
    <row r="1108" spans="1:49" x14ac:dyDescent="0.15">
      <c r="A1108" s="1" t="s">
        <v>2012</v>
      </c>
      <c r="C1108" s="1" t="s">
        <v>2383</v>
      </c>
      <c r="F1108" s="1" t="s">
        <v>2384</v>
      </c>
      <c r="AW1108" s="1" t="s">
        <v>0</v>
      </c>
    </row>
    <row r="1109" spans="1:49" x14ac:dyDescent="0.15">
      <c r="A1109" s="1" t="s">
        <v>2012</v>
      </c>
      <c r="C1109" s="1" t="s">
        <v>2385</v>
      </c>
      <c r="F1109" s="1" t="s">
        <v>2386</v>
      </c>
      <c r="AW1109" s="1" t="s">
        <v>0</v>
      </c>
    </row>
    <row r="1110" spans="1:49" x14ac:dyDescent="0.15">
      <c r="A1110" s="1" t="s">
        <v>2012</v>
      </c>
      <c r="C1110" s="1" t="s">
        <v>2385</v>
      </c>
      <c r="K1110" s="1" t="s">
        <v>2387</v>
      </c>
    </row>
    <row r="1111" spans="1:49" x14ac:dyDescent="0.15">
      <c r="A1111" s="1" t="s">
        <v>2012</v>
      </c>
      <c r="C1111" s="1" t="s">
        <v>2385</v>
      </c>
      <c r="K1111" s="1" t="s">
        <v>2388</v>
      </c>
    </row>
    <row r="1112" spans="1:49" x14ac:dyDescent="0.15">
      <c r="A1112" s="1" t="s">
        <v>2012</v>
      </c>
      <c r="C1112" s="1" t="s">
        <v>2389</v>
      </c>
      <c r="F1112" s="1" t="s">
        <v>2390</v>
      </c>
      <c r="AW1112" s="1" t="s">
        <v>0</v>
      </c>
    </row>
    <row r="1113" spans="1:49" x14ac:dyDescent="0.15">
      <c r="A1113" s="1" t="s">
        <v>2012</v>
      </c>
      <c r="C1113" s="1" t="s">
        <v>2391</v>
      </c>
      <c r="F1113" s="1" t="s">
        <v>2392</v>
      </c>
      <c r="AW1113" s="1" t="s">
        <v>0</v>
      </c>
    </row>
    <row r="1114" spans="1:49" x14ac:dyDescent="0.15">
      <c r="A1114" s="1" t="s">
        <v>2012</v>
      </c>
      <c r="C1114" s="1" t="s">
        <v>2393</v>
      </c>
      <c r="F1114" s="1" t="s">
        <v>2394</v>
      </c>
      <c r="AW1114" s="1" t="s">
        <v>0</v>
      </c>
    </row>
    <row r="1115" spans="1:49" x14ac:dyDescent="0.15">
      <c r="A1115" s="1" t="s">
        <v>2012</v>
      </c>
      <c r="C1115" s="1" t="s">
        <v>2395</v>
      </c>
      <c r="F1115" s="1" t="s">
        <v>2396</v>
      </c>
      <c r="AW1115" s="1" t="s">
        <v>0</v>
      </c>
    </row>
    <row r="1116" spans="1:49" x14ac:dyDescent="0.15">
      <c r="A1116" s="1" t="s">
        <v>2012</v>
      </c>
      <c r="C1116" s="1" t="s">
        <v>2397</v>
      </c>
      <c r="F1116" s="1" t="s">
        <v>2398</v>
      </c>
      <c r="AW1116" s="1" t="s">
        <v>0</v>
      </c>
    </row>
    <row r="1117" spans="1:49" x14ac:dyDescent="0.15">
      <c r="A1117" s="1" t="s">
        <v>2012</v>
      </c>
      <c r="C1117" s="1" t="s">
        <v>2397</v>
      </c>
      <c r="K1117" s="1" t="s">
        <v>2399</v>
      </c>
    </row>
    <row r="1118" spans="1:49" x14ac:dyDescent="0.15">
      <c r="A1118" s="1" t="s">
        <v>2012</v>
      </c>
      <c r="C1118" s="1" t="s">
        <v>2400</v>
      </c>
      <c r="F1118" s="1" t="s">
        <v>2401</v>
      </c>
      <c r="AW1118" s="1" t="s">
        <v>0</v>
      </c>
    </row>
    <row r="1119" spans="1:49" x14ac:dyDescent="0.15">
      <c r="A1119" s="1" t="s">
        <v>2012</v>
      </c>
      <c r="C1119" s="1" t="s">
        <v>2400</v>
      </c>
      <c r="E1119" s="1" t="s">
        <v>2402</v>
      </c>
    </row>
    <row r="1120" spans="1:49" x14ac:dyDescent="0.15">
      <c r="A1120" s="1" t="s">
        <v>2012</v>
      </c>
      <c r="C1120" s="1" t="s">
        <v>2403</v>
      </c>
      <c r="F1120" s="1" t="s">
        <v>2404</v>
      </c>
      <c r="AW1120" s="1" t="s">
        <v>0</v>
      </c>
    </row>
    <row r="1121" spans="1:49" x14ac:dyDescent="0.15">
      <c r="A1121" s="1" t="s">
        <v>2012</v>
      </c>
      <c r="C1121" s="1" t="s">
        <v>2405</v>
      </c>
      <c r="F1121" s="1" t="s">
        <v>2406</v>
      </c>
      <c r="AW1121" s="1" t="s">
        <v>0</v>
      </c>
    </row>
    <row r="1122" spans="1:49" x14ac:dyDescent="0.15">
      <c r="A1122" s="1" t="s">
        <v>2012</v>
      </c>
      <c r="C1122" s="1" t="s">
        <v>2405</v>
      </c>
      <c r="E1122" s="1" t="s">
        <v>2407</v>
      </c>
    </row>
    <row r="1123" spans="1:49" x14ac:dyDescent="0.15">
      <c r="A1123" s="1" t="s">
        <v>2012</v>
      </c>
      <c r="C1123" s="1" t="s">
        <v>2408</v>
      </c>
      <c r="F1123" s="1" t="s">
        <v>2409</v>
      </c>
      <c r="AW1123" s="1" t="s">
        <v>0</v>
      </c>
    </row>
    <row r="1124" spans="1:49" x14ac:dyDescent="0.15">
      <c r="A1124" s="1" t="s">
        <v>2012</v>
      </c>
      <c r="C1124" s="1" t="s">
        <v>2408</v>
      </c>
      <c r="E1124" s="1" t="s">
        <v>2410</v>
      </c>
    </row>
    <row r="1125" spans="1:49" x14ac:dyDescent="0.15">
      <c r="A1125" s="1" t="s">
        <v>2012</v>
      </c>
      <c r="C1125" s="1" t="s">
        <v>2408</v>
      </c>
      <c r="E1125" s="1" t="s">
        <v>2411</v>
      </c>
    </row>
    <row r="1126" spans="1:49" x14ac:dyDescent="0.15">
      <c r="A1126" s="1" t="s">
        <v>2012</v>
      </c>
      <c r="C1126" s="1" t="s">
        <v>2412</v>
      </c>
      <c r="F1126" s="1" t="s">
        <v>2413</v>
      </c>
      <c r="AW1126" s="1" t="s">
        <v>0</v>
      </c>
    </row>
    <row r="1127" spans="1:49" x14ac:dyDescent="0.15">
      <c r="A1127" s="1" t="s">
        <v>2012</v>
      </c>
      <c r="C1127" s="1" t="s">
        <v>2414</v>
      </c>
      <c r="F1127" s="1" t="s">
        <v>2415</v>
      </c>
      <c r="AW1127" s="1" t="s">
        <v>0</v>
      </c>
    </row>
    <row r="1128" spans="1:49" x14ac:dyDescent="0.15">
      <c r="A1128" s="1" t="s">
        <v>2012</v>
      </c>
      <c r="C1128" s="1" t="s">
        <v>2416</v>
      </c>
      <c r="K1128" s="1" t="s">
        <v>2417</v>
      </c>
    </row>
    <row r="1129" spans="1:49" x14ac:dyDescent="0.15">
      <c r="A1129" s="1" t="s">
        <v>2012</v>
      </c>
      <c r="C1129" s="1" t="s">
        <v>2418</v>
      </c>
      <c r="F1129" s="1" t="s">
        <v>2419</v>
      </c>
      <c r="AW1129" s="1" t="s">
        <v>0</v>
      </c>
    </row>
    <row r="1130" spans="1:49" x14ac:dyDescent="0.15">
      <c r="A1130" s="1" t="s">
        <v>2012</v>
      </c>
      <c r="C1130" s="1" t="s">
        <v>2420</v>
      </c>
      <c r="F1130" s="1" t="s">
        <v>2421</v>
      </c>
      <c r="AW1130" s="1" t="s">
        <v>0</v>
      </c>
    </row>
    <row r="1131" spans="1:49" x14ac:dyDescent="0.15">
      <c r="A1131" s="1" t="s">
        <v>2012</v>
      </c>
      <c r="C1131" s="1" t="s">
        <v>2422</v>
      </c>
      <c r="F1131" s="1" t="s">
        <v>2423</v>
      </c>
      <c r="AW1131" s="1" t="s">
        <v>0</v>
      </c>
    </row>
    <row r="1132" spans="1:49" x14ac:dyDescent="0.15">
      <c r="A1132" s="1" t="s">
        <v>2012</v>
      </c>
      <c r="C1132" s="1" t="s">
        <v>2424</v>
      </c>
      <c r="F1132" s="1" t="s">
        <v>2425</v>
      </c>
      <c r="AW1132" s="1" t="s">
        <v>0</v>
      </c>
    </row>
    <row r="1133" spans="1:49" x14ac:dyDescent="0.15">
      <c r="A1133" s="1" t="s">
        <v>2012</v>
      </c>
      <c r="C1133" s="1" t="s">
        <v>2426</v>
      </c>
      <c r="F1133" s="1" t="s">
        <v>2427</v>
      </c>
      <c r="AW1133" s="1" t="s">
        <v>0</v>
      </c>
    </row>
    <row r="1134" spans="1:49" x14ac:dyDescent="0.15">
      <c r="A1134" s="1" t="s">
        <v>2012</v>
      </c>
      <c r="C1134" s="1" t="s">
        <v>2428</v>
      </c>
      <c r="F1134" s="1" t="s">
        <v>2429</v>
      </c>
      <c r="AW1134" s="1" t="s">
        <v>0</v>
      </c>
    </row>
    <row r="1135" spans="1:49" x14ac:dyDescent="0.15">
      <c r="A1135" s="1" t="s">
        <v>2012</v>
      </c>
      <c r="C1135" s="1" t="s">
        <v>2430</v>
      </c>
      <c r="F1135" s="1" t="s">
        <v>2431</v>
      </c>
      <c r="AW1135" s="1" t="s">
        <v>0</v>
      </c>
    </row>
    <row r="1136" spans="1:49" x14ac:dyDescent="0.15">
      <c r="A1136" s="1" t="s">
        <v>2012</v>
      </c>
      <c r="C1136" s="1" t="s">
        <v>2432</v>
      </c>
      <c r="F1136" s="1" t="s">
        <v>2433</v>
      </c>
      <c r="AW1136" s="1" t="s">
        <v>0</v>
      </c>
    </row>
    <row r="1137" spans="1:49" x14ac:dyDescent="0.15">
      <c r="A1137" s="1" t="s">
        <v>2012</v>
      </c>
      <c r="C1137" s="1" t="s">
        <v>2432</v>
      </c>
      <c r="E1137" s="1" t="s">
        <v>2434</v>
      </c>
    </row>
    <row r="1138" spans="1:49" x14ac:dyDescent="0.15">
      <c r="A1138" s="1" t="s">
        <v>2012</v>
      </c>
      <c r="C1138" s="1" t="s">
        <v>2435</v>
      </c>
      <c r="F1138" s="1" t="s">
        <v>2436</v>
      </c>
      <c r="AW1138" s="1" t="s">
        <v>0</v>
      </c>
    </row>
    <row r="1139" spans="1:49" x14ac:dyDescent="0.15">
      <c r="A1139" s="1" t="s">
        <v>2012</v>
      </c>
      <c r="C1139" s="1" t="s">
        <v>2437</v>
      </c>
      <c r="F1139" s="1" t="s">
        <v>2438</v>
      </c>
      <c r="AW1139" s="1" t="s">
        <v>0</v>
      </c>
    </row>
    <row r="1140" spans="1:49" x14ac:dyDescent="0.15">
      <c r="A1140" s="1" t="s">
        <v>2012</v>
      </c>
      <c r="C1140" s="1" t="s">
        <v>2439</v>
      </c>
      <c r="F1140" s="1" t="s">
        <v>2440</v>
      </c>
      <c r="AW1140" s="1" t="s">
        <v>0</v>
      </c>
    </row>
    <row r="1141" spans="1:49" x14ac:dyDescent="0.15">
      <c r="A1141" s="1" t="s">
        <v>2012</v>
      </c>
      <c r="C1141" s="1" t="s">
        <v>2441</v>
      </c>
      <c r="F1141" s="1" t="s">
        <v>2442</v>
      </c>
      <c r="AW1141" s="1" t="s">
        <v>0</v>
      </c>
    </row>
    <row r="1142" spans="1:49" x14ac:dyDescent="0.15">
      <c r="A1142" s="1" t="s">
        <v>2012</v>
      </c>
      <c r="C1142" s="1" t="s">
        <v>2443</v>
      </c>
      <c r="F1142" s="1" t="s">
        <v>2444</v>
      </c>
      <c r="AW1142" s="1" t="s">
        <v>0</v>
      </c>
    </row>
    <row r="1143" spans="1:49" x14ac:dyDescent="0.15">
      <c r="A1143" s="1" t="s">
        <v>2012</v>
      </c>
      <c r="C1143" s="1" t="s">
        <v>2445</v>
      </c>
      <c r="F1143" s="1" t="s">
        <v>2446</v>
      </c>
      <c r="AW1143" s="1" t="s">
        <v>0</v>
      </c>
    </row>
    <row r="1144" spans="1:49" x14ac:dyDescent="0.15">
      <c r="A1144" s="1" t="s">
        <v>2012</v>
      </c>
      <c r="C1144" s="1" t="s">
        <v>2445</v>
      </c>
      <c r="K1144" s="1" t="s">
        <v>2447</v>
      </c>
    </row>
    <row r="1145" spans="1:49" x14ac:dyDescent="0.15">
      <c r="A1145" s="1" t="s">
        <v>2012</v>
      </c>
      <c r="C1145" s="1" t="s">
        <v>2448</v>
      </c>
      <c r="F1145" s="1" t="s">
        <v>2449</v>
      </c>
      <c r="AW1145" s="1" t="s">
        <v>0</v>
      </c>
    </row>
    <row r="1146" spans="1:49" x14ac:dyDescent="0.15">
      <c r="A1146" s="1" t="s">
        <v>2012</v>
      </c>
      <c r="C1146" s="1" t="s">
        <v>2450</v>
      </c>
      <c r="F1146" s="1" t="s">
        <v>2451</v>
      </c>
      <c r="AW1146" s="1" t="s">
        <v>0</v>
      </c>
    </row>
    <row r="1147" spans="1:49" x14ac:dyDescent="0.15">
      <c r="A1147" s="1" t="s">
        <v>2012</v>
      </c>
      <c r="C1147" s="1" t="s">
        <v>2452</v>
      </c>
      <c r="F1147" s="1" t="s">
        <v>2453</v>
      </c>
      <c r="AW1147" s="1" t="s">
        <v>0</v>
      </c>
    </row>
    <row r="1148" spans="1:49" x14ac:dyDescent="0.15">
      <c r="A1148" s="1" t="s">
        <v>2012</v>
      </c>
      <c r="C1148" s="1" t="s">
        <v>2452</v>
      </c>
      <c r="K1148" s="1" t="s">
        <v>2454</v>
      </c>
    </row>
    <row r="1149" spans="1:49" x14ac:dyDescent="0.15">
      <c r="A1149" s="1" t="s">
        <v>2012</v>
      </c>
      <c r="C1149" s="1" t="s">
        <v>2455</v>
      </c>
      <c r="F1149" s="1" t="s">
        <v>2456</v>
      </c>
      <c r="AW1149" s="1" t="s">
        <v>0</v>
      </c>
    </row>
    <row r="1150" spans="1:49" x14ac:dyDescent="0.15">
      <c r="A1150" s="1" t="s">
        <v>2012</v>
      </c>
      <c r="C1150" s="1" t="s">
        <v>2457</v>
      </c>
      <c r="F1150" s="1" t="s">
        <v>2458</v>
      </c>
      <c r="AW1150" s="1" t="s">
        <v>0</v>
      </c>
    </row>
    <row r="1151" spans="1:49" x14ac:dyDescent="0.15">
      <c r="A1151" s="1" t="s">
        <v>2012</v>
      </c>
      <c r="C1151" s="1" t="s">
        <v>2457</v>
      </c>
      <c r="K1151" s="1" t="s">
        <v>2459</v>
      </c>
    </row>
    <row r="1152" spans="1:49" x14ac:dyDescent="0.15">
      <c r="A1152" s="1" t="s">
        <v>2012</v>
      </c>
      <c r="C1152" s="1" t="s">
        <v>2460</v>
      </c>
      <c r="F1152" s="1" t="s">
        <v>2461</v>
      </c>
      <c r="AW1152" s="1" t="s">
        <v>0</v>
      </c>
    </row>
    <row r="1153" spans="1:49" x14ac:dyDescent="0.15">
      <c r="A1153" s="1" t="s">
        <v>2012</v>
      </c>
      <c r="C1153" s="1" t="s">
        <v>2460</v>
      </c>
      <c r="E1153" s="1" t="s">
        <v>2462</v>
      </c>
    </row>
    <row r="1154" spans="1:49" x14ac:dyDescent="0.15">
      <c r="A1154" s="1" t="s">
        <v>2012</v>
      </c>
      <c r="C1154" s="1" t="s">
        <v>2463</v>
      </c>
      <c r="F1154" s="1" t="s">
        <v>2464</v>
      </c>
      <c r="AW1154" s="1" t="s">
        <v>0</v>
      </c>
    </row>
    <row r="1155" spans="1:49" x14ac:dyDescent="0.15">
      <c r="A1155" s="1" t="s">
        <v>2012</v>
      </c>
      <c r="C1155" s="1" t="s">
        <v>2465</v>
      </c>
      <c r="AW1155" s="1" t="s">
        <v>0</v>
      </c>
    </row>
    <row r="1156" spans="1:49" x14ac:dyDescent="0.15">
      <c r="A1156" s="1" t="s">
        <v>2012</v>
      </c>
      <c r="C1156" s="1" t="s">
        <v>2466</v>
      </c>
      <c r="F1156" s="1" t="s">
        <v>2467</v>
      </c>
      <c r="AW1156" s="1" t="s">
        <v>0</v>
      </c>
    </row>
    <row r="1157" spans="1:49" x14ac:dyDescent="0.15">
      <c r="A1157" s="1" t="s">
        <v>2012</v>
      </c>
      <c r="C1157" s="1" t="s">
        <v>2468</v>
      </c>
      <c r="F1157" s="1" t="s">
        <v>2469</v>
      </c>
      <c r="AW1157" s="1" t="s">
        <v>0</v>
      </c>
    </row>
    <row r="1158" spans="1:49" x14ac:dyDescent="0.15">
      <c r="A1158" s="1" t="s">
        <v>2012</v>
      </c>
      <c r="C1158" s="1" t="s">
        <v>2470</v>
      </c>
      <c r="F1158" s="1" t="s">
        <v>2471</v>
      </c>
      <c r="AW1158" s="1" t="s">
        <v>0</v>
      </c>
    </row>
    <row r="1159" spans="1:49" x14ac:dyDescent="0.15">
      <c r="A1159" s="1" t="s">
        <v>2012</v>
      </c>
      <c r="C1159" s="1" t="s">
        <v>2472</v>
      </c>
      <c r="F1159" s="1" t="s">
        <v>2473</v>
      </c>
      <c r="AW1159" s="1" t="s">
        <v>0</v>
      </c>
    </row>
    <row r="1160" spans="1:49" x14ac:dyDescent="0.15">
      <c r="A1160" s="1" t="s">
        <v>2012</v>
      </c>
      <c r="C1160" s="1" t="s">
        <v>2474</v>
      </c>
      <c r="F1160" s="1" t="s">
        <v>2475</v>
      </c>
      <c r="AW1160" s="1" t="s">
        <v>0</v>
      </c>
    </row>
    <row r="1161" spans="1:49" x14ac:dyDescent="0.15">
      <c r="A1161" s="1" t="s">
        <v>2012</v>
      </c>
      <c r="C1161" s="1" t="s">
        <v>2476</v>
      </c>
      <c r="F1161" s="1" t="s">
        <v>2477</v>
      </c>
      <c r="AW1161" s="1" t="s">
        <v>0</v>
      </c>
    </row>
    <row r="1162" spans="1:49" x14ac:dyDescent="0.15">
      <c r="A1162" s="1" t="s">
        <v>2012</v>
      </c>
      <c r="C1162" s="1" t="s">
        <v>2478</v>
      </c>
      <c r="F1162" s="1" t="s">
        <v>2479</v>
      </c>
      <c r="AW1162" s="1" t="s">
        <v>0</v>
      </c>
    </row>
    <row r="1163" spans="1:49" x14ac:dyDescent="0.15">
      <c r="A1163" s="1" t="s">
        <v>2012</v>
      </c>
      <c r="C1163" s="1" t="s">
        <v>2480</v>
      </c>
      <c r="F1163" s="1" t="s">
        <v>2481</v>
      </c>
      <c r="AW1163" s="1" t="s">
        <v>0</v>
      </c>
    </row>
    <row r="1164" spans="1:49" x14ac:dyDescent="0.15">
      <c r="A1164" s="1" t="s">
        <v>2012</v>
      </c>
      <c r="C1164" s="1" t="s">
        <v>2482</v>
      </c>
      <c r="F1164" s="1" t="s">
        <v>2483</v>
      </c>
      <c r="AW1164" s="1" t="s">
        <v>0</v>
      </c>
    </row>
    <row r="1165" spans="1:49" x14ac:dyDescent="0.15">
      <c r="A1165" s="1" t="s">
        <v>2012</v>
      </c>
      <c r="C1165" s="1" t="s">
        <v>2484</v>
      </c>
      <c r="F1165" s="1" t="s">
        <v>2485</v>
      </c>
      <c r="AW1165" s="1" t="s">
        <v>0</v>
      </c>
    </row>
    <row r="1166" spans="1:49" x14ac:dyDescent="0.15">
      <c r="A1166" s="1" t="s">
        <v>2012</v>
      </c>
      <c r="C1166" s="1" t="s">
        <v>2486</v>
      </c>
      <c r="F1166" s="1" t="s">
        <v>2487</v>
      </c>
      <c r="AW1166" s="1" t="s">
        <v>0</v>
      </c>
    </row>
    <row r="1167" spans="1:49" x14ac:dyDescent="0.15">
      <c r="A1167" s="1" t="s">
        <v>2012</v>
      </c>
      <c r="C1167" s="1" t="s">
        <v>2488</v>
      </c>
      <c r="F1167" s="1" t="s">
        <v>2489</v>
      </c>
      <c r="AW1167" s="1" t="s">
        <v>0</v>
      </c>
    </row>
    <row r="1168" spans="1:49" x14ac:dyDescent="0.15">
      <c r="A1168" s="1" t="s">
        <v>2012</v>
      </c>
      <c r="C1168" s="1" t="s">
        <v>2490</v>
      </c>
      <c r="F1168" s="1" t="s">
        <v>2491</v>
      </c>
      <c r="AW1168" s="1" t="s">
        <v>0</v>
      </c>
    </row>
    <row r="1169" spans="1:49" x14ac:dyDescent="0.15">
      <c r="A1169" s="1" t="s">
        <v>2012</v>
      </c>
      <c r="C1169" s="1" t="s">
        <v>2492</v>
      </c>
      <c r="F1169" s="1" t="s">
        <v>2493</v>
      </c>
      <c r="AW1169" s="1" t="s">
        <v>0</v>
      </c>
    </row>
    <row r="1170" spans="1:49" x14ac:dyDescent="0.15">
      <c r="A1170" s="1" t="s">
        <v>2012</v>
      </c>
      <c r="C1170" s="1" t="s">
        <v>2494</v>
      </c>
      <c r="F1170" s="1" t="s">
        <v>2495</v>
      </c>
      <c r="AW1170" s="1" t="s">
        <v>0</v>
      </c>
    </row>
    <row r="1171" spans="1:49" x14ac:dyDescent="0.15">
      <c r="A1171" s="1" t="s">
        <v>2012</v>
      </c>
      <c r="C1171" s="1" t="s">
        <v>2496</v>
      </c>
      <c r="F1171" s="1" t="s">
        <v>2497</v>
      </c>
      <c r="AW1171" s="1" t="s">
        <v>0</v>
      </c>
    </row>
    <row r="1172" spans="1:49" x14ac:dyDescent="0.15">
      <c r="A1172" s="1" t="s">
        <v>2012</v>
      </c>
      <c r="C1172" s="1" t="s">
        <v>2496</v>
      </c>
      <c r="E1172" s="1" t="s">
        <v>2498</v>
      </c>
    </row>
    <row r="1173" spans="1:49" x14ac:dyDescent="0.15">
      <c r="A1173" s="1" t="s">
        <v>2012</v>
      </c>
      <c r="C1173" s="1" t="s">
        <v>2499</v>
      </c>
      <c r="F1173" s="1" t="s">
        <v>2500</v>
      </c>
      <c r="AW1173" s="1" t="s">
        <v>0</v>
      </c>
    </row>
    <row r="1174" spans="1:49" x14ac:dyDescent="0.15">
      <c r="A1174" s="1" t="s">
        <v>2012</v>
      </c>
      <c r="C1174" s="1" t="s">
        <v>2501</v>
      </c>
      <c r="F1174" s="1" t="s">
        <v>2502</v>
      </c>
      <c r="AW1174" s="1" t="s">
        <v>0</v>
      </c>
    </row>
    <row r="1175" spans="1:49" x14ac:dyDescent="0.15">
      <c r="A1175" s="1" t="s">
        <v>2503</v>
      </c>
      <c r="C1175" s="1" t="s">
        <v>2504</v>
      </c>
      <c r="K1175" s="1" t="s">
        <v>2505</v>
      </c>
    </row>
    <row r="1176" spans="1:49" x14ac:dyDescent="0.15">
      <c r="A1176" s="1" t="s">
        <v>2503</v>
      </c>
      <c r="C1176" s="1" t="s">
        <v>2506</v>
      </c>
      <c r="E1176" s="1" t="s">
        <v>2507</v>
      </c>
    </row>
    <row r="1177" spans="1:49" x14ac:dyDescent="0.15">
      <c r="A1177" s="1" t="s">
        <v>2503</v>
      </c>
      <c r="C1177" s="1" t="s">
        <v>2506</v>
      </c>
      <c r="K1177" s="1" t="s">
        <v>2508</v>
      </c>
    </row>
    <row r="1178" spans="1:49" x14ac:dyDescent="0.15">
      <c r="A1178" s="1" t="s">
        <v>2503</v>
      </c>
      <c r="C1178" s="1" t="s">
        <v>2509</v>
      </c>
      <c r="E1178" s="1" t="s">
        <v>2510</v>
      </c>
    </row>
    <row r="1179" spans="1:49" x14ac:dyDescent="0.15">
      <c r="A1179" s="1" t="s">
        <v>2503</v>
      </c>
      <c r="C1179" s="1" t="s">
        <v>2511</v>
      </c>
      <c r="K1179" s="1" t="s">
        <v>2512</v>
      </c>
    </row>
    <row r="1180" spans="1:49" x14ac:dyDescent="0.15">
      <c r="A1180" s="1" t="s">
        <v>2503</v>
      </c>
      <c r="C1180" s="1" t="s">
        <v>2513</v>
      </c>
      <c r="K1180" s="1" t="s">
        <v>2514</v>
      </c>
    </row>
    <row r="1181" spans="1:49" x14ac:dyDescent="0.15">
      <c r="A1181" s="1" t="s">
        <v>2503</v>
      </c>
      <c r="C1181" s="1" t="s">
        <v>2515</v>
      </c>
      <c r="F1181" s="1" t="s">
        <v>2516</v>
      </c>
      <c r="AW1181" s="1" t="s">
        <v>155</v>
      </c>
    </row>
    <row r="1182" spans="1:49" x14ac:dyDescent="0.15">
      <c r="A1182" s="1" t="s">
        <v>2503</v>
      </c>
      <c r="C1182" s="1" t="s">
        <v>2517</v>
      </c>
      <c r="E1182" s="1" t="s">
        <v>2518</v>
      </c>
    </row>
    <row r="1183" spans="1:49" x14ac:dyDescent="0.15">
      <c r="A1183" s="1" t="s">
        <v>2503</v>
      </c>
      <c r="C1183" s="1" t="s">
        <v>2519</v>
      </c>
      <c r="K1183" s="1" t="s">
        <v>2520</v>
      </c>
    </row>
    <row r="1184" spans="1:49" x14ac:dyDescent="0.15">
      <c r="A1184" s="1" t="s">
        <v>2503</v>
      </c>
      <c r="C1184" s="1" t="s">
        <v>433</v>
      </c>
      <c r="F1184" s="1" t="s">
        <v>2521</v>
      </c>
      <c r="AW1184" s="1" t="s">
        <v>141</v>
      </c>
    </row>
    <row r="1185" spans="1:49" x14ac:dyDescent="0.15">
      <c r="A1185" s="1" t="s">
        <v>2503</v>
      </c>
      <c r="C1185" s="1" t="s">
        <v>433</v>
      </c>
      <c r="E1185" s="1" t="s">
        <v>2522</v>
      </c>
    </row>
    <row r="1186" spans="1:49" x14ac:dyDescent="0.15">
      <c r="A1186" s="1" t="s">
        <v>2503</v>
      </c>
      <c r="C1186" s="1" t="s">
        <v>433</v>
      </c>
      <c r="E1186" s="1" t="s">
        <v>2523</v>
      </c>
      <c r="K1186" s="1" t="s">
        <v>2524</v>
      </c>
    </row>
    <row r="1187" spans="1:49" x14ac:dyDescent="0.15">
      <c r="A1187" s="1" t="s">
        <v>2503</v>
      </c>
      <c r="C1187" s="1" t="s">
        <v>2525</v>
      </c>
      <c r="K1187" s="1" t="s">
        <v>2526</v>
      </c>
    </row>
    <row r="1188" spans="1:49" x14ac:dyDescent="0.15">
      <c r="A1188" s="1" t="s">
        <v>2503</v>
      </c>
      <c r="B1188" s="1" t="s">
        <v>2527</v>
      </c>
      <c r="E1188" s="1" t="s">
        <v>2528</v>
      </c>
    </row>
    <row r="1189" spans="1:49" x14ac:dyDescent="0.15">
      <c r="A1189" s="1" t="s">
        <v>2503</v>
      </c>
      <c r="C1189" s="1" t="s">
        <v>2529</v>
      </c>
      <c r="F1189" s="1" t="s">
        <v>2530</v>
      </c>
      <c r="K1189" s="1" t="s">
        <v>2531</v>
      </c>
      <c r="N1189" s="1" t="s">
        <v>148</v>
      </c>
      <c r="O1189" s="1" t="s">
        <v>149</v>
      </c>
      <c r="AW1189" s="1" t="s">
        <v>145</v>
      </c>
    </row>
    <row r="1190" spans="1:49" x14ac:dyDescent="0.15">
      <c r="A1190" s="1" t="s">
        <v>2503</v>
      </c>
      <c r="C1190" s="1" t="s">
        <v>2532</v>
      </c>
      <c r="K1190" s="1" t="s">
        <v>2533</v>
      </c>
    </row>
    <row r="1191" spans="1:49" x14ac:dyDescent="0.15">
      <c r="A1191" s="1" t="s">
        <v>2503</v>
      </c>
      <c r="C1191" s="1" t="s">
        <v>2532</v>
      </c>
      <c r="E1191" s="1" t="s">
        <v>2534</v>
      </c>
    </row>
    <row r="1192" spans="1:49" x14ac:dyDescent="0.15">
      <c r="A1192" s="1" t="s">
        <v>2503</v>
      </c>
      <c r="C1192" s="1" t="s">
        <v>2535</v>
      </c>
      <c r="AW1192" s="1" t="s">
        <v>0</v>
      </c>
    </row>
    <row r="1193" spans="1:49" x14ac:dyDescent="0.15">
      <c r="A1193" s="1" t="s">
        <v>2503</v>
      </c>
      <c r="C1193" s="1" t="s">
        <v>2536</v>
      </c>
      <c r="F1193" s="1" t="s">
        <v>2537</v>
      </c>
      <c r="AW1193" s="1" t="s">
        <v>141</v>
      </c>
    </row>
    <row r="1194" spans="1:49" x14ac:dyDescent="0.15">
      <c r="A1194" s="1" t="s">
        <v>2503</v>
      </c>
      <c r="C1194" s="1" t="s">
        <v>2536</v>
      </c>
      <c r="E1194" s="1" t="s">
        <v>2538</v>
      </c>
    </row>
    <row r="1195" spans="1:49" x14ac:dyDescent="0.15">
      <c r="A1195" s="1" t="s">
        <v>2503</v>
      </c>
      <c r="C1195" s="1" t="s">
        <v>2539</v>
      </c>
      <c r="K1195" s="1" t="s">
        <v>2540</v>
      </c>
    </row>
    <row r="1196" spans="1:49" x14ac:dyDescent="0.15">
      <c r="A1196" s="1" t="s">
        <v>2503</v>
      </c>
      <c r="B1196" s="1" t="s">
        <v>2541</v>
      </c>
      <c r="E1196" s="1" t="s">
        <v>2542</v>
      </c>
    </row>
    <row r="1197" spans="1:49" x14ac:dyDescent="0.15">
      <c r="A1197" s="1" t="s">
        <v>2503</v>
      </c>
      <c r="C1197" s="1" t="s">
        <v>2543</v>
      </c>
      <c r="E1197" s="1" t="s">
        <v>2544</v>
      </c>
    </row>
    <row r="1198" spans="1:49" x14ac:dyDescent="0.15">
      <c r="A1198" s="1" t="s">
        <v>2503</v>
      </c>
      <c r="C1198" s="1" t="s">
        <v>2545</v>
      </c>
      <c r="F1198" s="1" t="s">
        <v>2546</v>
      </c>
      <c r="AW1198" s="1" t="s">
        <v>0</v>
      </c>
    </row>
    <row r="1199" spans="1:49" x14ac:dyDescent="0.15">
      <c r="A1199" s="1" t="s">
        <v>2503</v>
      </c>
      <c r="C1199" s="1" t="s">
        <v>2545</v>
      </c>
      <c r="K1199" s="1" t="s">
        <v>2547</v>
      </c>
    </row>
    <row r="1200" spans="1:49" x14ac:dyDescent="0.15">
      <c r="A1200" s="1" t="s">
        <v>2503</v>
      </c>
      <c r="C1200" s="1" t="s">
        <v>2548</v>
      </c>
      <c r="K1200" s="1" t="s">
        <v>2549</v>
      </c>
    </row>
    <row r="1201" spans="1:49" x14ac:dyDescent="0.15">
      <c r="A1201" s="1" t="s">
        <v>2503</v>
      </c>
      <c r="C1201" s="1" t="s">
        <v>2550</v>
      </c>
      <c r="AW1201" s="1" t="s">
        <v>0</v>
      </c>
    </row>
    <row r="1202" spans="1:49" x14ac:dyDescent="0.15">
      <c r="A1202" s="1" t="s">
        <v>2503</v>
      </c>
      <c r="C1202" s="1" t="s">
        <v>2551</v>
      </c>
      <c r="AW1202" s="1" t="s">
        <v>0</v>
      </c>
    </row>
    <row r="1203" spans="1:49" x14ac:dyDescent="0.15">
      <c r="A1203" s="1" t="s">
        <v>2503</v>
      </c>
      <c r="C1203" s="1" t="s">
        <v>2551</v>
      </c>
      <c r="K1203" s="1" t="s">
        <v>2552</v>
      </c>
    </row>
    <row r="1204" spans="1:49" x14ac:dyDescent="0.15">
      <c r="A1204" s="1" t="s">
        <v>2503</v>
      </c>
      <c r="C1204" s="1" t="s">
        <v>2553</v>
      </c>
      <c r="F1204" s="1" t="s">
        <v>2554</v>
      </c>
      <c r="AW1204" s="1" t="s">
        <v>141</v>
      </c>
    </row>
    <row r="1205" spans="1:49" x14ac:dyDescent="0.15">
      <c r="A1205" s="1" t="s">
        <v>2503</v>
      </c>
      <c r="C1205" s="1" t="s">
        <v>2555</v>
      </c>
      <c r="E1205" s="1" t="s">
        <v>2556</v>
      </c>
    </row>
    <row r="1206" spans="1:49" x14ac:dyDescent="0.15">
      <c r="A1206" s="1" t="s">
        <v>2503</v>
      </c>
      <c r="C1206" s="1" t="s">
        <v>2557</v>
      </c>
      <c r="E1206" s="1" t="s">
        <v>2558</v>
      </c>
      <c r="K1206" s="1" t="s">
        <v>2559</v>
      </c>
    </row>
    <row r="1207" spans="1:49" x14ac:dyDescent="0.15">
      <c r="A1207" s="1" t="s">
        <v>2503</v>
      </c>
      <c r="C1207" s="1" t="s">
        <v>2560</v>
      </c>
      <c r="AW1207" s="1" t="s">
        <v>0</v>
      </c>
    </row>
    <row r="1208" spans="1:49" x14ac:dyDescent="0.15">
      <c r="A1208" s="1" t="s">
        <v>2503</v>
      </c>
      <c r="C1208" s="1" t="s">
        <v>2560</v>
      </c>
      <c r="K1208" s="1" t="s">
        <v>2561</v>
      </c>
    </row>
    <row r="1209" spans="1:49" x14ac:dyDescent="0.15">
      <c r="A1209" s="1" t="s">
        <v>2503</v>
      </c>
      <c r="C1209" s="1" t="s">
        <v>2562</v>
      </c>
      <c r="F1209" s="1" t="s">
        <v>2563</v>
      </c>
      <c r="AW1209" s="1" t="s">
        <v>0</v>
      </c>
    </row>
    <row r="1210" spans="1:49" x14ac:dyDescent="0.15">
      <c r="A1210" s="1" t="s">
        <v>2503</v>
      </c>
      <c r="C1210" s="1" t="s">
        <v>2564</v>
      </c>
      <c r="F1210" s="1" t="s">
        <v>21</v>
      </c>
    </row>
    <row r="1211" spans="1:49" x14ac:dyDescent="0.15">
      <c r="A1211" s="1" t="s">
        <v>2503</v>
      </c>
      <c r="B1211" s="1" t="s">
        <v>2565</v>
      </c>
      <c r="E1211" s="1" t="s">
        <v>2566</v>
      </c>
    </row>
    <row r="1212" spans="1:49" x14ac:dyDescent="0.15">
      <c r="A1212" s="1" t="s">
        <v>2503</v>
      </c>
      <c r="C1212" s="1" t="s">
        <v>2567</v>
      </c>
      <c r="K1212" s="1" t="s">
        <v>2568</v>
      </c>
    </row>
    <row r="1213" spans="1:49" x14ac:dyDescent="0.15">
      <c r="A1213" s="1" t="s">
        <v>2503</v>
      </c>
      <c r="C1213" s="1" t="s">
        <v>2569</v>
      </c>
      <c r="F1213" s="1" t="s">
        <v>2570</v>
      </c>
      <c r="AW1213" s="1" t="s">
        <v>0</v>
      </c>
    </row>
    <row r="1214" spans="1:49" x14ac:dyDescent="0.15">
      <c r="A1214" s="1" t="s">
        <v>2503</v>
      </c>
      <c r="C1214" s="1" t="s">
        <v>2571</v>
      </c>
      <c r="E1214" s="1" t="s">
        <v>2572</v>
      </c>
    </row>
    <row r="1215" spans="1:49" x14ac:dyDescent="0.15">
      <c r="A1215" s="1" t="s">
        <v>2503</v>
      </c>
      <c r="C1215" s="1" t="s">
        <v>2573</v>
      </c>
      <c r="F1215" s="1" t="s">
        <v>2574</v>
      </c>
      <c r="AW1215" s="1" t="s">
        <v>0</v>
      </c>
    </row>
    <row r="1216" spans="1:49" x14ac:dyDescent="0.15">
      <c r="A1216" s="1" t="s">
        <v>2503</v>
      </c>
      <c r="C1216" s="1" t="s">
        <v>2575</v>
      </c>
      <c r="E1216" s="1" t="s">
        <v>2576</v>
      </c>
      <c r="AG1216" s="1" t="s">
        <v>2577</v>
      </c>
    </row>
    <row r="1217" spans="1:49" x14ac:dyDescent="0.15">
      <c r="A1217" s="1" t="s">
        <v>2503</v>
      </c>
      <c r="C1217" s="1" t="s">
        <v>2578</v>
      </c>
      <c r="E1217" s="1" t="s">
        <v>2579</v>
      </c>
    </row>
    <row r="1218" spans="1:49" x14ac:dyDescent="0.15">
      <c r="A1218" s="1" t="s">
        <v>2503</v>
      </c>
      <c r="C1218" s="1" t="s">
        <v>674</v>
      </c>
      <c r="E1218" s="1" t="s">
        <v>2580</v>
      </c>
    </row>
    <row r="1219" spans="1:49" x14ac:dyDescent="0.15">
      <c r="A1219" s="1" t="s">
        <v>2503</v>
      </c>
      <c r="C1219" s="1" t="s">
        <v>2581</v>
      </c>
      <c r="E1219" s="1" t="s">
        <v>2582</v>
      </c>
    </row>
    <row r="1220" spans="1:49" x14ac:dyDescent="0.15">
      <c r="A1220" s="1" t="s">
        <v>2503</v>
      </c>
      <c r="C1220" s="1" t="s">
        <v>2583</v>
      </c>
      <c r="F1220" s="1" t="s">
        <v>2584</v>
      </c>
      <c r="AW1220" s="1" t="s">
        <v>0</v>
      </c>
    </row>
    <row r="1221" spans="1:49" x14ac:dyDescent="0.15">
      <c r="A1221" s="1" t="s">
        <v>2503</v>
      </c>
      <c r="C1221" s="1" t="s">
        <v>2585</v>
      </c>
      <c r="K1221" s="1" t="s">
        <v>2586</v>
      </c>
    </row>
    <row r="1222" spans="1:49" x14ac:dyDescent="0.15">
      <c r="A1222" s="1" t="s">
        <v>2503</v>
      </c>
      <c r="C1222" s="1" t="s">
        <v>2587</v>
      </c>
      <c r="E1222" s="1" t="s">
        <v>2588</v>
      </c>
    </row>
    <row r="1223" spans="1:49" x14ac:dyDescent="0.15">
      <c r="A1223" s="1" t="s">
        <v>2503</v>
      </c>
      <c r="C1223" s="1" t="s">
        <v>2589</v>
      </c>
      <c r="F1223" s="1" t="s">
        <v>2590</v>
      </c>
      <c r="AW1223" s="1" t="s">
        <v>141</v>
      </c>
    </row>
    <row r="1224" spans="1:49" x14ac:dyDescent="0.15">
      <c r="A1224" s="1" t="s">
        <v>2503</v>
      </c>
      <c r="C1224" s="1" t="s">
        <v>2591</v>
      </c>
      <c r="K1224" s="1" t="s">
        <v>2592</v>
      </c>
    </row>
    <row r="1225" spans="1:49" x14ac:dyDescent="0.15">
      <c r="A1225" s="1" t="s">
        <v>2503</v>
      </c>
      <c r="C1225" s="1" t="s">
        <v>2593</v>
      </c>
      <c r="F1225" s="1" t="s">
        <v>2594</v>
      </c>
      <c r="AW1225" s="1" t="s">
        <v>0</v>
      </c>
    </row>
    <row r="1226" spans="1:49" x14ac:dyDescent="0.15">
      <c r="A1226" s="1" t="s">
        <v>2503</v>
      </c>
      <c r="C1226" s="1" t="s">
        <v>2595</v>
      </c>
      <c r="K1226" s="1" t="s">
        <v>2596</v>
      </c>
    </row>
    <row r="1227" spans="1:49" x14ac:dyDescent="0.15">
      <c r="A1227" s="1" t="s">
        <v>2503</v>
      </c>
      <c r="C1227" s="1" t="s">
        <v>2597</v>
      </c>
      <c r="F1227" s="1" t="s">
        <v>2598</v>
      </c>
      <c r="N1227" s="1" t="s">
        <v>148</v>
      </c>
      <c r="O1227" s="1" t="s">
        <v>149</v>
      </c>
      <c r="AW1227" s="1" t="s">
        <v>145</v>
      </c>
    </row>
    <row r="1228" spans="1:49" x14ac:dyDescent="0.15">
      <c r="A1228" s="1" t="s">
        <v>2503</v>
      </c>
      <c r="C1228" s="1" t="s">
        <v>2597</v>
      </c>
      <c r="K1228" s="1" t="s">
        <v>2599</v>
      </c>
    </row>
    <row r="1229" spans="1:49" x14ac:dyDescent="0.15">
      <c r="A1229" s="1" t="s">
        <v>2503</v>
      </c>
      <c r="C1229" s="1" t="s">
        <v>2597</v>
      </c>
      <c r="K1229" s="1" t="s">
        <v>2600</v>
      </c>
    </row>
    <row r="1230" spans="1:49" x14ac:dyDescent="0.15">
      <c r="A1230" s="1" t="s">
        <v>2503</v>
      </c>
      <c r="C1230" s="1" t="s">
        <v>2601</v>
      </c>
      <c r="K1230" s="1" t="s">
        <v>2602</v>
      </c>
    </row>
    <row r="1231" spans="1:49" x14ac:dyDescent="0.15">
      <c r="A1231" s="1" t="s">
        <v>2503</v>
      </c>
      <c r="C1231" s="1" t="s">
        <v>2603</v>
      </c>
      <c r="F1231" s="1" t="s">
        <v>2604</v>
      </c>
      <c r="AW1231" s="1" t="s">
        <v>0</v>
      </c>
    </row>
    <row r="1232" spans="1:49" x14ac:dyDescent="0.15">
      <c r="A1232" s="1" t="s">
        <v>2503</v>
      </c>
      <c r="C1232" s="1" t="s">
        <v>2605</v>
      </c>
      <c r="E1232" s="1" t="s">
        <v>2606</v>
      </c>
    </row>
    <row r="1233" spans="1:49" x14ac:dyDescent="0.15">
      <c r="A1233" s="1" t="s">
        <v>2503</v>
      </c>
      <c r="C1233" s="1" t="s">
        <v>2607</v>
      </c>
      <c r="F1233" s="1" t="s">
        <v>2608</v>
      </c>
      <c r="AW1233" s="1" t="s">
        <v>0</v>
      </c>
    </row>
    <row r="1234" spans="1:49" x14ac:dyDescent="0.15">
      <c r="A1234" s="1" t="s">
        <v>2503</v>
      </c>
      <c r="C1234" s="1" t="s">
        <v>2607</v>
      </c>
      <c r="K1234" s="1" t="s">
        <v>2609</v>
      </c>
    </row>
    <row r="1235" spans="1:49" x14ac:dyDescent="0.15">
      <c r="A1235" s="1" t="s">
        <v>2503</v>
      </c>
      <c r="C1235" s="1" t="s">
        <v>2610</v>
      </c>
      <c r="E1235" s="1" t="s">
        <v>2611</v>
      </c>
    </row>
    <row r="1236" spans="1:49" x14ac:dyDescent="0.15">
      <c r="A1236" s="1" t="s">
        <v>2503</v>
      </c>
      <c r="C1236" s="1" t="s">
        <v>2612</v>
      </c>
      <c r="E1236" s="1" t="s">
        <v>2613</v>
      </c>
    </row>
    <row r="1237" spans="1:49" x14ac:dyDescent="0.15">
      <c r="A1237" s="1" t="s">
        <v>2503</v>
      </c>
      <c r="C1237" s="1" t="s">
        <v>2614</v>
      </c>
      <c r="F1237" s="1" t="s">
        <v>2615</v>
      </c>
      <c r="AW1237" s="1" t="s">
        <v>0</v>
      </c>
    </row>
    <row r="1238" spans="1:49" x14ac:dyDescent="0.15">
      <c r="A1238" s="1" t="s">
        <v>2503</v>
      </c>
      <c r="C1238" s="1" t="s">
        <v>2616</v>
      </c>
      <c r="F1238" s="1" t="s">
        <v>2617</v>
      </c>
      <c r="AW1238" s="1" t="s">
        <v>141</v>
      </c>
    </row>
    <row r="1239" spans="1:49" x14ac:dyDescent="0.15">
      <c r="A1239" s="1" t="s">
        <v>2503</v>
      </c>
      <c r="C1239" s="1" t="s">
        <v>2616</v>
      </c>
      <c r="E1239" s="1" t="s">
        <v>2618</v>
      </c>
    </row>
    <row r="1240" spans="1:49" x14ac:dyDescent="0.15">
      <c r="A1240" s="1" t="s">
        <v>2503</v>
      </c>
      <c r="C1240" s="1" t="s">
        <v>2619</v>
      </c>
      <c r="E1240" s="1" t="s">
        <v>2620</v>
      </c>
    </row>
    <row r="1241" spans="1:49" x14ac:dyDescent="0.15">
      <c r="A1241" s="1" t="s">
        <v>2503</v>
      </c>
      <c r="C1241" s="1" t="s">
        <v>2621</v>
      </c>
      <c r="F1241" s="1" t="s">
        <v>2622</v>
      </c>
      <c r="AW1241" s="1" t="s">
        <v>0</v>
      </c>
    </row>
    <row r="1242" spans="1:49" x14ac:dyDescent="0.15">
      <c r="A1242" s="1" t="s">
        <v>2503</v>
      </c>
      <c r="C1242" s="1" t="s">
        <v>2623</v>
      </c>
      <c r="E1242" s="1" t="s">
        <v>2624</v>
      </c>
    </row>
    <row r="1243" spans="1:49" x14ac:dyDescent="0.15">
      <c r="A1243" s="1" t="s">
        <v>2503</v>
      </c>
      <c r="C1243" s="1" t="s">
        <v>2623</v>
      </c>
      <c r="K1243" s="1" t="s">
        <v>2625</v>
      </c>
    </row>
    <row r="1244" spans="1:49" x14ac:dyDescent="0.15">
      <c r="A1244" s="1" t="s">
        <v>2503</v>
      </c>
      <c r="C1244" s="1" t="s">
        <v>2626</v>
      </c>
      <c r="F1244" s="1" t="s">
        <v>2627</v>
      </c>
      <c r="AW1244" s="1" t="s">
        <v>0</v>
      </c>
    </row>
    <row r="1245" spans="1:49" x14ac:dyDescent="0.15">
      <c r="A1245" s="1" t="s">
        <v>2503</v>
      </c>
      <c r="C1245" s="1" t="s">
        <v>2628</v>
      </c>
      <c r="F1245" s="1" t="s">
        <v>2629</v>
      </c>
      <c r="AW1245" s="1" t="s">
        <v>0</v>
      </c>
    </row>
    <row r="1246" spans="1:49" x14ac:dyDescent="0.15">
      <c r="A1246" s="1" t="s">
        <v>2503</v>
      </c>
      <c r="C1246" s="1" t="s">
        <v>2628</v>
      </c>
      <c r="K1246" s="1" t="s">
        <v>2630</v>
      </c>
    </row>
    <row r="1247" spans="1:49" x14ac:dyDescent="0.15">
      <c r="A1247" s="1" t="s">
        <v>2503</v>
      </c>
      <c r="C1247" s="1" t="s">
        <v>2631</v>
      </c>
      <c r="F1247" s="1" t="s">
        <v>2632</v>
      </c>
      <c r="K1247" s="1" t="s">
        <v>2633</v>
      </c>
      <c r="N1247" s="1" t="s">
        <v>148</v>
      </c>
      <c r="O1247" s="1" t="s">
        <v>149</v>
      </c>
      <c r="AW1247" s="1" t="s">
        <v>145</v>
      </c>
    </row>
    <row r="1248" spans="1:49" x14ac:dyDescent="0.15">
      <c r="A1248" s="1" t="s">
        <v>2503</v>
      </c>
      <c r="C1248" s="1" t="s">
        <v>2634</v>
      </c>
      <c r="K1248" s="1" t="s">
        <v>2635</v>
      </c>
    </row>
    <row r="1249" spans="1:49" x14ac:dyDescent="0.15">
      <c r="A1249" s="1" t="s">
        <v>2503</v>
      </c>
      <c r="C1249" s="1" t="s">
        <v>2636</v>
      </c>
      <c r="F1249" s="1" t="s">
        <v>2637</v>
      </c>
      <c r="AW1249" s="1" t="s">
        <v>141</v>
      </c>
    </row>
    <row r="1250" spans="1:49" x14ac:dyDescent="0.15">
      <c r="A1250" s="1" t="s">
        <v>2503</v>
      </c>
      <c r="C1250" s="1" t="s">
        <v>2636</v>
      </c>
      <c r="E1250" s="1" t="s">
        <v>2638</v>
      </c>
    </row>
    <row r="1251" spans="1:49" x14ac:dyDescent="0.15">
      <c r="A1251" s="1" t="s">
        <v>2503</v>
      </c>
      <c r="C1251" s="1" t="s">
        <v>2639</v>
      </c>
      <c r="F1251" s="1" t="s">
        <v>2640</v>
      </c>
      <c r="AW1251" s="1" t="s">
        <v>0</v>
      </c>
    </row>
    <row r="1252" spans="1:49" x14ac:dyDescent="0.15">
      <c r="A1252" s="1" t="s">
        <v>2503</v>
      </c>
      <c r="C1252" s="1" t="s">
        <v>2641</v>
      </c>
      <c r="F1252" s="1" t="s">
        <v>2642</v>
      </c>
      <c r="AW1252" s="1" t="s">
        <v>141</v>
      </c>
    </row>
    <row r="1253" spans="1:49" x14ac:dyDescent="0.15">
      <c r="A1253" s="1" t="s">
        <v>2503</v>
      </c>
      <c r="C1253" s="1" t="s">
        <v>2643</v>
      </c>
      <c r="F1253" s="1" t="s">
        <v>2644</v>
      </c>
      <c r="AW1253" s="1" t="s">
        <v>0</v>
      </c>
    </row>
    <row r="1254" spans="1:49" x14ac:dyDescent="0.15">
      <c r="A1254" s="1" t="s">
        <v>2503</v>
      </c>
      <c r="C1254" s="1" t="s">
        <v>2643</v>
      </c>
      <c r="E1254" s="1" t="s">
        <v>2645</v>
      </c>
    </row>
    <row r="1255" spans="1:49" x14ac:dyDescent="0.15">
      <c r="A1255" s="1" t="s">
        <v>2503</v>
      </c>
      <c r="C1255" s="1" t="s">
        <v>2646</v>
      </c>
      <c r="F1255" s="1" t="s">
        <v>2647</v>
      </c>
      <c r="AW1255" s="1" t="s">
        <v>0</v>
      </c>
    </row>
    <row r="1256" spans="1:49" x14ac:dyDescent="0.15">
      <c r="A1256" s="1" t="s">
        <v>2503</v>
      </c>
      <c r="C1256" s="1" t="s">
        <v>2648</v>
      </c>
      <c r="K1256" s="1" t="s">
        <v>2649</v>
      </c>
    </row>
    <row r="1257" spans="1:49" x14ac:dyDescent="0.15">
      <c r="A1257" s="1" t="s">
        <v>2503</v>
      </c>
      <c r="C1257" s="1" t="s">
        <v>2648</v>
      </c>
      <c r="E1257" s="1" t="s">
        <v>2650</v>
      </c>
    </row>
    <row r="1258" spans="1:49" x14ac:dyDescent="0.15">
      <c r="A1258" s="1" t="s">
        <v>2503</v>
      </c>
      <c r="C1258" s="1" t="s">
        <v>2648</v>
      </c>
      <c r="K1258" s="1" t="s">
        <v>2651</v>
      </c>
    </row>
    <row r="1259" spans="1:49" x14ac:dyDescent="0.15">
      <c r="A1259" s="1" t="s">
        <v>2503</v>
      </c>
      <c r="C1259" s="1" t="s">
        <v>2648</v>
      </c>
      <c r="K1259" s="1" t="s">
        <v>2652</v>
      </c>
    </row>
    <row r="1260" spans="1:49" x14ac:dyDescent="0.15">
      <c r="A1260" s="1" t="s">
        <v>2503</v>
      </c>
      <c r="C1260" s="1" t="s">
        <v>2653</v>
      </c>
      <c r="F1260" s="1" t="s">
        <v>2654</v>
      </c>
      <c r="N1260" s="1" t="s">
        <v>148</v>
      </c>
      <c r="O1260" s="1" t="s">
        <v>149</v>
      </c>
      <c r="AW1260" s="1" t="s">
        <v>145</v>
      </c>
    </row>
    <row r="1261" spans="1:49" x14ac:dyDescent="0.15">
      <c r="A1261" s="1" t="s">
        <v>2503</v>
      </c>
      <c r="C1261" s="1" t="s">
        <v>2655</v>
      </c>
      <c r="K1261" s="1" t="s">
        <v>2656</v>
      </c>
    </row>
    <row r="1262" spans="1:49" x14ac:dyDescent="0.15">
      <c r="A1262" s="1" t="s">
        <v>2503</v>
      </c>
      <c r="C1262" s="1" t="s">
        <v>2657</v>
      </c>
      <c r="K1262" s="1" t="s">
        <v>2658</v>
      </c>
    </row>
    <row r="1263" spans="1:49" x14ac:dyDescent="0.15">
      <c r="A1263" s="1" t="s">
        <v>2503</v>
      </c>
      <c r="C1263" s="1" t="s">
        <v>49</v>
      </c>
      <c r="E1263" s="1" t="s">
        <v>2659</v>
      </c>
      <c r="F1263" s="1" t="s">
        <v>2660</v>
      </c>
      <c r="K1263" s="1" t="s">
        <v>2661</v>
      </c>
      <c r="R1263" s="1" t="s">
        <v>2662</v>
      </c>
      <c r="X1263" s="1" t="s">
        <v>2663</v>
      </c>
    </row>
    <row r="1264" spans="1:49" x14ac:dyDescent="0.15">
      <c r="A1264" s="1" t="s">
        <v>2503</v>
      </c>
      <c r="C1264" s="1" t="s">
        <v>2664</v>
      </c>
      <c r="E1264" s="1" t="s">
        <v>2665</v>
      </c>
    </row>
    <row r="1265" spans="1:49" x14ac:dyDescent="0.15">
      <c r="A1265" s="1" t="s">
        <v>2503</v>
      </c>
      <c r="C1265" s="1" t="s">
        <v>2666</v>
      </c>
      <c r="K1265" s="1" t="s">
        <v>2667</v>
      </c>
    </row>
    <row r="1266" spans="1:49" x14ac:dyDescent="0.15">
      <c r="A1266" s="1" t="s">
        <v>2503</v>
      </c>
      <c r="C1266" s="1" t="s">
        <v>2668</v>
      </c>
      <c r="F1266" s="1" t="s">
        <v>2669</v>
      </c>
      <c r="AW1266" s="1" t="s">
        <v>0</v>
      </c>
    </row>
    <row r="1267" spans="1:49" x14ac:dyDescent="0.15">
      <c r="A1267" s="1" t="s">
        <v>2503</v>
      </c>
      <c r="C1267" s="1" t="s">
        <v>2668</v>
      </c>
      <c r="E1267" s="1" t="s">
        <v>2670</v>
      </c>
    </row>
    <row r="1268" spans="1:49" x14ac:dyDescent="0.15">
      <c r="A1268" s="1" t="s">
        <v>2503</v>
      </c>
      <c r="C1268" s="1" t="s">
        <v>2671</v>
      </c>
      <c r="F1268" s="1" t="s">
        <v>2672</v>
      </c>
      <c r="K1268" s="1" t="s">
        <v>2673</v>
      </c>
      <c r="AW1268" s="1" t="s">
        <v>145</v>
      </c>
    </row>
    <row r="1269" spans="1:49" x14ac:dyDescent="0.15">
      <c r="A1269" s="1" t="s">
        <v>2503</v>
      </c>
      <c r="C1269" s="1" t="s">
        <v>2674</v>
      </c>
      <c r="K1269" s="1" t="s">
        <v>2675</v>
      </c>
    </row>
    <row r="1270" spans="1:49" x14ac:dyDescent="0.15">
      <c r="A1270" s="1" t="s">
        <v>2503</v>
      </c>
      <c r="C1270" s="1" t="s">
        <v>2674</v>
      </c>
      <c r="E1270" s="1" t="s">
        <v>2676</v>
      </c>
    </row>
    <row r="1271" spans="1:49" x14ac:dyDescent="0.15">
      <c r="A1271" s="1" t="s">
        <v>2503</v>
      </c>
      <c r="C1271" s="1" t="s">
        <v>2677</v>
      </c>
      <c r="K1271" s="1" t="s">
        <v>2678</v>
      </c>
    </row>
    <row r="1272" spans="1:49" x14ac:dyDescent="0.15">
      <c r="A1272" s="1" t="s">
        <v>2503</v>
      </c>
      <c r="C1272" s="1" t="s">
        <v>2677</v>
      </c>
      <c r="E1272" s="1" t="s">
        <v>2679</v>
      </c>
    </row>
    <row r="1273" spans="1:49" x14ac:dyDescent="0.15">
      <c r="A1273" s="1" t="s">
        <v>2503</v>
      </c>
      <c r="C1273" s="1" t="s">
        <v>2680</v>
      </c>
      <c r="F1273" s="1" t="s">
        <v>2681</v>
      </c>
      <c r="AW1273" s="1" t="s">
        <v>0</v>
      </c>
    </row>
    <row r="1274" spans="1:49" x14ac:dyDescent="0.15">
      <c r="A1274" s="1" t="s">
        <v>2503</v>
      </c>
      <c r="C1274" s="1" t="s">
        <v>2682</v>
      </c>
      <c r="F1274" s="1" t="s">
        <v>2683</v>
      </c>
      <c r="N1274" s="1" t="s">
        <v>148</v>
      </c>
      <c r="O1274" s="1" t="s">
        <v>149</v>
      </c>
      <c r="AW1274" s="1" t="s">
        <v>145</v>
      </c>
    </row>
    <row r="1275" spans="1:49" x14ac:dyDescent="0.15">
      <c r="A1275" s="1" t="s">
        <v>2503</v>
      </c>
      <c r="C1275" s="1" t="s">
        <v>2682</v>
      </c>
      <c r="F1275" s="1" t="s">
        <v>2684</v>
      </c>
      <c r="AW1275" s="1" t="s">
        <v>0</v>
      </c>
    </row>
    <row r="1276" spans="1:49" x14ac:dyDescent="0.15">
      <c r="A1276" s="1" t="s">
        <v>2503</v>
      </c>
      <c r="C1276" s="1" t="s">
        <v>2682</v>
      </c>
      <c r="E1276" s="1" t="s">
        <v>2685</v>
      </c>
    </row>
    <row r="1277" spans="1:49" x14ac:dyDescent="0.15">
      <c r="A1277" s="1" t="s">
        <v>2503</v>
      </c>
      <c r="C1277" s="1" t="s">
        <v>2682</v>
      </c>
      <c r="K1277" s="1" t="s">
        <v>2686</v>
      </c>
    </row>
    <row r="1278" spans="1:49" x14ac:dyDescent="0.15">
      <c r="A1278" s="1" t="s">
        <v>2503</v>
      </c>
      <c r="C1278" s="1" t="s">
        <v>2687</v>
      </c>
      <c r="F1278" s="1" t="s">
        <v>2688</v>
      </c>
      <c r="AW1278" s="1" t="s">
        <v>141</v>
      </c>
    </row>
    <row r="1279" spans="1:49" x14ac:dyDescent="0.15">
      <c r="A1279" s="1" t="s">
        <v>2503</v>
      </c>
      <c r="C1279" s="1" t="s">
        <v>2687</v>
      </c>
      <c r="E1279" s="1" t="s">
        <v>2689</v>
      </c>
    </row>
    <row r="1280" spans="1:49" x14ac:dyDescent="0.15">
      <c r="A1280" s="1" t="s">
        <v>2503</v>
      </c>
      <c r="C1280" s="1" t="s">
        <v>2690</v>
      </c>
      <c r="F1280" s="1" t="s">
        <v>2691</v>
      </c>
      <c r="AW1280" s="1" t="s">
        <v>1881</v>
      </c>
    </row>
    <row r="1281" spans="1:49" x14ac:dyDescent="0.15">
      <c r="A1281" s="1" t="s">
        <v>2503</v>
      </c>
      <c r="C1281" s="1" t="s">
        <v>2692</v>
      </c>
      <c r="F1281" s="1" t="s">
        <v>2693</v>
      </c>
      <c r="AW1281" s="1" t="s">
        <v>141</v>
      </c>
    </row>
    <row r="1282" spans="1:49" x14ac:dyDescent="0.15">
      <c r="A1282" s="1" t="s">
        <v>2503</v>
      </c>
      <c r="C1282" s="1" t="s">
        <v>2692</v>
      </c>
      <c r="E1282" s="1" t="s">
        <v>2694</v>
      </c>
    </row>
    <row r="1283" spans="1:49" x14ac:dyDescent="0.15">
      <c r="A1283" s="1" t="s">
        <v>2503</v>
      </c>
      <c r="C1283" s="1" t="s">
        <v>2695</v>
      </c>
      <c r="E1283" s="1" t="s">
        <v>2696</v>
      </c>
    </row>
    <row r="1284" spans="1:49" x14ac:dyDescent="0.15">
      <c r="A1284" s="1" t="s">
        <v>2503</v>
      </c>
      <c r="C1284" s="1" t="s">
        <v>2697</v>
      </c>
      <c r="K1284" s="1" t="s">
        <v>2698</v>
      </c>
    </row>
    <row r="1285" spans="1:49" x14ac:dyDescent="0.15">
      <c r="A1285" s="1" t="s">
        <v>2503</v>
      </c>
      <c r="C1285" s="1" t="s">
        <v>2697</v>
      </c>
      <c r="E1285" s="1" t="s">
        <v>2699</v>
      </c>
    </row>
    <row r="1286" spans="1:49" x14ac:dyDescent="0.15">
      <c r="A1286" s="1" t="s">
        <v>2503</v>
      </c>
      <c r="C1286" s="1" t="s">
        <v>2700</v>
      </c>
      <c r="F1286" s="1" t="s">
        <v>2701</v>
      </c>
      <c r="AW1286" s="1" t="s">
        <v>0</v>
      </c>
    </row>
    <row r="1287" spans="1:49" x14ac:dyDescent="0.15">
      <c r="A1287" s="1" t="s">
        <v>2503</v>
      </c>
      <c r="C1287" s="1" t="s">
        <v>2700</v>
      </c>
      <c r="K1287" s="1" t="s">
        <v>2702</v>
      </c>
    </row>
    <row r="1288" spans="1:49" x14ac:dyDescent="0.15">
      <c r="A1288" s="1" t="s">
        <v>2503</v>
      </c>
      <c r="C1288" s="1" t="s">
        <v>2703</v>
      </c>
      <c r="E1288" s="1" t="s">
        <v>2704</v>
      </c>
    </row>
    <row r="1289" spans="1:49" x14ac:dyDescent="0.15">
      <c r="A1289" s="1" t="s">
        <v>2705</v>
      </c>
      <c r="C1289" s="1" t="s">
        <v>2706</v>
      </c>
      <c r="K1289" s="1" t="s">
        <v>2707</v>
      </c>
    </row>
    <row r="1290" spans="1:49" x14ac:dyDescent="0.15">
      <c r="A1290" s="1" t="s">
        <v>2705</v>
      </c>
      <c r="C1290" s="1" t="s">
        <v>2708</v>
      </c>
      <c r="K1290" s="1" t="s">
        <v>2709</v>
      </c>
    </row>
    <row r="1291" spans="1:49" x14ac:dyDescent="0.15">
      <c r="A1291" s="1" t="s">
        <v>2705</v>
      </c>
      <c r="C1291" s="1" t="s">
        <v>2710</v>
      </c>
      <c r="K1291" s="1" t="s">
        <v>2711</v>
      </c>
    </row>
    <row r="1292" spans="1:49" x14ac:dyDescent="0.15">
      <c r="A1292" s="1" t="s">
        <v>2705</v>
      </c>
      <c r="C1292" s="1" t="s">
        <v>2712</v>
      </c>
      <c r="K1292" s="1" t="s">
        <v>2713</v>
      </c>
    </row>
    <row r="1293" spans="1:49" x14ac:dyDescent="0.15">
      <c r="A1293" s="1" t="s">
        <v>2705</v>
      </c>
      <c r="C1293" s="1" t="s">
        <v>2714</v>
      </c>
      <c r="K1293" s="1" t="s">
        <v>2715</v>
      </c>
    </row>
    <row r="1294" spans="1:49" x14ac:dyDescent="0.15">
      <c r="A1294" s="1" t="s">
        <v>2705</v>
      </c>
      <c r="C1294" s="1" t="s">
        <v>2716</v>
      </c>
      <c r="K1294" s="1" t="s">
        <v>2717</v>
      </c>
    </row>
    <row r="1295" spans="1:49" x14ac:dyDescent="0.15">
      <c r="A1295" s="1" t="s">
        <v>2705</v>
      </c>
      <c r="C1295" s="1" t="s">
        <v>2718</v>
      </c>
      <c r="F1295" s="1" t="s">
        <v>2719</v>
      </c>
      <c r="AW1295" s="1" t="s">
        <v>0</v>
      </c>
    </row>
    <row r="1296" spans="1:49" x14ac:dyDescent="0.15">
      <c r="A1296" s="1" t="s">
        <v>2705</v>
      </c>
      <c r="C1296" s="1" t="s">
        <v>2718</v>
      </c>
      <c r="K1296" s="1" t="s">
        <v>2720</v>
      </c>
    </row>
    <row r="1297" spans="1:49" x14ac:dyDescent="0.15">
      <c r="A1297" s="1" t="s">
        <v>2705</v>
      </c>
      <c r="C1297" s="1" t="s">
        <v>2721</v>
      </c>
      <c r="K1297" s="1" t="s">
        <v>2722</v>
      </c>
    </row>
    <row r="1298" spans="1:49" x14ac:dyDescent="0.15">
      <c r="A1298" s="1" t="s">
        <v>2705</v>
      </c>
      <c r="C1298" s="1" t="s">
        <v>2723</v>
      </c>
      <c r="F1298" s="1" t="s">
        <v>2724</v>
      </c>
      <c r="AW1298" s="1" t="s">
        <v>0</v>
      </c>
    </row>
    <row r="1299" spans="1:49" x14ac:dyDescent="0.15">
      <c r="A1299" s="1" t="s">
        <v>2705</v>
      </c>
      <c r="C1299" s="1" t="s">
        <v>2723</v>
      </c>
      <c r="K1299" s="1" t="s">
        <v>2725</v>
      </c>
    </row>
    <row r="1300" spans="1:49" x14ac:dyDescent="0.15">
      <c r="A1300" s="1" t="s">
        <v>2705</v>
      </c>
      <c r="C1300" s="1" t="s">
        <v>2726</v>
      </c>
      <c r="K1300" s="1" t="s">
        <v>2727</v>
      </c>
    </row>
    <row r="1301" spans="1:49" x14ac:dyDescent="0.15">
      <c r="A1301" s="1" t="s">
        <v>2705</v>
      </c>
      <c r="C1301" s="1" t="s">
        <v>2728</v>
      </c>
      <c r="K1301" s="1" t="s">
        <v>2729</v>
      </c>
    </row>
    <row r="1302" spans="1:49" x14ac:dyDescent="0.15">
      <c r="A1302" s="1" t="s">
        <v>2705</v>
      </c>
      <c r="C1302" s="1" t="s">
        <v>2730</v>
      </c>
      <c r="E1302" s="1" t="s">
        <v>2731</v>
      </c>
    </row>
    <row r="1303" spans="1:49" x14ac:dyDescent="0.15">
      <c r="A1303" s="1" t="s">
        <v>2705</v>
      </c>
      <c r="C1303" s="1" t="s">
        <v>2730</v>
      </c>
      <c r="K1303" s="1" t="s">
        <v>2732</v>
      </c>
    </row>
    <row r="1304" spans="1:49" x14ac:dyDescent="0.15">
      <c r="A1304" s="1" t="s">
        <v>2705</v>
      </c>
      <c r="C1304" s="1" t="s">
        <v>2733</v>
      </c>
      <c r="K1304" s="1" t="s">
        <v>2734</v>
      </c>
    </row>
    <row r="1305" spans="1:49" x14ac:dyDescent="0.15">
      <c r="A1305" s="1" t="s">
        <v>2705</v>
      </c>
      <c r="C1305" s="1" t="s">
        <v>2735</v>
      </c>
      <c r="K1305" s="1" t="s">
        <v>2736</v>
      </c>
    </row>
    <row r="1306" spans="1:49" x14ac:dyDescent="0.15">
      <c r="A1306" s="1" t="s">
        <v>2705</v>
      </c>
      <c r="C1306" s="1" t="s">
        <v>2737</v>
      </c>
      <c r="K1306" s="1" t="s">
        <v>2738</v>
      </c>
    </row>
    <row r="1307" spans="1:49" x14ac:dyDescent="0.15">
      <c r="A1307" s="1" t="s">
        <v>2705</v>
      </c>
      <c r="C1307" s="1" t="s">
        <v>2739</v>
      </c>
      <c r="K1307" s="1" t="s">
        <v>2740</v>
      </c>
    </row>
    <row r="1308" spans="1:49" x14ac:dyDescent="0.15">
      <c r="A1308" s="1" t="s">
        <v>2705</v>
      </c>
      <c r="C1308" s="1" t="s">
        <v>2741</v>
      </c>
      <c r="K1308" s="1" t="s">
        <v>2742</v>
      </c>
    </row>
    <row r="1309" spans="1:49" x14ac:dyDescent="0.15">
      <c r="A1309" s="1" t="s">
        <v>2705</v>
      </c>
      <c r="C1309" s="1" t="s">
        <v>2743</v>
      </c>
      <c r="K1309" s="1" t="s">
        <v>2744</v>
      </c>
    </row>
    <row r="1310" spans="1:49" x14ac:dyDescent="0.15">
      <c r="A1310" s="1" t="s">
        <v>2705</v>
      </c>
      <c r="C1310" s="1" t="s">
        <v>2745</v>
      </c>
      <c r="K1310" s="1" t="s">
        <v>2746</v>
      </c>
    </row>
    <row r="1311" spans="1:49" x14ac:dyDescent="0.15">
      <c r="A1311" s="1" t="s">
        <v>2705</v>
      </c>
      <c r="C1311" s="1" t="s">
        <v>2747</v>
      </c>
      <c r="K1311" s="1" t="s">
        <v>2748</v>
      </c>
    </row>
    <row r="1312" spans="1:49" x14ac:dyDescent="0.15">
      <c r="A1312" s="1" t="s">
        <v>2705</v>
      </c>
      <c r="C1312" s="1" t="s">
        <v>2749</v>
      </c>
      <c r="K1312" s="1" t="s">
        <v>2750</v>
      </c>
    </row>
    <row r="1313" spans="1:11" x14ac:dyDescent="0.15">
      <c r="A1313" s="1" t="s">
        <v>2705</v>
      </c>
      <c r="C1313" s="1" t="s">
        <v>2751</v>
      </c>
      <c r="K1313" s="1" t="s">
        <v>2752</v>
      </c>
    </row>
    <row r="1314" spans="1:11" x14ac:dyDescent="0.15">
      <c r="A1314" s="1" t="s">
        <v>2705</v>
      </c>
      <c r="C1314" s="1" t="s">
        <v>2753</v>
      </c>
      <c r="K1314" s="1" t="s">
        <v>2754</v>
      </c>
    </row>
    <row r="1315" spans="1:11" x14ac:dyDescent="0.15">
      <c r="A1315" s="1" t="s">
        <v>2705</v>
      </c>
      <c r="C1315" s="1" t="s">
        <v>2755</v>
      </c>
      <c r="K1315" s="1" t="s">
        <v>2756</v>
      </c>
    </row>
    <row r="1316" spans="1:11" x14ac:dyDescent="0.15">
      <c r="A1316" s="1" t="s">
        <v>2705</v>
      </c>
      <c r="C1316" s="1" t="s">
        <v>2757</v>
      </c>
      <c r="K1316" s="1" t="s">
        <v>2758</v>
      </c>
    </row>
    <row r="1317" spans="1:11" x14ac:dyDescent="0.15">
      <c r="A1317" s="1" t="s">
        <v>2705</v>
      </c>
      <c r="C1317" s="1" t="s">
        <v>2759</v>
      </c>
      <c r="K1317" s="1" t="s">
        <v>2760</v>
      </c>
    </row>
    <row r="1318" spans="1:11" x14ac:dyDescent="0.15">
      <c r="A1318" s="1" t="s">
        <v>2705</v>
      </c>
      <c r="C1318" s="1" t="s">
        <v>2761</v>
      </c>
      <c r="K1318" s="1" t="s">
        <v>2762</v>
      </c>
    </row>
    <row r="1319" spans="1:11" x14ac:dyDescent="0.15">
      <c r="A1319" s="1" t="s">
        <v>2705</v>
      </c>
      <c r="C1319" s="1" t="s">
        <v>2763</v>
      </c>
      <c r="K1319" s="1" t="s">
        <v>2762</v>
      </c>
    </row>
    <row r="1320" spans="1:11" x14ac:dyDescent="0.15">
      <c r="A1320" s="1" t="s">
        <v>2705</v>
      </c>
      <c r="C1320" s="1" t="s">
        <v>2764</v>
      </c>
      <c r="K1320" s="1" t="s">
        <v>2765</v>
      </c>
    </row>
    <row r="1321" spans="1:11" x14ac:dyDescent="0.15">
      <c r="A1321" s="1" t="s">
        <v>2705</v>
      </c>
      <c r="C1321" s="1" t="s">
        <v>2766</v>
      </c>
      <c r="K1321" s="1" t="s">
        <v>2767</v>
      </c>
    </row>
    <row r="1322" spans="1:11" x14ac:dyDescent="0.15">
      <c r="A1322" s="1" t="s">
        <v>2705</v>
      </c>
      <c r="C1322" s="1" t="s">
        <v>2768</v>
      </c>
      <c r="K1322" s="1" t="s">
        <v>2769</v>
      </c>
    </row>
    <row r="1323" spans="1:11" x14ac:dyDescent="0.15">
      <c r="A1323" s="1" t="s">
        <v>2705</v>
      </c>
      <c r="C1323" s="1" t="s">
        <v>2770</v>
      </c>
      <c r="K1323" s="1" t="s">
        <v>2771</v>
      </c>
    </row>
    <row r="1324" spans="1:11" x14ac:dyDescent="0.15">
      <c r="A1324" s="1" t="s">
        <v>2705</v>
      </c>
      <c r="C1324" s="1" t="s">
        <v>2772</v>
      </c>
      <c r="K1324" s="1" t="s">
        <v>2773</v>
      </c>
    </row>
    <row r="1325" spans="1:11" x14ac:dyDescent="0.15">
      <c r="A1325" s="1" t="s">
        <v>2705</v>
      </c>
      <c r="C1325" s="1" t="s">
        <v>2774</v>
      </c>
      <c r="K1325" s="1" t="s">
        <v>2775</v>
      </c>
    </row>
    <row r="1326" spans="1:11" x14ac:dyDescent="0.15">
      <c r="A1326" s="1" t="s">
        <v>2705</v>
      </c>
      <c r="C1326" s="1" t="s">
        <v>2776</v>
      </c>
      <c r="K1326" s="1" t="s">
        <v>2777</v>
      </c>
    </row>
    <row r="1327" spans="1:11" x14ac:dyDescent="0.15">
      <c r="A1327" s="1" t="s">
        <v>2705</v>
      </c>
      <c r="C1327" s="1" t="s">
        <v>2778</v>
      </c>
      <c r="K1327" s="1" t="s">
        <v>2779</v>
      </c>
    </row>
    <row r="1328" spans="1:11" x14ac:dyDescent="0.15">
      <c r="A1328" s="1" t="s">
        <v>2705</v>
      </c>
      <c r="C1328" s="1" t="s">
        <v>2780</v>
      </c>
      <c r="K1328" s="1" t="s">
        <v>2781</v>
      </c>
    </row>
    <row r="1329" spans="1:49" x14ac:dyDescent="0.15">
      <c r="A1329" s="1" t="s">
        <v>2705</v>
      </c>
      <c r="C1329" s="1" t="s">
        <v>2782</v>
      </c>
      <c r="K1329" s="1" t="s">
        <v>2783</v>
      </c>
    </row>
    <row r="1330" spans="1:49" x14ac:dyDescent="0.15">
      <c r="A1330" s="1" t="s">
        <v>2705</v>
      </c>
      <c r="C1330" s="1" t="s">
        <v>2784</v>
      </c>
      <c r="K1330" s="1" t="s">
        <v>2785</v>
      </c>
    </row>
    <row r="1331" spans="1:49" x14ac:dyDescent="0.15">
      <c r="A1331" s="1" t="s">
        <v>2705</v>
      </c>
      <c r="C1331" s="1" t="s">
        <v>2786</v>
      </c>
      <c r="K1331" s="1" t="s">
        <v>2787</v>
      </c>
    </row>
    <row r="1332" spans="1:49" x14ac:dyDescent="0.15">
      <c r="A1332" s="1" t="s">
        <v>2705</v>
      </c>
      <c r="C1332" s="1" t="s">
        <v>2788</v>
      </c>
      <c r="K1332" s="1" t="s">
        <v>2789</v>
      </c>
    </row>
    <row r="1333" spans="1:49" x14ac:dyDescent="0.15">
      <c r="A1333" s="1" t="s">
        <v>2705</v>
      </c>
      <c r="C1333" s="1" t="s">
        <v>2790</v>
      </c>
      <c r="K1333" s="1" t="s">
        <v>2791</v>
      </c>
    </row>
    <row r="1334" spans="1:49" x14ac:dyDescent="0.15">
      <c r="A1334" s="1" t="s">
        <v>2705</v>
      </c>
      <c r="C1334" s="1" t="s">
        <v>2792</v>
      </c>
      <c r="K1334" s="1" t="s">
        <v>2793</v>
      </c>
    </row>
    <row r="1335" spans="1:49" x14ac:dyDescent="0.15">
      <c r="A1335" s="1" t="s">
        <v>858</v>
      </c>
      <c r="B1335" s="1" t="s">
        <v>2794</v>
      </c>
      <c r="E1335" s="1" t="s">
        <v>2795</v>
      </c>
    </row>
    <row r="1336" spans="1:49" x14ac:dyDescent="0.15">
      <c r="A1336" s="1" t="s">
        <v>858</v>
      </c>
      <c r="B1336" s="1" t="s">
        <v>2796</v>
      </c>
      <c r="E1336" s="1" t="s">
        <v>2797</v>
      </c>
      <c r="R1336" s="1" t="s">
        <v>2798</v>
      </c>
    </row>
    <row r="1337" spans="1:49" x14ac:dyDescent="0.15">
      <c r="A1337" s="1" t="s">
        <v>858</v>
      </c>
      <c r="C1337" s="1" t="s">
        <v>2799</v>
      </c>
      <c r="K1337" s="1" t="s">
        <v>2800</v>
      </c>
    </row>
    <row r="1338" spans="1:49" x14ac:dyDescent="0.15">
      <c r="A1338" s="1" t="s">
        <v>858</v>
      </c>
      <c r="C1338" s="1" t="s">
        <v>2801</v>
      </c>
      <c r="F1338" s="1" t="s">
        <v>2802</v>
      </c>
      <c r="AW1338" s="1" t="s">
        <v>0</v>
      </c>
    </row>
    <row r="1339" spans="1:49" x14ac:dyDescent="0.15">
      <c r="A1339" s="1" t="s">
        <v>858</v>
      </c>
      <c r="B1339" s="1" t="s">
        <v>2803</v>
      </c>
      <c r="E1339" s="1" t="s">
        <v>2804</v>
      </c>
    </row>
    <row r="1340" spans="1:49" x14ac:dyDescent="0.15">
      <c r="A1340" s="1" t="s">
        <v>858</v>
      </c>
      <c r="B1340" s="1" t="s">
        <v>2805</v>
      </c>
      <c r="E1340" s="1" t="s">
        <v>2806</v>
      </c>
      <c r="R1340" s="1" t="s">
        <v>2807</v>
      </c>
    </row>
    <row r="1341" spans="1:49" x14ac:dyDescent="0.15">
      <c r="A1341" s="1" t="s">
        <v>858</v>
      </c>
      <c r="C1341" s="1" t="s">
        <v>2808</v>
      </c>
      <c r="K1341" s="1" t="s">
        <v>2809</v>
      </c>
    </row>
    <row r="1342" spans="1:49" x14ac:dyDescent="0.15">
      <c r="A1342" s="1" t="s">
        <v>858</v>
      </c>
      <c r="B1342" s="1" t="s">
        <v>2810</v>
      </c>
      <c r="E1342" s="1" t="s">
        <v>2811</v>
      </c>
    </row>
    <row r="1343" spans="1:49" x14ac:dyDescent="0.15">
      <c r="A1343" s="1" t="s">
        <v>858</v>
      </c>
      <c r="C1343" s="1" t="s">
        <v>2812</v>
      </c>
      <c r="K1343" s="1" t="s">
        <v>2813</v>
      </c>
    </row>
    <row r="1344" spans="1:49" x14ac:dyDescent="0.15">
      <c r="A1344" s="1" t="s">
        <v>858</v>
      </c>
      <c r="B1344" s="1" t="s">
        <v>2814</v>
      </c>
      <c r="E1344" s="1" t="s">
        <v>2815</v>
      </c>
      <c r="AG1344" s="1" t="s">
        <v>2816</v>
      </c>
      <c r="AH1344" s="1" t="s">
        <v>2817</v>
      </c>
    </row>
    <row r="1345" spans="1:49" x14ac:dyDescent="0.15">
      <c r="A1345" s="1" t="s">
        <v>858</v>
      </c>
      <c r="C1345" s="1" t="s">
        <v>2818</v>
      </c>
      <c r="K1345" s="1" t="s">
        <v>2819</v>
      </c>
    </row>
    <row r="1346" spans="1:49" x14ac:dyDescent="0.15">
      <c r="A1346" s="1" t="s">
        <v>2820</v>
      </c>
      <c r="B1346" s="1" t="s">
        <v>2821</v>
      </c>
      <c r="E1346" s="1" t="s">
        <v>2822</v>
      </c>
    </row>
    <row r="1347" spans="1:49" x14ac:dyDescent="0.15">
      <c r="A1347" s="1" t="s">
        <v>2820</v>
      </c>
      <c r="B1347" s="1" t="s">
        <v>2823</v>
      </c>
      <c r="E1347" s="1" t="s">
        <v>2822</v>
      </c>
    </row>
    <row r="1348" spans="1:49" x14ac:dyDescent="0.15">
      <c r="A1348" s="1" t="s">
        <v>2820</v>
      </c>
      <c r="C1348" s="1" t="s">
        <v>1561</v>
      </c>
      <c r="E1348" s="1" t="s">
        <v>2824</v>
      </c>
    </row>
    <row r="1349" spans="1:49" x14ac:dyDescent="0.15">
      <c r="A1349" s="1" t="s">
        <v>2820</v>
      </c>
      <c r="C1349" s="1" t="s">
        <v>2825</v>
      </c>
      <c r="F1349" s="1" t="s">
        <v>2826</v>
      </c>
      <c r="AW1349" s="1" t="s">
        <v>155</v>
      </c>
    </row>
    <row r="1350" spans="1:49" x14ac:dyDescent="0.15">
      <c r="A1350" s="1" t="s">
        <v>2820</v>
      </c>
      <c r="C1350" s="1" t="s">
        <v>2825</v>
      </c>
      <c r="E1350" s="1" t="s">
        <v>2827</v>
      </c>
    </row>
    <row r="1351" spans="1:49" x14ac:dyDescent="0.15">
      <c r="A1351" s="1" t="s">
        <v>2820</v>
      </c>
      <c r="C1351" s="1" t="s">
        <v>2828</v>
      </c>
      <c r="E1351" s="1" t="s">
        <v>2829</v>
      </c>
    </row>
    <row r="1352" spans="1:49" x14ac:dyDescent="0.15">
      <c r="A1352" s="1" t="s">
        <v>2820</v>
      </c>
      <c r="C1352" s="1" t="s">
        <v>2830</v>
      </c>
      <c r="K1352" s="1" t="s">
        <v>2831</v>
      </c>
    </row>
    <row r="1353" spans="1:49" x14ac:dyDescent="0.15">
      <c r="A1353" s="1" t="s">
        <v>2820</v>
      </c>
      <c r="C1353" s="1" t="s">
        <v>2832</v>
      </c>
      <c r="F1353" s="1" t="s">
        <v>2833</v>
      </c>
      <c r="AW1353" s="1" t="s">
        <v>155</v>
      </c>
    </row>
    <row r="1354" spans="1:49" x14ac:dyDescent="0.15">
      <c r="A1354" s="1" t="s">
        <v>2820</v>
      </c>
      <c r="C1354" s="1" t="s">
        <v>2832</v>
      </c>
      <c r="K1354" s="1" t="s">
        <v>2834</v>
      </c>
    </row>
    <row r="1355" spans="1:49" x14ac:dyDescent="0.15">
      <c r="A1355" s="1" t="s">
        <v>2820</v>
      </c>
      <c r="C1355" s="1" t="s">
        <v>2835</v>
      </c>
      <c r="K1355" s="1" t="s">
        <v>2836</v>
      </c>
    </row>
    <row r="1356" spans="1:49" x14ac:dyDescent="0.15">
      <c r="A1356" s="1" t="s">
        <v>2820</v>
      </c>
      <c r="C1356" s="1" t="s">
        <v>2835</v>
      </c>
      <c r="K1356" s="1" t="s">
        <v>2837</v>
      </c>
    </row>
    <row r="1357" spans="1:49" x14ac:dyDescent="0.15">
      <c r="A1357" s="1" t="s">
        <v>2820</v>
      </c>
      <c r="C1357" s="1" t="s">
        <v>2838</v>
      </c>
      <c r="F1357" s="1" t="s">
        <v>410</v>
      </c>
    </row>
    <row r="1358" spans="1:49" x14ac:dyDescent="0.15">
      <c r="A1358" s="1" t="s">
        <v>2820</v>
      </c>
      <c r="C1358" s="1" t="s">
        <v>2839</v>
      </c>
      <c r="F1358" s="1" t="s">
        <v>2840</v>
      </c>
      <c r="AW1358" s="1" t="s">
        <v>155</v>
      </c>
    </row>
    <row r="1359" spans="1:49" x14ac:dyDescent="0.15">
      <c r="A1359" s="1" t="s">
        <v>2820</v>
      </c>
      <c r="C1359" s="1" t="s">
        <v>2841</v>
      </c>
      <c r="K1359" s="1" t="s">
        <v>2842</v>
      </c>
    </row>
    <row r="1360" spans="1:49" x14ac:dyDescent="0.15">
      <c r="A1360" s="1" t="s">
        <v>2820</v>
      </c>
      <c r="C1360" s="1" t="s">
        <v>2843</v>
      </c>
      <c r="F1360" s="1" t="s">
        <v>2844</v>
      </c>
      <c r="AW1360" s="1" t="s">
        <v>0</v>
      </c>
    </row>
    <row r="1361" spans="1:49" x14ac:dyDescent="0.15">
      <c r="A1361" s="1" t="s">
        <v>2820</v>
      </c>
      <c r="C1361" s="1" t="s">
        <v>2845</v>
      </c>
      <c r="F1361" s="1" t="s">
        <v>2846</v>
      </c>
      <c r="AW1361" s="1" t="s">
        <v>0</v>
      </c>
    </row>
    <row r="1362" spans="1:49" x14ac:dyDescent="0.15">
      <c r="A1362" s="1" t="s">
        <v>2820</v>
      </c>
      <c r="C1362" s="1" t="s">
        <v>2845</v>
      </c>
      <c r="K1362" s="1" t="s">
        <v>2847</v>
      </c>
    </row>
    <row r="1363" spans="1:49" x14ac:dyDescent="0.15">
      <c r="A1363" s="1" t="s">
        <v>2820</v>
      </c>
      <c r="C1363" s="1" t="s">
        <v>2848</v>
      </c>
      <c r="F1363" s="1" t="s">
        <v>2849</v>
      </c>
      <c r="AW1363" s="1" t="s">
        <v>0</v>
      </c>
    </row>
    <row r="1364" spans="1:49" x14ac:dyDescent="0.15">
      <c r="A1364" s="1" t="s">
        <v>2820</v>
      </c>
      <c r="C1364" s="1" t="s">
        <v>2850</v>
      </c>
      <c r="K1364" s="1" t="s">
        <v>2851</v>
      </c>
    </row>
    <row r="1365" spans="1:49" x14ac:dyDescent="0.15">
      <c r="A1365" s="1" t="s">
        <v>2820</v>
      </c>
      <c r="C1365" s="1" t="s">
        <v>2852</v>
      </c>
      <c r="K1365" s="1" t="s">
        <v>2853</v>
      </c>
    </row>
    <row r="1366" spans="1:49" x14ac:dyDescent="0.15">
      <c r="A1366" s="1" t="s">
        <v>2820</v>
      </c>
      <c r="C1366" s="1" t="s">
        <v>2854</v>
      </c>
      <c r="K1366" s="1" t="s">
        <v>2855</v>
      </c>
    </row>
    <row r="1367" spans="1:49" x14ac:dyDescent="0.15">
      <c r="A1367" s="1" t="s">
        <v>2820</v>
      </c>
      <c r="C1367" s="1" t="s">
        <v>2856</v>
      </c>
      <c r="K1367" s="1" t="s">
        <v>2857</v>
      </c>
    </row>
    <row r="1368" spans="1:49" x14ac:dyDescent="0.15">
      <c r="A1368" s="1" t="s">
        <v>2820</v>
      </c>
      <c r="C1368" s="1" t="s">
        <v>2858</v>
      </c>
      <c r="F1368" s="1" t="s">
        <v>2859</v>
      </c>
      <c r="AW1368" s="1" t="s">
        <v>0</v>
      </c>
    </row>
    <row r="1369" spans="1:49" x14ac:dyDescent="0.15">
      <c r="A1369" s="1" t="s">
        <v>2820</v>
      </c>
      <c r="C1369" s="1" t="s">
        <v>2860</v>
      </c>
      <c r="K1369" s="1" t="s">
        <v>2861</v>
      </c>
    </row>
    <row r="1370" spans="1:49" x14ac:dyDescent="0.15">
      <c r="A1370" s="1" t="s">
        <v>2820</v>
      </c>
      <c r="C1370" s="1" t="s">
        <v>2862</v>
      </c>
      <c r="F1370" s="1" t="s">
        <v>2863</v>
      </c>
      <c r="AW1370" s="1" t="s">
        <v>0</v>
      </c>
    </row>
    <row r="1371" spans="1:49" x14ac:dyDescent="0.15">
      <c r="A1371" s="1" t="s">
        <v>2820</v>
      </c>
      <c r="C1371" s="1" t="s">
        <v>2864</v>
      </c>
      <c r="AW1371" s="1" t="s">
        <v>0</v>
      </c>
    </row>
    <row r="1372" spans="1:49" x14ac:dyDescent="0.15">
      <c r="A1372" s="1" t="s">
        <v>2820</v>
      </c>
      <c r="C1372" s="1" t="s">
        <v>2865</v>
      </c>
      <c r="K1372" s="1" t="s">
        <v>2866</v>
      </c>
    </row>
    <row r="1373" spans="1:49" x14ac:dyDescent="0.15">
      <c r="A1373" s="1" t="s">
        <v>2820</v>
      </c>
      <c r="C1373" s="1" t="s">
        <v>2867</v>
      </c>
      <c r="E1373" s="1" t="s">
        <v>2868</v>
      </c>
    </row>
    <row r="1374" spans="1:49" x14ac:dyDescent="0.15">
      <c r="A1374" s="1" t="s">
        <v>2820</v>
      </c>
      <c r="C1374" s="1" t="s">
        <v>2869</v>
      </c>
      <c r="K1374" s="1" t="s">
        <v>2870</v>
      </c>
    </row>
    <row r="1375" spans="1:49" x14ac:dyDescent="0.15">
      <c r="A1375" s="1" t="s">
        <v>2820</v>
      </c>
      <c r="C1375" s="1" t="s">
        <v>2871</v>
      </c>
      <c r="F1375" s="1" t="s">
        <v>2872</v>
      </c>
      <c r="AW1375" s="1" t="s">
        <v>0</v>
      </c>
    </row>
    <row r="1376" spans="1:49" x14ac:dyDescent="0.15">
      <c r="A1376" s="1" t="s">
        <v>2820</v>
      </c>
      <c r="B1376" s="1" t="s">
        <v>2873</v>
      </c>
      <c r="E1376" s="1" t="s">
        <v>2874</v>
      </c>
      <c r="F1376" s="1" t="s">
        <v>2875</v>
      </c>
      <c r="AG1376" s="1" t="s">
        <v>2876</v>
      </c>
      <c r="AH1376" s="1" t="s">
        <v>2877</v>
      </c>
    </row>
    <row r="1377" spans="1:49" x14ac:dyDescent="0.15">
      <c r="A1377" s="1" t="s">
        <v>2820</v>
      </c>
      <c r="C1377" s="1" t="s">
        <v>2878</v>
      </c>
      <c r="K1377" s="1" t="s">
        <v>2879</v>
      </c>
    </row>
    <row r="1378" spans="1:49" x14ac:dyDescent="0.15">
      <c r="A1378" s="1" t="s">
        <v>2820</v>
      </c>
      <c r="C1378" s="1" t="s">
        <v>2880</v>
      </c>
      <c r="K1378" s="1" t="s">
        <v>2881</v>
      </c>
    </row>
    <row r="1379" spans="1:49" x14ac:dyDescent="0.15">
      <c r="A1379" s="1" t="s">
        <v>2820</v>
      </c>
      <c r="C1379" s="1" t="s">
        <v>2882</v>
      </c>
      <c r="F1379" s="1" t="s">
        <v>2883</v>
      </c>
      <c r="AW1379" s="1" t="s">
        <v>0</v>
      </c>
    </row>
    <row r="1380" spans="1:49" x14ac:dyDescent="0.15">
      <c r="A1380" s="1" t="s">
        <v>2820</v>
      </c>
      <c r="C1380" s="1" t="s">
        <v>2884</v>
      </c>
      <c r="E1380" s="1" t="s">
        <v>2885</v>
      </c>
    </row>
    <row r="1381" spans="1:49" x14ac:dyDescent="0.15">
      <c r="A1381" s="1" t="s">
        <v>2820</v>
      </c>
      <c r="C1381" s="1" t="s">
        <v>2886</v>
      </c>
      <c r="E1381" s="1" t="s">
        <v>2887</v>
      </c>
      <c r="AG1381" s="1" t="s">
        <v>2888</v>
      </c>
    </row>
    <row r="1382" spans="1:49" x14ac:dyDescent="0.15">
      <c r="A1382" s="1" t="s">
        <v>2820</v>
      </c>
      <c r="C1382" s="1" t="s">
        <v>2889</v>
      </c>
      <c r="K1382" s="1" t="s">
        <v>2890</v>
      </c>
    </row>
    <row r="1383" spans="1:49" x14ac:dyDescent="0.15">
      <c r="A1383" s="1" t="s">
        <v>2820</v>
      </c>
      <c r="C1383" s="1" t="s">
        <v>2891</v>
      </c>
      <c r="K1383" s="1" t="s">
        <v>2892</v>
      </c>
    </row>
    <row r="1384" spans="1:49" x14ac:dyDescent="0.15">
      <c r="A1384" s="1" t="s">
        <v>2820</v>
      </c>
      <c r="C1384" s="1" t="s">
        <v>2893</v>
      </c>
      <c r="F1384" s="1" t="s">
        <v>2894</v>
      </c>
      <c r="AW1384" s="1" t="s">
        <v>0</v>
      </c>
    </row>
    <row r="1385" spans="1:49" x14ac:dyDescent="0.15">
      <c r="A1385" s="1" t="s">
        <v>2820</v>
      </c>
      <c r="C1385" s="1" t="s">
        <v>2893</v>
      </c>
      <c r="E1385" s="1" t="s">
        <v>2895</v>
      </c>
    </row>
    <row r="1386" spans="1:49" x14ac:dyDescent="0.15">
      <c r="A1386" s="1" t="s">
        <v>2820</v>
      </c>
      <c r="C1386" s="1" t="s">
        <v>2896</v>
      </c>
      <c r="K1386" s="1" t="s">
        <v>2897</v>
      </c>
    </row>
    <row r="1387" spans="1:49" x14ac:dyDescent="0.15">
      <c r="A1387" s="1" t="s">
        <v>2820</v>
      </c>
      <c r="C1387" s="1" t="s">
        <v>2898</v>
      </c>
      <c r="K1387" s="1" t="s">
        <v>518</v>
      </c>
    </row>
    <row r="1388" spans="1:49" x14ac:dyDescent="0.15">
      <c r="A1388" s="1" t="s">
        <v>2820</v>
      </c>
      <c r="C1388" s="1" t="s">
        <v>2899</v>
      </c>
      <c r="F1388" s="1" t="s">
        <v>2900</v>
      </c>
      <c r="AW1388" s="1" t="s">
        <v>0</v>
      </c>
    </row>
    <row r="1389" spans="1:49" x14ac:dyDescent="0.15">
      <c r="A1389" s="1" t="s">
        <v>2820</v>
      </c>
      <c r="C1389" s="1" t="s">
        <v>2901</v>
      </c>
      <c r="K1389" s="1" t="s">
        <v>2902</v>
      </c>
    </row>
    <row r="1390" spans="1:49" x14ac:dyDescent="0.15">
      <c r="A1390" s="1" t="s">
        <v>2820</v>
      </c>
      <c r="C1390" s="1" t="s">
        <v>2903</v>
      </c>
      <c r="K1390" s="1" t="s">
        <v>2904</v>
      </c>
    </row>
    <row r="1391" spans="1:49" x14ac:dyDescent="0.15">
      <c r="A1391" s="1" t="s">
        <v>2820</v>
      </c>
      <c r="C1391" s="1" t="s">
        <v>2905</v>
      </c>
      <c r="K1391" s="1" t="s">
        <v>2906</v>
      </c>
    </row>
    <row r="1392" spans="1:49" x14ac:dyDescent="0.15">
      <c r="A1392" s="1" t="s">
        <v>2820</v>
      </c>
      <c r="C1392" s="1" t="s">
        <v>2907</v>
      </c>
      <c r="F1392" s="1" t="s">
        <v>2908</v>
      </c>
      <c r="AW1392" s="1" t="s">
        <v>0</v>
      </c>
    </row>
    <row r="1393" spans="1:49" x14ac:dyDescent="0.15">
      <c r="A1393" s="1" t="s">
        <v>2820</v>
      </c>
      <c r="C1393" s="1" t="s">
        <v>2907</v>
      </c>
      <c r="F1393" s="1" t="s">
        <v>2909</v>
      </c>
      <c r="AW1393" s="1" t="s">
        <v>0</v>
      </c>
    </row>
    <row r="1394" spans="1:49" x14ac:dyDescent="0.15">
      <c r="A1394" s="1" t="s">
        <v>2820</v>
      </c>
      <c r="C1394" s="1" t="s">
        <v>2907</v>
      </c>
      <c r="K1394" s="1" t="s">
        <v>2910</v>
      </c>
    </row>
    <row r="1395" spans="1:49" x14ac:dyDescent="0.15">
      <c r="A1395" s="1" t="s">
        <v>2820</v>
      </c>
      <c r="C1395" s="1" t="s">
        <v>2911</v>
      </c>
      <c r="K1395" s="1" t="s">
        <v>2912</v>
      </c>
    </row>
    <row r="1396" spans="1:49" x14ac:dyDescent="0.15">
      <c r="A1396" s="1" t="s">
        <v>2820</v>
      </c>
      <c r="C1396" s="1" t="s">
        <v>2913</v>
      </c>
      <c r="F1396" s="1" t="s">
        <v>2914</v>
      </c>
      <c r="AW1396" s="1" t="s">
        <v>0</v>
      </c>
    </row>
    <row r="1397" spans="1:49" x14ac:dyDescent="0.15">
      <c r="A1397" s="1" t="s">
        <v>2820</v>
      </c>
      <c r="C1397" s="1" t="s">
        <v>2915</v>
      </c>
      <c r="K1397" s="1" t="s">
        <v>2916</v>
      </c>
    </row>
    <row r="1398" spans="1:49" x14ac:dyDescent="0.15">
      <c r="A1398" s="1" t="s">
        <v>2820</v>
      </c>
      <c r="C1398" s="1" t="s">
        <v>2915</v>
      </c>
      <c r="K1398" s="1" t="s">
        <v>2917</v>
      </c>
    </row>
    <row r="1399" spans="1:49" x14ac:dyDescent="0.15">
      <c r="A1399" s="1" t="s">
        <v>2820</v>
      </c>
      <c r="C1399" s="1" t="s">
        <v>2918</v>
      </c>
      <c r="F1399" s="1" t="s">
        <v>2919</v>
      </c>
      <c r="AW1399" s="1" t="s">
        <v>0</v>
      </c>
    </row>
    <row r="1400" spans="1:49" x14ac:dyDescent="0.15">
      <c r="A1400" s="1" t="s">
        <v>2820</v>
      </c>
      <c r="B1400" s="1" t="s">
        <v>2920</v>
      </c>
      <c r="E1400" s="1" t="s">
        <v>2921</v>
      </c>
    </row>
    <row r="1401" spans="1:49" x14ac:dyDescent="0.15">
      <c r="A1401" s="1" t="s">
        <v>2820</v>
      </c>
      <c r="C1401" s="1" t="s">
        <v>55</v>
      </c>
      <c r="E1401" s="1" t="s">
        <v>2922</v>
      </c>
    </row>
    <row r="1402" spans="1:49" x14ac:dyDescent="0.15">
      <c r="A1402" s="1" t="s">
        <v>2820</v>
      </c>
      <c r="C1402" s="1" t="s">
        <v>2923</v>
      </c>
      <c r="F1402" s="1" t="s">
        <v>2924</v>
      </c>
    </row>
    <row r="1403" spans="1:49" x14ac:dyDescent="0.15">
      <c r="A1403" s="1" t="s">
        <v>2820</v>
      </c>
      <c r="C1403" s="1" t="s">
        <v>2925</v>
      </c>
      <c r="F1403" s="1" t="s">
        <v>56</v>
      </c>
    </row>
    <row r="1404" spans="1:49" x14ac:dyDescent="0.15">
      <c r="A1404" s="1" t="s">
        <v>2926</v>
      </c>
      <c r="C1404" s="1" t="s">
        <v>2927</v>
      </c>
      <c r="F1404" s="1" t="s">
        <v>2928</v>
      </c>
      <c r="AW1404" s="1" t="s">
        <v>155</v>
      </c>
    </row>
    <row r="1405" spans="1:49" x14ac:dyDescent="0.15">
      <c r="A1405" s="1" t="s">
        <v>2926</v>
      </c>
      <c r="C1405" s="1" t="s">
        <v>2929</v>
      </c>
      <c r="F1405" s="1" t="s">
        <v>2930</v>
      </c>
      <c r="AW1405" s="1" t="s">
        <v>0</v>
      </c>
    </row>
    <row r="1406" spans="1:49" x14ac:dyDescent="0.15">
      <c r="A1406" s="1" t="s">
        <v>2926</v>
      </c>
      <c r="C1406" s="1" t="s">
        <v>2929</v>
      </c>
      <c r="K1406" s="1" t="s">
        <v>2931</v>
      </c>
    </row>
    <row r="1407" spans="1:49" x14ac:dyDescent="0.15">
      <c r="A1407" s="1" t="s">
        <v>2926</v>
      </c>
      <c r="C1407" s="1" t="s">
        <v>2932</v>
      </c>
      <c r="F1407" s="1" t="s">
        <v>2933</v>
      </c>
      <c r="AW1407" s="1" t="s">
        <v>0</v>
      </c>
    </row>
    <row r="1408" spans="1:49" x14ac:dyDescent="0.15">
      <c r="A1408" s="1" t="s">
        <v>2926</v>
      </c>
      <c r="C1408" s="1" t="s">
        <v>1</v>
      </c>
      <c r="E1408" s="1" t="s">
        <v>2934</v>
      </c>
      <c r="K1408" s="1" t="s">
        <v>2935</v>
      </c>
    </row>
    <row r="1409" spans="1:49" x14ac:dyDescent="0.15">
      <c r="A1409" s="1" t="s">
        <v>2926</v>
      </c>
      <c r="B1409" s="1" t="s">
        <v>2936</v>
      </c>
      <c r="F1409" s="1" t="s">
        <v>2937</v>
      </c>
    </row>
    <row r="1410" spans="1:49" x14ac:dyDescent="0.15">
      <c r="A1410" s="1" t="s">
        <v>2926</v>
      </c>
      <c r="C1410" s="1" t="s">
        <v>2938</v>
      </c>
      <c r="F1410" s="1" t="s">
        <v>4</v>
      </c>
    </row>
    <row r="1411" spans="1:49" x14ac:dyDescent="0.15">
      <c r="A1411" s="1" t="s">
        <v>2926</v>
      </c>
      <c r="C1411" s="1" t="s">
        <v>2939</v>
      </c>
      <c r="F1411" s="1" t="s">
        <v>2940</v>
      </c>
      <c r="AW1411" s="1" t="s">
        <v>0</v>
      </c>
    </row>
    <row r="1412" spans="1:49" x14ac:dyDescent="0.15">
      <c r="A1412" s="1" t="s">
        <v>2926</v>
      </c>
      <c r="C1412" s="1" t="s">
        <v>2941</v>
      </c>
      <c r="F1412" s="1" t="s">
        <v>2942</v>
      </c>
      <c r="AW1412" s="1" t="s">
        <v>0</v>
      </c>
    </row>
    <row r="1413" spans="1:49" x14ac:dyDescent="0.15">
      <c r="A1413" s="1" t="s">
        <v>2926</v>
      </c>
      <c r="C1413" s="1" t="s">
        <v>2941</v>
      </c>
      <c r="E1413" s="1" t="s">
        <v>2943</v>
      </c>
    </row>
    <row r="1414" spans="1:49" x14ac:dyDescent="0.15">
      <c r="A1414" s="1" t="s">
        <v>2926</v>
      </c>
      <c r="C1414" s="1" t="s">
        <v>2944</v>
      </c>
      <c r="F1414" s="1" t="s">
        <v>2945</v>
      </c>
      <c r="AW1414" s="1" t="s">
        <v>0</v>
      </c>
    </row>
    <row r="1415" spans="1:49" x14ac:dyDescent="0.15">
      <c r="A1415" s="1" t="s">
        <v>2926</v>
      </c>
      <c r="C1415" s="1" t="s">
        <v>2946</v>
      </c>
      <c r="K1415" s="1" t="s">
        <v>2947</v>
      </c>
    </row>
    <row r="1416" spans="1:49" x14ac:dyDescent="0.15">
      <c r="A1416" s="1" t="s">
        <v>2926</v>
      </c>
      <c r="C1416" s="1" t="s">
        <v>1296</v>
      </c>
      <c r="F1416" s="1" t="s">
        <v>2948</v>
      </c>
      <c r="AW1416" s="1" t="s">
        <v>141</v>
      </c>
    </row>
    <row r="1417" spans="1:49" x14ac:dyDescent="0.15">
      <c r="A1417" s="1" t="s">
        <v>2926</v>
      </c>
      <c r="C1417" s="1" t="s">
        <v>2949</v>
      </c>
      <c r="F1417" s="1" t="s">
        <v>2950</v>
      </c>
      <c r="AW1417" s="1" t="s">
        <v>0</v>
      </c>
    </row>
    <row r="1418" spans="1:49" x14ac:dyDescent="0.15">
      <c r="A1418" s="1" t="s">
        <v>2926</v>
      </c>
      <c r="C1418" s="1" t="s">
        <v>2949</v>
      </c>
      <c r="E1418" s="1" t="s">
        <v>2951</v>
      </c>
    </row>
    <row r="1419" spans="1:49" x14ac:dyDescent="0.15">
      <c r="A1419" s="1" t="s">
        <v>2926</v>
      </c>
      <c r="C1419" s="1" t="s">
        <v>2952</v>
      </c>
      <c r="F1419" s="1" t="s">
        <v>2953</v>
      </c>
      <c r="AW1419" s="1" t="s">
        <v>0</v>
      </c>
    </row>
    <row r="1420" spans="1:49" x14ac:dyDescent="0.15">
      <c r="A1420" s="1" t="s">
        <v>2926</v>
      </c>
      <c r="C1420" s="1" t="s">
        <v>2952</v>
      </c>
      <c r="E1420" s="1" t="s">
        <v>2954</v>
      </c>
    </row>
    <row r="1421" spans="1:49" x14ac:dyDescent="0.15">
      <c r="A1421" s="1" t="s">
        <v>2926</v>
      </c>
      <c r="C1421" s="1" t="s">
        <v>2955</v>
      </c>
      <c r="F1421" s="1" t="s">
        <v>2956</v>
      </c>
      <c r="AW1421" s="1" t="s">
        <v>0</v>
      </c>
    </row>
    <row r="1422" spans="1:49" x14ac:dyDescent="0.15">
      <c r="A1422" s="1" t="s">
        <v>2926</v>
      </c>
      <c r="C1422" s="1" t="s">
        <v>2957</v>
      </c>
      <c r="K1422" s="1" t="s">
        <v>2958</v>
      </c>
    </row>
    <row r="1423" spans="1:49" x14ac:dyDescent="0.15">
      <c r="A1423" s="1" t="s">
        <v>2926</v>
      </c>
      <c r="C1423" s="1" t="s">
        <v>2959</v>
      </c>
      <c r="AW1423" s="1" t="s">
        <v>0</v>
      </c>
    </row>
    <row r="1424" spans="1:49" x14ac:dyDescent="0.15">
      <c r="A1424" s="1" t="s">
        <v>2926</v>
      </c>
      <c r="C1424" s="1" t="s">
        <v>2960</v>
      </c>
      <c r="F1424" s="1" t="s">
        <v>2961</v>
      </c>
      <c r="AW1424" s="1" t="s">
        <v>0</v>
      </c>
    </row>
    <row r="1425" spans="1:49" x14ac:dyDescent="0.15">
      <c r="A1425" s="1" t="s">
        <v>2926</v>
      </c>
      <c r="C1425" s="1" t="s">
        <v>2962</v>
      </c>
      <c r="F1425" s="1" t="s">
        <v>2963</v>
      </c>
      <c r="AW1425" s="1" t="s">
        <v>0</v>
      </c>
    </row>
    <row r="1426" spans="1:49" x14ac:dyDescent="0.15">
      <c r="A1426" s="1" t="s">
        <v>2926</v>
      </c>
      <c r="C1426" s="1" t="s">
        <v>2962</v>
      </c>
      <c r="K1426" s="1" t="s">
        <v>2964</v>
      </c>
    </row>
    <row r="1427" spans="1:49" x14ac:dyDescent="0.15">
      <c r="A1427" s="1" t="s">
        <v>2926</v>
      </c>
      <c r="C1427" s="1" t="s">
        <v>2965</v>
      </c>
      <c r="F1427" s="1" t="s">
        <v>2966</v>
      </c>
      <c r="AW1427" s="1" t="s">
        <v>0</v>
      </c>
    </row>
    <row r="1428" spans="1:49" x14ac:dyDescent="0.15">
      <c r="A1428" s="1" t="s">
        <v>2926</v>
      </c>
      <c r="C1428" s="1" t="s">
        <v>2967</v>
      </c>
      <c r="F1428" s="1" t="s">
        <v>2968</v>
      </c>
      <c r="AW1428" s="1" t="s">
        <v>0</v>
      </c>
    </row>
    <row r="1429" spans="1:49" x14ac:dyDescent="0.15">
      <c r="A1429" s="1" t="s">
        <v>2926</v>
      </c>
      <c r="C1429" s="1" t="s">
        <v>2969</v>
      </c>
      <c r="F1429" s="1" t="s">
        <v>2970</v>
      </c>
      <c r="AW1429" s="1" t="s">
        <v>0</v>
      </c>
    </row>
    <row r="1430" spans="1:49" x14ac:dyDescent="0.15">
      <c r="A1430" s="1" t="s">
        <v>2926</v>
      </c>
      <c r="C1430" s="1" t="s">
        <v>2969</v>
      </c>
      <c r="E1430" s="1" t="s">
        <v>2971</v>
      </c>
    </row>
    <row r="1431" spans="1:49" x14ac:dyDescent="0.15">
      <c r="A1431" s="1" t="s">
        <v>2926</v>
      </c>
      <c r="C1431" s="1" t="s">
        <v>2969</v>
      </c>
      <c r="K1431" s="1" t="s">
        <v>2972</v>
      </c>
    </row>
    <row r="1432" spans="1:49" x14ac:dyDescent="0.15">
      <c r="A1432" s="1" t="s">
        <v>2926</v>
      </c>
      <c r="C1432" s="1" t="s">
        <v>2973</v>
      </c>
      <c r="F1432" s="1" t="s">
        <v>2974</v>
      </c>
      <c r="AW1432" s="1" t="s">
        <v>0</v>
      </c>
    </row>
    <row r="1433" spans="1:49" x14ac:dyDescent="0.15">
      <c r="A1433" s="1" t="s">
        <v>2926</v>
      </c>
      <c r="C1433" s="1" t="s">
        <v>2973</v>
      </c>
      <c r="K1433" s="1" t="s">
        <v>2975</v>
      </c>
    </row>
    <row r="1434" spans="1:49" x14ac:dyDescent="0.15">
      <c r="A1434" s="1" t="s">
        <v>2926</v>
      </c>
      <c r="C1434" s="1" t="s">
        <v>2976</v>
      </c>
      <c r="F1434" s="1" t="s">
        <v>2977</v>
      </c>
      <c r="AW1434" s="1" t="s">
        <v>0</v>
      </c>
    </row>
    <row r="1435" spans="1:49" x14ac:dyDescent="0.15">
      <c r="A1435" s="1" t="s">
        <v>2926</v>
      </c>
      <c r="C1435" s="1" t="s">
        <v>2976</v>
      </c>
      <c r="E1435" s="1" t="s">
        <v>2978</v>
      </c>
    </row>
    <row r="1436" spans="1:49" x14ac:dyDescent="0.15">
      <c r="A1436" s="1" t="s">
        <v>2926</v>
      </c>
      <c r="C1436" s="1" t="s">
        <v>2979</v>
      </c>
      <c r="F1436" s="1" t="s">
        <v>2980</v>
      </c>
      <c r="AW1436" s="1" t="s">
        <v>0</v>
      </c>
    </row>
    <row r="1437" spans="1:49" x14ac:dyDescent="0.15">
      <c r="A1437" s="1" t="s">
        <v>2926</v>
      </c>
      <c r="C1437" s="1" t="s">
        <v>2981</v>
      </c>
      <c r="F1437" s="1" t="s">
        <v>2982</v>
      </c>
      <c r="AW1437" s="1" t="s">
        <v>0</v>
      </c>
    </row>
    <row r="1438" spans="1:49" x14ac:dyDescent="0.15">
      <c r="A1438" s="1" t="s">
        <v>2983</v>
      </c>
      <c r="B1438" s="1" t="s">
        <v>1677</v>
      </c>
      <c r="C1438" s="1" t="s">
        <v>2984</v>
      </c>
      <c r="F1438" s="1" t="s">
        <v>2985</v>
      </c>
      <c r="AW1438" s="1" t="s">
        <v>155</v>
      </c>
    </row>
    <row r="1439" spans="1:49" x14ac:dyDescent="0.15">
      <c r="A1439" s="1" t="s">
        <v>2983</v>
      </c>
      <c r="B1439" s="1" t="s">
        <v>1677</v>
      </c>
      <c r="C1439" s="1" t="s">
        <v>2986</v>
      </c>
      <c r="F1439" s="1" t="s">
        <v>2987</v>
      </c>
      <c r="AW1439" s="1" t="s">
        <v>155</v>
      </c>
    </row>
    <row r="1440" spans="1:49" x14ac:dyDescent="0.15">
      <c r="A1440" s="1" t="s">
        <v>2983</v>
      </c>
      <c r="B1440" s="1" t="s">
        <v>2988</v>
      </c>
      <c r="C1440" s="1" t="s">
        <v>2989</v>
      </c>
      <c r="E1440" s="1" t="s">
        <v>2990</v>
      </c>
      <c r="F1440" s="1" t="s">
        <v>2991</v>
      </c>
    </row>
    <row r="1441" spans="1:33" x14ac:dyDescent="0.15">
      <c r="A1441" s="1" t="s">
        <v>2983</v>
      </c>
      <c r="B1441" s="1" t="s">
        <v>2992</v>
      </c>
      <c r="C1441" s="1" t="s">
        <v>2993</v>
      </c>
      <c r="E1441" s="1" t="s">
        <v>2994</v>
      </c>
    </row>
    <row r="1442" spans="1:33" x14ac:dyDescent="0.15">
      <c r="A1442" s="1" t="s">
        <v>2983</v>
      </c>
      <c r="B1442" s="1" t="s">
        <v>2995</v>
      </c>
      <c r="E1442" s="1" t="s">
        <v>2996</v>
      </c>
    </row>
    <row r="1443" spans="1:33" x14ac:dyDescent="0.15">
      <c r="A1443" s="1" t="s">
        <v>2983</v>
      </c>
      <c r="B1443" s="1" t="s">
        <v>2997</v>
      </c>
      <c r="C1443" s="1" t="s">
        <v>2998</v>
      </c>
      <c r="E1443" s="1" t="s">
        <v>2999</v>
      </c>
    </row>
    <row r="1444" spans="1:33" x14ac:dyDescent="0.15">
      <c r="A1444" s="1" t="s">
        <v>2983</v>
      </c>
      <c r="B1444" s="1" t="s">
        <v>3000</v>
      </c>
      <c r="C1444" s="1" t="s">
        <v>3001</v>
      </c>
      <c r="E1444" s="1" t="s">
        <v>3002</v>
      </c>
    </row>
    <row r="1445" spans="1:33" x14ac:dyDescent="0.15">
      <c r="A1445" s="1" t="s">
        <v>2983</v>
      </c>
      <c r="B1445" s="1" t="s">
        <v>3003</v>
      </c>
      <c r="C1445" s="1" t="s">
        <v>2989</v>
      </c>
    </row>
    <row r="1446" spans="1:33" x14ac:dyDescent="0.15">
      <c r="A1446" s="1" t="s">
        <v>2983</v>
      </c>
      <c r="B1446" s="1" t="s">
        <v>3004</v>
      </c>
    </row>
    <row r="1447" spans="1:33" x14ac:dyDescent="0.15">
      <c r="A1447" s="1" t="s">
        <v>2983</v>
      </c>
      <c r="B1447" s="1" t="s">
        <v>3005</v>
      </c>
      <c r="C1447" s="1" t="s">
        <v>3006</v>
      </c>
      <c r="R1447" s="1" t="s">
        <v>3007</v>
      </c>
    </row>
    <row r="1448" spans="1:33" x14ac:dyDescent="0.15">
      <c r="A1448" s="1" t="s">
        <v>2983</v>
      </c>
      <c r="B1448" s="1" t="s">
        <v>3008</v>
      </c>
      <c r="E1448" s="1" t="s">
        <v>3009</v>
      </c>
    </row>
    <row r="1449" spans="1:33" x14ac:dyDescent="0.15">
      <c r="A1449" s="1" t="s">
        <v>2983</v>
      </c>
      <c r="B1449" s="1" t="s">
        <v>3010</v>
      </c>
      <c r="C1449" s="1" t="s">
        <v>3011</v>
      </c>
      <c r="E1449" s="1" t="s">
        <v>3012</v>
      </c>
    </row>
    <row r="1450" spans="1:33" x14ac:dyDescent="0.15">
      <c r="A1450" s="1" t="s">
        <v>2983</v>
      </c>
      <c r="B1450" s="1" t="s">
        <v>3013</v>
      </c>
      <c r="C1450" s="1" t="s">
        <v>3001</v>
      </c>
      <c r="E1450" s="1" t="s">
        <v>3014</v>
      </c>
    </row>
    <row r="1451" spans="1:33" x14ac:dyDescent="0.15">
      <c r="A1451" s="1" t="s">
        <v>2983</v>
      </c>
      <c r="B1451" s="1" t="s">
        <v>3015</v>
      </c>
      <c r="C1451" s="1" t="s">
        <v>3001</v>
      </c>
      <c r="E1451" s="1" t="s">
        <v>3016</v>
      </c>
      <c r="R1451" s="1" t="s">
        <v>3017</v>
      </c>
      <c r="AG1451" s="1" t="s">
        <v>3018</v>
      </c>
    </row>
    <row r="1452" spans="1:33" x14ac:dyDescent="0.15">
      <c r="A1452" s="1" t="s">
        <v>2983</v>
      </c>
      <c r="B1452" s="1" t="s">
        <v>3019</v>
      </c>
      <c r="C1452" s="1" t="s">
        <v>3001</v>
      </c>
      <c r="E1452" s="1" t="s">
        <v>3020</v>
      </c>
      <c r="F1452" s="1" t="s">
        <v>2987</v>
      </c>
      <c r="AG1452" s="1" t="s">
        <v>3021</v>
      </c>
    </row>
    <row r="1453" spans="1:33" x14ac:dyDescent="0.15">
      <c r="A1453" s="1" t="s">
        <v>2983</v>
      </c>
      <c r="B1453" s="1" t="s">
        <v>3022</v>
      </c>
      <c r="C1453" s="1" t="s">
        <v>2998</v>
      </c>
      <c r="E1453" s="1" t="s">
        <v>3023</v>
      </c>
    </row>
    <row r="1454" spans="1:33" x14ac:dyDescent="0.15">
      <c r="A1454" s="1" t="s">
        <v>2983</v>
      </c>
      <c r="B1454" s="1" t="s">
        <v>3024</v>
      </c>
      <c r="C1454" s="1" t="s">
        <v>2993</v>
      </c>
      <c r="R1454" s="1" t="s">
        <v>3025</v>
      </c>
    </row>
    <row r="1455" spans="1:33" x14ac:dyDescent="0.15">
      <c r="A1455" s="1" t="s">
        <v>2983</v>
      </c>
      <c r="B1455" s="1" t="s">
        <v>3026</v>
      </c>
      <c r="C1455" s="1" t="s">
        <v>3027</v>
      </c>
      <c r="E1455" s="1" t="s">
        <v>3028</v>
      </c>
      <c r="F1455" s="1" t="s">
        <v>3029</v>
      </c>
    </row>
    <row r="1456" spans="1:33" x14ac:dyDescent="0.15">
      <c r="A1456" s="1" t="s">
        <v>2983</v>
      </c>
      <c r="B1456" s="1" t="s">
        <v>3030</v>
      </c>
      <c r="C1456" s="1" t="s">
        <v>3031</v>
      </c>
      <c r="E1456" s="1" t="s">
        <v>2994</v>
      </c>
    </row>
    <row r="1457" spans="1:20" x14ac:dyDescent="0.15">
      <c r="A1457" s="1" t="s">
        <v>2983</v>
      </c>
      <c r="B1457" s="1" t="s">
        <v>3032</v>
      </c>
      <c r="C1457" s="1" t="s">
        <v>3033</v>
      </c>
      <c r="R1457" s="1" t="s">
        <v>3034</v>
      </c>
      <c r="T1457" s="1" t="s">
        <v>3035</v>
      </c>
    </row>
    <row r="1458" spans="1:20" x14ac:dyDescent="0.15">
      <c r="A1458" s="1" t="s">
        <v>2983</v>
      </c>
      <c r="B1458" s="1" t="s">
        <v>3036</v>
      </c>
      <c r="E1458" s="1" t="s">
        <v>3037</v>
      </c>
      <c r="F1458" s="1" t="s">
        <v>3029</v>
      </c>
    </row>
    <row r="1459" spans="1:20" x14ac:dyDescent="0.15">
      <c r="A1459" s="1" t="s">
        <v>2983</v>
      </c>
      <c r="B1459" s="1" t="s">
        <v>3038</v>
      </c>
      <c r="C1459" s="1" t="s">
        <v>2989</v>
      </c>
      <c r="E1459" s="1" t="s">
        <v>3039</v>
      </c>
    </row>
    <row r="1460" spans="1:20" x14ac:dyDescent="0.15">
      <c r="A1460" s="1" t="s">
        <v>2983</v>
      </c>
      <c r="B1460" s="1" t="s">
        <v>3040</v>
      </c>
      <c r="C1460" s="1" t="s">
        <v>2998</v>
      </c>
      <c r="S1460" s="1" t="s">
        <v>3041</v>
      </c>
    </row>
    <row r="1461" spans="1:20" x14ac:dyDescent="0.15">
      <c r="A1461" s="1" t="s">
        <v>1676</v>
      </c>
      <c r="B1461" s="1" t="s">
        <v>3042</v>
      </c>
      <c r="C1461" s="1" t="s">
        <v>3043</v>
      </c>
      <c r="E1461" s="1" t="s">
        <v>3044</v>
      </c>
    </row>
    <row r="1462" spans="1:20" x14ac:dyDescent="0.15">
      <c r="A1462" s="1" t="s">
        <v>1676</v>
      </c>
      <c r="B1462" s="1" t="s">
        <v>3045</v>
      </c>
      <c r="C1462" s="1" t="s">
        <v>3046</v>
      </c>
      <c r="E1462" s="1" t="s">
        <v>3047</v>
      </c>
    </row>
    <row r="1463" spans="1:20" x14ac:dyDescent="0.15">
      <c r="A1463" s="1" t="s">
        <v>1676</v>
      </c>
      <c r="B1463" s="1" t="s">
        <v>3048</v>
      </c>
      <c r="E1463" s="1" t="s">
        <v>3049</v>
      </c>
    </row>
    <row r="1464" spans="1:20" x14ac:dyDescent="0.15">
      <c r="A1464" s="1" t="s">
        <v>1676</v>
      </c>
      <c r="B1464" s="1" t="s">
        <v>3050</v>
      </c>
      <c r="E1464" s="1" t="s">
        <v>3051</v>
      </c>
      <c r="R1464" s="1" t="s">
        <v>3052</v>
      </c>
    </row>
    <row r="1465" spans="1:20" x14ac:dyDescent="0.15">
      <c r="A1465" s="1" t="s">
        <v>1676</v>
      </c>
      <c r="B1465" s="1" t="s">
        <v>3053</v>
      </c>
      <c r="E1465" s="1" t="s">
        <v>3054</v>
      </c>
    </row>
    <row r="1466" spans="1:20" x14ac:dyDescent="0.15">
      <c r="A1466" s="1" t="s">
        <v>1676</v>
      </c>
      <c r="B1466" s="1" t="s">
        <v>3055</v>
      </c>
      <c r="E1466" s="1" t="s">
        <v>3056</v>
      </c>
    </row>
    <row r="1467" spans="1:20" x14ac:dyDescent="0.15">
      <c r="A1467" s="1" t="s">
        <v>1676</v>
      </c>
      <c r="B1467" s="1" t="s">
        <v>3057</v>
      </c>
      <c r="E1467" s="1" t="s">
        <v>3058</v>
      </c>
    </row>
    <row r="1468" spans="1:20" x14ac:dyDescent="0.15">
      <c r="A1468" s="1" t="s">
        <v>1676</v>
      </c>
      <c r="B1468" s="1" t="s">
        <v>3059</v>
      </c>
      <c r="E1468" s="1" t="s">
        <v>3060</v>
      </c>
    </row>
    <row r="1469" spans="1:20" x14ac:dyDescent="0.15">
      <c r="A1469" s="1" t="s">
        <v>1676</v>
      </c>
      <c r="B1469" s="1" t="s">
        <v>3061</v>
      </c>
      <c r="E1469" s="1" t="s">
        <v>3062</v>
      </c>
    </row>
    <row r="1470" spans="1:20" x14ac:dyDescent="0.15">
      <c r="A1470" s="1" t="s">
        <v>1676</v>
      </c>
      <c r="B1470" s="1" t="s">
        <v>3063</v>
      </c>
      <c r="C1470" s="1" t="s">
        <v>3064</v>
      </c>
      <c r="E1470" s="1" t="s">
        <v>3065</v>
      </c>
    </row>
    <row r="1471" spans="1:20" x14ac:dyDescent="0.15">
      <c r="A1471" s="1" t="s">
        <v>1676</v>
      </c>
      <c r="B1471" s="1" t="s">
        <v>3066</v>
      </c>
      <c r="C1471" s="1" t="s">
        <v>3067</v>
      </c>
      <c r="E1471" s="1" t="s">
        <v>3068</v>
      </c>
    </row>
    <row r="1472" spans="1:20" x14ac:dyDescent="0.15">
      <c r="A1472" s="1" t="s">
        <v>1676</v>
      </c>
      <c r="B1472" s="1" t="s">
        <v>3069</v>
      </c>
      <c r="E1472" s="1" t="s">
        <v>3070</v>
      </c>
    </row>
    <row r="1473" spans="1:11" x14ac:dyDescent="0.15">
      <c r="A1473" s="1" t="s">
        <v>1676</v>
      </c>
      <c r="B1473" s="1" t="s">
        <v>3071</v>
      </c>
      <c r="E1473" s="1" t="s">
        <v>3072</v>
      </c>
    </row>
    <row r="1474" spans="1:11" x14ac:dyDescent="0.15">
      <c r="A1474" s="1" t="s">
        <v>1676</v>
      </c>
      <c r="B1474" s="1" t="s">
        <v>3073</v>
      </c>
      <c r="E1474" s="1" t="s">
        <v>3074</v>
      </c>
    </row>
    <row r="1475" spans="1:11" x14ac:dyDescent="0.15">
      <c r="A1475" s="1" t="s">
        <v>1676</v>
      </c>
      <c r="C1475" s="1" t="s">
        <v>3075</v>
      </c>
      <c r="E1475" s="1" t="s">
        <v>3076</v>
      </c>
    </row>
    <row r="1476" spans="1:11" x14ac:dyDescent="0.15">
      <c r="A1476" s="1" t="s">
        <v>1676</v>
      </c>
      <c r="B1476" s="1" t="s">
        <v>3077</v>
      </c>
      <c r="C1476" s="1" t="s">
        <v>3078</v>
      </c>
      <c r="E1476" s="1" t="s">
        <v>3079</v>
      </c>
    </row>
    <row r="1477" spans="1:11" x14ac:dyDescent="0.15">
      <c r="A1477" s="1" t="s">
        <v>1676</v>
      </c>
      <c r="B1477" s="1" t="s">
        <v>3080</v>
      </c>
      <c r="E1477" s="1" t="s">
        <v>3081</v>
      </c>
    </row>
    <row r="1478" spans="1:11" x14ac:dyDescent="0.15">
      <c r="A1478" s="1" t="s">
        <v>1676</v>
      </c>
      <c r="B1478" s="1" t="s">
        <v>3082</v>
      </c>
      <c r="C1478" s="1" t="s">
        <v>3083</v>
      </c>
      <c r="E1478" s="1" t="s">
        <v>3084</v>
      </c>
      <c r="H1478" s="1" t="s">
        <v>3085</v>
      </c>
    </row>
    <row r="1479" spans="1:11" x14ac:dyDescent="0.15">
      <c r="A1479" s="1" t="s">
        <v>1676</v>
      </c>
      <c r="B1479" s="1" t="s">
        <v>3086</v>
      </c>
      <c r="C1479" s="1" t="s">
        <v>3087</v>
      </c>
      <c r="E1479" s="1" t="s">
        <v>3088</v>
      </c>
      <c r="H1479" s="1" t="s">
        <v>3089</v>
      </c>
    </row>
    <row r="1480" spans="1:11" x14ac:dyDescent="0.15">
      <c r="A1480" s="1" t="s">
        <v>1676</v>
      </c>
      <c r="B1480" s="1" t="s">
        <v>3090</v>
      </c>
      <c r="E1480" s="1" t="s">
        <v>3091</v>
      </c>
    </row>
    <row r="1481" spans="1:11" x14ac:dyDescent="0.15">
      <c r="A1481" s="1" t="s">
        <v>1676</v>
      </c>
      <c r="C1481" s="1" t="s">
        <v>3092</v>
      </c>
      <c r="K1481" s="1" t="s">
        <v>3093</v>
      </c>
    </row>
    <row r="1482" spans="1:11" x14ac:dyDescent="0.15">
      <c r="A1482" s="1" t="s">
        <v>1676</v>
      </c>
      <c r="C1482" s="1" t="s">
        <v>3094</v>
      </c>
      <c r="E1482" s="1" t="s">
        <v>3095</v>
      </c>
    </row>
    <row r="1483" spans="1:11" x14ac:dyDescent="0.15">
      <c r="A1483" s="1" t="s">
        <v>1676</v>
      </c>
      <c r="C1483" s="1" t="s">
        <v>3096</v>
      </c>
      <c r="K1483" s="1" t="s">
        <v>3097</v>
      </c>
    </row>
    <row r="1484" spans="1:11" x14ac:dyDescent="0.15">
      <c r="A1484" s="1" t="s">
        <v>1676</v>
      </c>
      <c r="C1484" s="1" t="s">
        <v>3098</v>
      </c>
      <c r="K1484" s="1" t="s">
        <v>3099</v>
      </c>
    </row>
    <row r="1485" spans="1:11" x14ac:dyDescent="0.15">
      <c r="A1485" s="1" t="s">
        <v>1676</v>
      </c>
      <c r="C1485" s="1" t="s">
        <v>3100</v>
      </c>
      <c r="K1485" s="1" t="s">
        <v>3101</v>
      </c>
    </row>
    <row r="1486" spans="1:11" x14ac:dyDescent="0.15">
      <c r="A1486" s="1" t="s">
        <v>1676</v>
      </c>
      <c r="C1486" s="1" t="s">
        <v>3102</v>
      </c>
      <c r="K1486" s="1" t="s">
        <v>3103</v>
      </c>
    </row>
    <row r="1487" spans="1:11" x14ac:dyDescent="0.15">
      <c r="A1487" s="1" t="s">
        <v>1676</v>
      </c>
      <c r="C1487" s="1" t="s">
        <v>3104</v>
      </c>
      <c r="K1487" s="1" t="s">
        <v>3105</v>
      </c>
    </row>
    <row r="1488" spans="1:11" x14ac:dyDescent="0.15">
      <c r="A1488" s="1" t="s">
        <v>1676</v>
      </c>
      <c r="B1488" s="1" t="s">
        <v>3106</v>
      </c>
      <c r="C1488" s="1" t="s">
        <v>3107</v>
      </c>
      <c r="E1488" s="1" t="s">
        <v>3108</v>
      </c>
    </row>
    <row r="1489" spans="1:49" x14ac:dyDescent="0.15">
      <c r="A1489" s="1" t="s">
        <v>1676</v>
      </c>
      <c r="C1489" s="1" t="s">
        <v>3109</v>
      </c>
      <c r="K1489" s="1" t="s">
        <v>3110</v>
      </c>
    </row>
    <row r="1490" spans="1:49" x14ac:dyDescent="0.15">
      <c r="A1490" s="1" t="s">
        <v>1676</v>
      </c>
      <c r="B1490" s="1" t="s">
        <v>3111</v>
      </c>
      <c r="C1490" s="1" t="s">
        <v>3112</v>
      </c>
      <c r="E1490" s="1" t="s">
        <v>3113</v>
      </c>
      <c r="R1490" s="1" t="s">
        <v>3114</v>
      </c>
    </row>
    <row r="1491" spans="1:49" x14ac:dyDescent="0.15">
      <c r="A1491" s="1" t="s">
        <v>1676</v>
      </c>
      <c r="B1491" s="1" t="s">
        <v>3115</v>
      </c>
      <c r="E1491" s="1" t="s">
        <v>3116</v>
      </c>
      <c r="AG1491" s="1" t="s">
        <v>3117</v>
      </c>
    </row>
    <row r="1492" spans="1:49" x14ac:dyDescent="0.15">
      <c r="A1492" s="1" t="s">
        <v>1676</v>
      </c>
      <c r="B1492" s="1" t="s">
        <v>3118</v>
      </c>
      <c r="E1492" s="1" t="s">
        <v>3119</v>
      </c>
    </row>
    <row r="1493" spans="1:49" x14ac:dyDescent="0.15">
      <c r="A1493" s="1" t="s">
        <v>1676</v>
      </c>
      <c r="C1493" s="1" t="s">
        <v>3120</v>
      </c>
      <c r="K1493" s="1" t="s">
        <v>3121</v>
      </c>
    </row>
    <row r="1494" spans="1:49" x14ac:dyDescent="0.15">
      <c r="A1494" s="1" t="s">
        <v>1676</v>
      </c>
      <c r="B1494" s="1" t="s">
        <v>3122</v>
      </c>
      <c r="E1494" s="1" t="s">
        <v>3123</v>
      </c>
    </row>
    <row r="1495" spans="1:49" x14ac:dyDescent="0.15">
      <c r="A1495" s="1" t="s">
        <v>1676</v>
      </c>
      <c r="C1495" s="1" t="s">
        <v>3124</v>
      </c>
      <c r="K1495" s="1" t="s">
        <v>3125</v>
      </c>
    </row>
    <row r="1496" spans="1:49" x14ac:dyDescent="0.15">
      <c r="A1496" s="1" t="s">
        <v>1676</v>
      </c>
      <c r="C1496" s="1" t="s">
        <v>3126</v>
      </c>
      <c r="K1496" s="1" t="s">
        <v>3127</v>
      </c>
    </row>
    <row r="1497" spans="1:49" x14ac:dyDescent="0.15">
      <c r="A1497" s="1" t="s">
        <v>1676</v>
      </c>
      <c r="C1497" s="1" t="s">
        <v>3128</v>
      </c>
      <c r="AW1497" s="1" t="s">
        <v>0</v>
      </c>
    </row>
    <row r="1498" spans="1:49" x14ac:dyDescent="0.15">
      <c r="A1498" s="1" t="s">
        <v>1676</v>
      </c>
      <c r="B1498" s="1" t="s">
        <v>3129</v>
      </c>
      <c r="C1498" s="1" t="s">
        <v>3130</v>
      </c>
      <c r="E1498" s="1" t="s">
        <v>3131</v>
      </c>
      <c r="F1498" s="1" t="s">
        <v>3132</v>
      </c>
      <c r="AG1498" s="1" t="s">
        <v>3133</v>
      </c>
      <c r="AS1498" s="1" t="s">
        <v>3134</v>
      </c>
    </row>
    <row r="1499" spans="1:49" x14ac:dyDescent="0.15">
      <c r="A1499" s="1" t="s">
        <v>1676</v>
      </c>
      <c r="C1499" s="1" t="s">
        <v>3135</v>
      </c>
      <c r="K1499" s="1" t="s">
        <v>3136</v>
      </c>
    </row>
    <row r="1500" spans="1:49" x14ac:dyDescent="0.15">
      <c r="A1500" s="1" t="s">
        <v>1676</v>
      </c>
      <c r="C1500" s="1" t="s">
        <v>3137</v>
      </c>
      <c r="K1500" s="1" t="s">
        <v>3138</v>
      </c>
    </row>
    <row r="1501" spans="1:49" x14ac:dyDescent="0.15">
      <c r="A1501" s="1" t="s">
        <v>1676</v>
      </c>
      <c r="C1501" s="1" t="s">
        <v>3139</v>
      </c>
      <c r="E1501" s="1" t="s">
        <v>3140</v>
      </c>
    </row>
    <row r="1502" spans="1:49" x14ac:dyDescent="0.15">
      <c r="A1502" s="1" t="s">
        <v>1676</v>
      </c>
      <c r="C1502" s="1" t="s">
        <v>3141</v>
      </c>
      <c r="K1502" s="1" t="s">
        <v>3142</v>
      </c>
    </row>
    <row r="1503" spans="1:49" x14ac:dyDescent="0.15">
      <c r="A1503" s="1" t="s">
        <v>1676</v>
      </c>
      <c r="B1503" s="1" t="s">
        <v>3143</v>
      </c>
      <c r="E1503" s="1" t="s">
        <v>3144</v>
      </c>
    </row>
    <row r="1504" spans="1:49" x14ac:dyDescent="0.15">
      <c r="A1504" s="1" t="s">
        <v>1676</v>
      </c>
      <c r="C1504" s="1" t="s">
        <v>3145</v>
      </c>
      <c r="K1504" s="1" t="s">
        <v>3146</v>
      </c>
    </row>
    <row r="1505" spans="1:11" x14ac:dyDescent="0.15">
      <c r="A1505" s="1" t="s">
        <v>1676</v>
      </c>
      <c r="C1505" s="1" t="s">
        <v>3147</v>
      </c>
      <c r="E1505" s="1" t="s">
        <v>3148</v>
      </c>
    </row>
    <row r="1506" spans="1:11" x14ac:dyDescent="0.15">
      <c r="A1506" s="1" t="s">
        <v>1676</v>
      </c>
      <c r="C1506" s="1" t="s">
        <v>3149</v>
      </c>
      <c r="K1506" s="1" t="s">
        <v>3150</v>
      </c>
    </row>
    <row r="1507" spans="1:11" x14ac:dyDescent="0.15">
      <c r="A1507" s="1" t="s">
        <v>1676</v>
      </c>
      <c r="C1507" s="1" t="s">
        <v>3151</v>
      </c>
      <c r="K1507" s="1" t="s">
        <v>3152</v>
      </c>
    </row>
    <row r="1508" spans="1:11" x14ac:dyDescent="0.15">
      <c r="A1508" s="1" t="s">
        <v>1676</v>
      </c>
      <c r="B1508" s="1" t="s">
        <v>3153</v>
      </c>
      <c r="C1508" s="1" t="s">
        <v>3154</v>
      </c>
      <c r="K1508" s="1" t="s">
        <v>3155</v>
      </c>
    </row>
    <row r="1509" spans="1:11" x14ac:dyDescent="0.15">
      <c r="A1509" s="1" t="s">
        <v>1676</v>
      </c>
      <c r="C1509" s="1" t="s">
        <v>3156</v>
      </c>
      <c r="K1509" s="1" t="s">
        <v>3157</v>
      </c>
    </row>
    <row r="1510" spans="1:11" x14ac:dyDescent="0.15">
      <c r="A1510" s="1" t="s">
        <v>1676</v>
      </c>
      <c r="C1510" s="1" t="s">
        <v>3158</v>
      </c>
      <c r="E1510" s="1" t="s">
        <v>3159</v>
      </c>
    </row>
    <row r="1511" spans="1:11" x14ac:dyDescent="0.15">
      <c r="A1511" s="1" t="s">
        <v>1676</v>
      </c>
      <c r="C1511" s="1" t="s">
        <v>3160</v>
      </c>
      <c r="K1511" s="1" t="s">
        <v>3161</v>
      </c>
    </row>
    <row r="1512" spans="1:11" x14ac:dyDescent="0.15">
      <c r="A1512" s="1" t="s">
        <v>1676</v>
      </c>
      <c r="B1512" s="1" t="s">
        <v>3162</v>
      </c>
      <c r="E1512" s="1" t="s">
        <v>3163</v>
      </c>
    </row>
    <row r="1513" spans="1:11" x14ac:dyDescent="0.15">
      <c r="A1513" s="1" t="s">
        <v>1676</v>
      </c>
      <c r="C1513" s="1" t="s">
        <v>3164</v>
      </c>
      <c r="K1513" s="1" t="s">
        <v>3165</v>
      </c>
    </row>
    <row r="1514" spans="1:11" x14ac:dyDescent="0.15">
      <c r="A1514" s="1" t="s">
        <v>1676</v>
      </c>
      <c r="B1514" s="1" t="s">
        <v>3166</v>
      </c>
      <c r="E1514" s="1" t="s">
        <v>3165</v>
      </c>
    </row>
    <row r="1515" spans="1:11" x14ac:dyDescent="0.15">
      <c r="A1515" s="1" t="s">
        <v>1676</v>
      </c>
      <c r="C1515" s="1" t="s">
        <v>3167</v>
      </c>
      <c r="E1515" s="1" t="s">
        <v>3168</v>
      </c>
    </row>
    <row r="1516" spans="1:11" x14ac:dyDescent="0.15">
      <c r="A1516" s="1" t="s">
        <v>1676</v>
      </c>
      <c r="C1516" s="1" t="s">
        <v>3169</v>
      </c>
      <c r="E1516" s="1" t="s">
        <v>3170</v>
      </c>
    </row>
    <row r="1517" spans="1:11" x14ac:dyDescent="0.15">
      <c r="A1517" s="1" t="s">
        <v>1676</v>
      </c>
      <c r="C1517" s="1" t="s">
        <v>3171</v>
      </c>
      <c r="E1517" s="1" t="s">
        <v>3172</v>
      </c>
    </row>
    <row r="1518" spans="1:11" x14ac:dyDescent="0.15">
      <c r="A1518" s="1" t="s">
        <v>1676</v>
      </c>
      <c r="C1518" s="1" t="s">
        <v>3173</v>
      </c>
      <c r="K1518" s="1" t="s">
        <v>3174</v>
      </c>
    </row>
    <row r="1519" spans="1:11" x14ac:dyDescent="0.15">
      <c r="A1519" s="1" t="s">
        <v>1676</v>
      </c>
      <c r="C1519" s="1" t="s">
        <v>3175</v>
      </c>
      <c r="K1519" s="1" t="s">
        <v>3176</v>
      </c>
    </row>
    <row r="1520" spans="1:11" x14ac:dyDescent="0.15">
      <c r="A1520" s="1" t="s">
        <v>1676</v>
      </c>
      <c r="C1520" s="1" t="s">
        <v>3177</v>
      </c>
      <c r="K1520" s="1" t="s">
        <v>3178</v>
      </c>
    </row>
    <row r="1521" spans="1:11" x14ac:dyDescent="0.15">
      <c r="A1521" s="1" t="s">
        <v>1676</v>
      </c>
      <c r="C1521" s="1" t="s">
        <v>3179</v>
      </c>
      <c r="K1521" s="1" t="s">
        <v>3180</v>
      </c>
    </row>
    <row r="1522" spans="1:11" x14ac:dyDescent="0.15">
      <c r="A1522" s="1" t="s">
        <v>1676</v>
      </c>
      <c r="C1522" s="1" t="s">
        <v>3181</v>
      </c>
      <c r="E1522" s="1" t="s">
        <v>3182</v>
      </c>
    </row>
    <row r="1523" spans="1:11" x14ac:dyDescent="0.15">
      <c r="A1523" s="1" t="s">
        <v>1676</v>
      </c>
      <c r="C1523" s="1" t="s">
        <v>3183</v>
      </c>
      <c r="K1523" s="1" t="s">
        <v>3184</v>
      </c>
    </row>
    <row r="1524" spans="1:11" x14ac:dyDescent="0.15">
      <c r="A1524" s="1" t="s">
        <v>1676</v>
      </c>
      <c r="C1524" s="1" t="s">
        <v>3185</v>
      </c>
      <c r="K1524" s="1" t="s">
        <v>3186</v>
      </c>
    </row>
    <row r="1525" spans="1:11" x14ac:dyDescent="0.15">
      <c r="A1525" s="1" t="s">
        <v>1676</v>
      </c>
      <c r="C1525" s="1" t="s">
        <v>3187</v>
      </c>
      <c r="K1525" s="1" t="s">
        <v>3188</v>
      </c>
    </row>
    <row r="1526" spans="1:11" x14ac:dyDescent="0.15">
      <c r="A1526" s="1" t="s">
        <v>1676</v>
      </c>
      <c r="C1526" s="1" t="s">
        <v>3189</v>
      </c>
      <c r="K1526" s="1" t="s">
        <v>3190</v>
      </c>
    </row>
    <row r="1527" spans="1:11" x14ac:dyDescent="0.15">
      <c r="A1527" s="1" t="s">
        <v>1676</v>
      </c>
      <c r="C1527" s="1" t="s">
        <v>3191</v>
      </c>
      <c r="K1527" s="1" t="s">
        <v>3192</v>
      </c>
    </row>
    <row r="1528" spans="1:11" x14ac:dyDescent="0.15">
      <c r="A1528" s="1" t="s">
        <v>1676</v>
      </c>
      <c r="C1528" s="1" t="s">
        <v>3193</v>
      </c>
      <c r="K1528" s="1" t="s">
        <v>3194</v>
      </c>
    </row>
    <row r="1529" spans="1:11" x14ac:dyDescent="0.15">
      <c r="A1529" s="1" t="s">
        <v>1676</v>
      </c>
      <c r="C1529" s="1" t="s">
        <v>3195</v>
      </c>
      <c r="K1529" s="1" t="s">
        <v>3196</v>
      </c>
    </row>
    <row r="1530" spans="1:11" x14ac:dyDescent="0.15">
      <c r="A1530" s="1" t="s">
        <v>1676</v>
      </c>
      <c r="C1530" s="1" t="s">
        <v>3197</v>
      </c>
      <c r="K1530" s="1" t="s">
        <v>3198</v>
      </c>
    </row>
    <row r="1531" spans="1:11" x14ac:dyDescent="0.15">
      <c r="A1531" s="1" t="s">
        <v>1676</v>
      </c>
      <c r="C1531" s="1" t="s">
        <v>3199</v>
      </c>
      <c r="K1531" s="1" t="s">
        <v>3200</v>
      </c>
    </row>
    <row r="1532" spans="1:11" x14ac:dyDescent="0.15">
      <c r="A1532" s="1" t="s">
        <v>1676</v>
      </c>
      <c r="C1532" s="1" t="s">
        <v>3201</v>
      </c>
      <c r="K1532" s="1" t="s">
        <v>3202</v>
      </c>
    </row>
    <row r="1533" spans="1:11" x14ac:dyDescent="0.15">
      <c r="A1533" s="1" t="s">
        <v>1676</v>
      </c>
      <c r="C1533" s="1" t="s">
        <v>3203</v>
      </c>
      <c r="K1533" s="1" t="s">
        <v>3204</v>
      </c>
    </row>
    <row r="1534" spans="1:11" x14ac:dyDescent="0.15">
      <c r="A1534" s="1" t="s">
        <v>1676</v>
      </c>
      <c r="C1534" s="1" t="s">
        <v>3205</v>
      </c>
      <c r="K1534" s="1" t="s">
        <v>3206</v>
      </c>
    </row>
    <row r="1535" spans="1:11" x14ac:dyDescent="0.15">
      <c r="A1535" s="1" t="s">
        <v>1676</v>
      </c>
      <c r="C1535" s="1" t="s">
        <v>3207</v>
      </c>
      <c r="K1535" s="1" t="s">
        <v>3208</v>
      </c>
    </row>
    <row r="1536" spans="1:11" x14ac:dyDescent="0.15">
      <c r="A1536" s="1" t="s">
        <v>1676</v>
      </c>
      <c r="C1536" s="1" t="s">
        <v>3209</v>
      </c>
      <c r="K1536" s="1" t="s">
        <v>3210</v>
      </c>
    </row>
    <row r="1537" spans="1:5" x14ac:dyDescent="0.15">
      <c r="A1537" s="1" t="s">
        <v>1676</v>
      </c>
      <c r="B1537" s="1" t="s">
        <v>3211</v>
      </c>
      <c r="E1537" s="1" t="s">
        <v>3212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25"/>
  <sheetViews>
    <sheetView topLeftCell="A958" workbookViewId="0">
      <selection activeCell="C180" sqref="C180"/>
    </sheetView>
  </sheetViews>
  <sheetFormatPr defaultRowHeight="13.5" x14ac:dyDescent="0.1"/>
  <cols>
    <col min="1" max="1" width="16.01953125" customWidth="1"/>
    <col min="2" max="2" width="21.984375" customWidth="1"/>
    <col min="3" max="3" width="19.99609375" customWidth="1"/>
    <col min="5" max="5" width="18.0078125" customWidth="1"/>
    <col min="6" max="6" width="21.984375" customWidth="1"/>
  </cols>
  <sheetData>
    <row r="1" spans="1:49" x14ac:dyDescent="0.15">
      <c r="A1" s="1" t="s">
        <v>0</v>
      </c>
      <c r="C1" s="2" t="s">
        <v>1</v>
      </c>
      <c r="F1" s="1" t="s">
        <v>2</v>
      </c>
    </row>
    <row r="2" spans="1:49" x14ac:dyDescent="0.15">
      <c r="A2" s="1" t="s">
        <v>0</v>
      </c>
      <c r="C2" s="2" t="s">
        <v>3</v>
      </c>
      <c r="F2" s="1" t="s">
        <v>4</v>
      </c>
    </row>
    <row r="3" spans="1:49" x14ac:dyDescent="0.15">
      <c r="A3" s="1" t="s">
        <v>0</v>
      </c>
      <c r="C3" s="2" t="s">
        <v>5</v>
      </c>
      <c r="F3" s="1" t="s">
        <v>6</v>
      </c>
    </row>
    <row r="4" spans="1:49" x14ac:dyDescent="0.15">
      <c r="A4" s="1" t="s">
        <v>0</v>
      </c>
      <c r="C4" s="2" t="s">
        <v>7</v>
      </c>
      <c r="F4" s="1" t="s">
        <v>8</v>
      </c>
    </row>
    <row r="5" spans="1:49" x14ac:dyDescent="0.15">
      <c r="A5" s="1" t="s">
        <v>0</v>
      </c>
      <c r="C5" s="2" t="s">
        <v>17</v>
      </c>
      <c r="F5" s="1" t="s">
        <v>18</v>
      </c>
    </row>
    <row r="6" spans="1:49" x14ac:dyDescent="0.15">
      <c r="A6" s="1" t="s">
        <v>0</v>
      </c>
      <c r="C6" s="2" t="s">
        <v>20</v>
      </c>
      <c r="F6" s="1" t="s">
        <v>21</v>
      </c>
    </row>
    <row r="7" spans="1:49" x14ac:dyDescent="0.15">
      <c r="A7" s="1" t="s">
        <v>0</v>
      </c>
      <c r="C7" s="1" t="s">
        <v>28</v>
      </c>
      <c r="F7" s="1" t="s">
        <v>29</v>
      </c>
    </row>
    <row r="8" spans="1:49" x14ac:dyDescent="0.15">
      <c r="A8" s="1" t="s">
        <v>0</v>
      </c>
      <c r="C8" s="1" t="s">
        <v>32</v>
      </c>
      <c r="F8" s="1" t="s">
        <v>33</v>
      </c>
    </row>
    <row r="9" spans="1:49" x14ac:dyDescent="0.15">
      <c r="A9" s="1" t="s">
        <v>0</v>
      </c>
      <c r="C9" s="2" t="s">
        <v>34</v>
      </c>
      <c r="F9" s="1" t="s">
        <v>35</v>
      </c>
    </row>
    <row r="10" spans="1:49" x14ac:dyDescent="0.15">
      <c r="A10" s="1" t="s">
        <v>0</v>
      </c>
      <c r="C10" s="1" t="s">
        <v>36</v>
      </c>
      <c r="F10" s="1" t="s">
        <v>37</v>
      </c>
    </row>
    <row r="11" spans="1:49" x14ac:dyDescent="0.15">
      <c r="A11" s="1" t="s">
        <v>0</v>
      </c>
      <c r="C11" s="2" t="s">
        <v>45</v>
      </c>
      <c r="F11" s="1" t="s">
        <v>46</v>
      </c>
    </row>
    <row r="12" spans="1:49" x14ac:dyDescent="0.15">
      <c r="A12" s="1" t="s">
        <v>0</v>
      </c>
      <c r="C12" s="2" t="s">
        <v>49</v>
      </c>
      <c r="F12" s="1" t="s">
        <v>50</v>
      </c>
    </row>
    <row r="13" spans="1:49" x14ac:dyDescent="0.15">
      <c r="A13" s="1" t="s">
        <v>0</v>
      </c>
      <c r="C13" s="2" t="s">
        <v>55</v>
      </c>
      <c r="F13" s="1" t="s">
        <v>56</v>
      </c>
    </row>
    <row r="14" spans="1:49" x14ac:dyDescent="0.15">
      <c r="A14" s="1" t="s">
        <v>0</v>
      </c>
      <c r="C14" s="1" t="s">
        <v>57</v>
      </c>
    </row>
    <row r="15" spans="1:49" x14ac:dyDescent="0.15">
      <c r="A15" s="1" t="s">
        <v>58</v>
      </c>
      <c r="C15" s="2" t="s">
        <v>59</v>
      </c>
      <c r="F15" s="1" t="s">
        <v>60</v>
      </c>
      <c r="AW15" s="1" t="s">
        <v>61</v>
      </c>
    </row>
    <row r="16" spans="1:49" x14ac:dyDescent="0.15">
      <c r="A16" s="1" t="s">
        <v>58</v>
      </c>
      <c r="C16" s="1" t="s">
        <v>62</v>
      </c>
      <c r="F16" s="1" t="s">
        <v>63</v>
      </c>
    </row>
    <row r="17" spans="1:49" x14ac:dyDescent="0.15">
      <c r="A17" s="1" t="s">
        <v>58</v>
      </c>
      <c r="C17" s="1" t="s">
        <v>64</v>
      </c>
      <c r="F17" s="1" t="s">
        <v>65</v>
      </c>
    </row>
    <row r="18" spans="1:49" x14ac:dyDescent="0.15">
      <c r="A18" s="1" t="s">
        <v>58</v>
      </c>
      <c r="C18" s="2" t="s">
        <v>66</v>
      </c>
      <c r="F18" s="1" t="s">
        <v>67</v>
      </c>
    </row>
    <row r="19" spans="1:49" x14ac:dyDescent="0.15">
      <c r="A19" s="1" t="s">
        <v>58</v>
      </c>
      <c r="C19" s="1" t="s">
        <v>68</v>
      </c>
      <c r="F19" s="1" t="s">
        <v>69</v>
      </c>
    </row>
    <row r="20" spans="1:49" x14ac:dyDescent="0.15">
      <c r="A20" s="1" t="s">
        <v>58</v>
      </c>
      <c r="C20" s="2" t="s">
        <v>72</v>
      </c>
      <c r="F20" s="1" t="s">
        <v>73</v>
      </c>
    </row>
    <row r="21" spans="1:49" x14ac:dyDescent="0.15">
      <c r="A21" s="1" t="s">
        <v>58</v>
      </c>
      <c r="C21" s="1" t="s">
        <v>76</v>
      </c>
      <c r="F21" s="1" t="s">
        <v>77</v>
      </c>
    </row>
    <row r="22" spans="1:49" x14ac:dyDescent="0.15">
      <c r="A22" s="1" t="s">
        <v>141</v>
      </c>
      <c r="C22" s="2" t="s">
        <v>5</v>
      </c>
      <c r="F22" s="1" t="s">
        <v>142</v>
      </c>
    </row>
    <row r="23" spans="1:49" x14ac:dyDescent="0.15">
      <c r="A23" s="1" t="s">
        <v>141</v>
      </c>
      <c r="C23" s="2" t="s">
        <v>143</v>
      </c>
      <c r="F23" s="1" t="s">
        <v>144</v>
      </c>
    </row>
    <row r="24" spans="1:49" x14ac:dyDescent="0.15">
      <c r="A24" s="1" t="s">
        <v>61</v>
      </c>
      <c r="C24" s="1" t="s">
        <v>59</v>
      </c>
      <c r="F24" s="1" t="s">
        <v>60</v>
      </c>
    </row>
    <row r="25" spans="1:49" x14ac:dyDescent="0.15">
      <c r="A25" s="1" t="s">
        <v>61</v>
      </c>
      <c r="B25" s="1" t="s">
        <v>152</v>
      </c>
      <c r="C25" s="2" t="s">
        <v>153</v>
      </c>
      <c r="F25" s="1" t="s">
        <v>154</v>
      </c>
      <c r="AW25" s="1" t="s">
        <v>155</v>
      </c>
    </row>
    <row r="26" spans="1:49" x14ac:dyDescent="0.15">
      <c r="A26" s="1" t="s">
        <v>61</v>
      </c>
      <c r="C26" s="1" t="s">
        <v>156</v>
      </c>
      <c r="F26" s="1" t="s">
        <v>157</v>
      </c>
    </row>
    <row r="27" spans="1:49" x14ac:dyDescent="0.15">
      <c r="A27" s="1" t="s">
        <v>61</v>
      </c>
      <c r="C27" s="1" t="s">
        <v>158</v>
      </c>
      <c r="F27" s="1" t="s">
        <v>159</v>
      </c>
      <c r="K27" s="1" t="s">
        <v>160</v>
      </c>
    </row>
    <row r="28" spans="1:49" x14ac:dyDescent="0.15">
      <c r="A28" s="1" t="s">
        <v>61</v>
      </c>
      <c r="B28" s="1" t="s">
        <v>161</v>
      </c>
      <c r="C28" s="2" t="s">
        <v>162</v>
      </c>
      <c r="F28" s="1" t="s">
        <v>163</v>
      </c>
      <c r="AW28" s="1" t="s">
        <v>155</v>
      </c>
    </row>
    <row r="29" spans="1:49" x14ac:dyDescent="0.15">
      <c r="A29" s="1" t="s">
        <v>164</v>
      </c>
      <c r="C29" s="1" t="s">
        <v>165</v>
      </c>
      <c r="F29" s="1" t="s">
        <v>166</v>
      </c>
    </row>
    <row r="30" spans="1:49" x14ac:dyDescent="0.15">
      <c r="A30" s="1" t="s">
        <v>164</v>
      </c>
      <c r="C30" s="1" t="s">
        <v>167</v>
      </c>
      <c r="F30" s="1" t="s">
        <v>168</v>
      </c>
    </row>
    <row r="31" spans="1:49" x14ac:dyDescent="0.15">
      <c r="A31" s="1" t="s">
        <v>164</v>
      </c>
      <c r="C31" s="1" t="s">
        <v>169</v>
      </c>
      <c r="F31" s="1" t="s">
        <v>170</v>
      </c>
    </row>
    <row r="32" spans="1:49" x14ac:dyDescent="0.15">
      <c r="A32" s="1" t="s">
        <v>164</v>
      </c>
      <c r="C32" s="1" t="s">
        <v>171</v>
      </c>
      <c r="F32" s="1" t="s">
        <v>172</v>
      </c>
      <c r="AW32" s="1" t="s">
        <v>155</v>
      </c>
    </row>
    <row r="33" spans="1:49" x14ac:dyDescent="0.15">
      <c r="A33" s="1" t="s">
        <v>164</v>
      </c>
      <c r="C33" s="1" t="s">
        <v>173</v>
      </c>
      <c r="F33" s="1" t="s">
        <v>174</v>
      </c>
      <c r="K33" s="1" t="s">
        <v>175</v>
      </c>
    </row>
    <row r="34" spans="1:49" x14ac:dyDescent="0.15">
      <c r="A34" s="1" t="s">
        <v>164</v>
      </c>
      <c r="C34" s="1" t="s">
        <v>176</v>
      </c>
      <c r="F34" s="1" t="s">
        <v>177</v>
      </c>
    </row>
    <row r="35" spans="1:49" x14ac:dyDescent="0.15">
      <c r="A35" s="1" t="s">
        <v>164</v>
      </c>
      <c r="C35" s="1" t="s">
        <v>178</v>
      </c>
      <c r="F35" s="1" t="s">
        <v>179</v>
      </c>
    </row>
    <row r="36" spans="1:49" x14ac:dyDescent="0.15">
      <c r="A36" s="1" t="s">
        <v>164</v>
      </c>
      <c r="C36" s="1" t="s">
        <v>180</v>
      </c>
      <c r="F36" s="1" t="s">
        <v>181</v>
      </c>
    </row>
    <row r="37" spans="1:49" x14ac:dyDescent="0.15">
      <c r="A37" s="1" t="s">
        <v>164</v>
      </c>
      <c r="C37" s="1" t="s">
        <v>182</v>
      </c>
      <c r="F37" s="1" t="s">
        <v>183</v>
      </c>
    </row>
    <row r="38" spans="1:49" x14ac:dyDescent="0.15">
      <c r="A38" s="1" t="s">
        <v>164</v>
      </c>
      <c r="C38" s="1" t="s">
        <v>184</v>
      </c>
      <c r="F38" s="1" t="s">
        <v>185</v>
      </c>
    </row>
    <row r="39" spans="1:49" x14ac:dyDescent="0.15">
      <c r="A39" s="1" t="s">
        <v>164</v>
      </c>
      <c r="C39" s="1" t="s">
        <v>186</v>
      </c>
      <c r="F39" s="1" t="s">
        <v>187</v>
      </c>
    </row>
    <row r="40" spans="1:49" x14ac:dyDescent="0.15">
      <c r="A40" s="1" t="s">
        <v>164</v>
      </c>
      <c r="C40" s="1" t="s">
        <v>188</v>
      </c>
      <c r="F40" s="1" t="s">
        <v>189</v>
      </c>
      <c r="AW40" s="1" t="s">
        <v>155</v>
      </c>
    </row>
    <row r="41" spans="1:49" x14ac:dyDescent="0.15">
      <c r="A41" s="1" t="s">
        <v>164</v>
      </c>
      <c r="C41" s="1" t="s">
        <v>190</v>
      </c>
      <c r="F41" s="1" t="s">
        <v>191</v>
      </c>
      <c r="AW41" s="1" t="s">
        <v>155</v>
      </c>
    </row>
    <row r="42" spans="1:49" x14ac:dyDescent="0.15">
      <c r="A42" s="1" t="s">
        <v>164</v>
      </c>
      <c r="C42" s="1" t="s">
        <v>192</v>
      </c>
      <c r="F42" s="1" t="s">
        <v>193</v>
      </c>
    </row>
    <row r="43" spans="1:49" x14ac:dyDescent="0.15">
      <c r="A43" s="1" t="s">
        <v>164</v>
      </c>
      <c r="C43" s="1" t="s">
        <v>194</v>
      </c>
      <c r="F43" s="1" t="s">
        <v>195</v>
      </c>
    </row>
    <row r="44" spans="1:49" x14ac:dyDescent="0.15">
      <c r="A44" s="1" t="s">
        <v>164</v>
      </c>
      <c r="C44" s="1" t="s">
        <v>196</v>
      </c>
      <c r="F44" s="1" t="s">
        <v>195</v>
      </c>
      <c r="AW44" s="1" t="s">
        <v>155</v>
      </c>
    </row>
    <row r="45" spans="1:49" x14ac:dyDescent="0.15">
      <c r="A45" s="1" t="s">
        <v>164</v>
      </c>
      <c r="C45" s="1" t="s">
        <v>197</v>
      </c>
      <c r="F45" s="1" t="s">
        <v>198</v>
      </c>
    </row>
    <row r="46" spans="1:49" x14ac:dyDescent="0.15">
      <c r="A46" s="1" t="s">
        <v>164</v>
      </c>
      <c r="C46" s="1" t="s">
        <v>199</v>
      </c>
      <c r="F46" s="1" t="s">
        <v>200</v>
      </c>
    </row>
    <row r="47" spans="1:49" x14ac:dyDescent="0.15">
      <c r="A47" s="1" t="s">
        <v>164</v>
      </c>
      <c r="C47" s="1" t="s">
        <v>201</v>
      </c>
      <c r="F47" s="1" t="s">
        <v>202</v>
      </c>
    </row>
    <row r="48" spans="1:49" x14ac:dyDescent="0.15">
      <c r="A48" s="1" t="s">
        <v>164</v>
      </c>
      <c r="C48" s="1" t="s">
        <v>203</v>
      </c>
      <c r="F48" s="1" t="s">
        <v>204</v>
      </c>
    </row>
    <row r="49" spans="1:50" x14ac:dyDescent="0.15">
      <c r="A49" s="1" t="s">
        <v>164</v>
      </c>
      <c r="C49" s="1" t="s">
        <v>205</v>
      </c>
      <c r="F49" s="1" t="s">
        <v>206</v>
      </c>
    </row>
    <row r="50" spans="1:50" x14ac:dyDescent="0.15">
      <c r="A50" s="1" t="s">
        <v>164</v>
      </c>
      <c r="C50" s="1" t="s">
        <v>207</v>
      </c>
      <c r="F50" s="1" t="s">
        <v>208</v>
      </c>
    </row>
    <row r="51" spans="1:50" x14ac:dyDescent="0.15">
      <c r="A51" s="1" t="s">
        <v>164</v>
      </c>
      <c r="C51" s="1" t="s">
        <v>209</v>
      </c>
      <c r="F51" s="1" t="s">
        <v>210</v>
      </c>
    </row>
    <row r="52" spans="1:50" x14ac:dyDescent="0.15">
      <c r="A52" s="1" t="s">
        <v>164</v>
      </c>
      <c r="C52" s="1" t="s">
        <v>211</v>
      </c>
      <c r="F52" s="1" t="s">
        <v>212</v>
      </c>
      <c r="AW52" s="1" t="s">
        <v>155</v>
      </c>
    </row>
    <row r="53" spans="1:50" x14ac:dyDescent="0.15">
      <c r="A53" s="1" t="s">
        <v>218</v>
      </c>
      <c r="B53" s="1" t="s">
        <v>221</v>
      </c>
      <c r="E53" s="1" t="s">
        <v>222</v>
      </c>
      <c r="AG53" s="1" t="s">
        <v>223</v>
      </c>
      <c r="AH53" s="1" t="s">
        <v>224</v>
      </c>
      <c r="AW53" s="1" t="s">
        <v>155</v>
      </c>
    </row>
    <row r="54" spans="1:50" x14ac:dyDescent="0.15">
      <c r="A54" s="1" t="s">
        <v>225</v>
      </c>
      <c r="C54" s="1" t="s">
        <v>226</v>
      </c>
      <c r="E54" s="1" t="s">
        <v>227</v>
      </c>
      <c r="F54" s="1" t="s">
        <v>228</v>
      </c>
      <c r="AW54" s="1" t="s">
        <v>164</v>
      </c>
      <c r="AX54" s="1" t="s">
        <v>155</v>
      </c>
    </row>
    <row r="55" spans="1:50" x14ac:dyDescent="0.15">
      <c r="A55" s="1" t="s">
        <v>225</v>
      </c>
      <c r="C55" s="1" t="s">
        <v>229</v>
      </c>
      <c r="E55" s="1" t="s">
        <v>230</v>
      </c>
      <c r="F55" s="1" t="s">
        <v>231</v>
      </c>
      <c r="AW55" s="1" t="s">
        <v>61</v>
      </c>
      <c r="AX55" s="1" t="s">
        <v>164</v>
      </c>
    </row>
    <row r="56" spans="1:50" x14ac:dyDescent="0.15">
      <c r="A56" s="1" t="s">
        <v>225</v>
      </c>
      <c r="C56" s="1" t="s">
        <v>232</v>
      </c>
      <c r="E56" s="1" t="s">
        <v>233</v>
      </c>
      <c r="F56" s="1" t="s">
        <v>234</v>
      </c>
      <c r="AW56" s="1" t="s">
        <v>164</v>
      </c>
    </row>
    <row r="57" spans="1:50" x14ac:dyDescent="0.15">
      <c r="A57" s="1" t="s">
        <v>225</v>
      </c>
      <c r="C57" s="1" t="s">
        <v>235</v>
      </c>
      <c r="E57" s="1" t="s">
        <v>236</v>
      </c>
      <c r="F57" s="1" t="s">
        <v>237</v>
      </c>
      <c r="AW57" s="1" t="s">
        <v>164</v>
      </c>
    </row>
    <row r="58" spans="1:50" x14ac:dyDescent="0.15">
      <c r="A58" s="1" t="s">
        <v>225</v>
      </c>
      <c r="C58" s="1" t="s">
        <v>238</v>
      </c>
      <c r="F58" s="1" t="s">
        <v>239</v>
      </c>
      <c r="G58" s="1" t="s">
        <v>240</v>
      </c>
      <c r="AI58" s="1" t="s">
        <v>241</v>
      </c>
      <c r="AJ58" s="1" t="s">
        <v>241</v>
      </c>
      <c r="AS58" s="1" t="s">
        <v>242</v>
      </c>
      <c r="AT58" s="1" t="s">
        <v>242</v>
      </c>
      <c r="AW58" s="1" t="s">
        <v>164</v>
      </c>
    </row>
    <row r="59" spans="1:50" x14ac:dyDescent="0.15">
      <c r="A59" s="1" t="s">
        <v>225</v>
      </c>
      <c r="C59" s="1" t="s">
        <v>243</v>
      </c>
      <c r="E59" s="1" t="s">
        <v>244</v>
      </c>
      <c r="F59" s="1" t="s">
        <v>245</v>
      </c>
      <c r="K59" s="1" t="s">
        <v>246</v>
      </c>
      <c r="AG59" s="1" t="s">
        <v>247</v>
      </c>
      <c r="AH59" s="1" t="s">
        <v>247</v>
      </c>
      <c r="AQ59" s="1" t="s">
        <v>246</v>
      </c>
      <c r="AR59" s="1" t="s">
        <v>246</v>
      </c>
      <c r="AW59" s="1" t="s">
        <v>164</v>
      </c>
      <c r="AX59" s="1" t="s">
        <v>218</v>
      </c>
    </row>
    <row r="60" spans="1:50" x14ac:dyDescent="0.15">
      <c r="A60" s="1" t="s">
        <v>225</v>
      </c>
      <c r="C60" s="1" t="s">
        <v>248</v>
      </c>
      <c r="E60" s="1" t="s">
        <v>249</v>
      </c>
      <c r="F60" s="1" t="s">
        <v>250</v>
      </c>
      <c r="AG60" s="1" t="s">
        <v>249</v>
      </c>
      <c r="AW60" s="1" t="s">
        <v>164</v>
      </c>
    </row>
    <row r="61" spans="1:50" x14ac:dyDescent="0.15">
      <c r="A61" s="1" t="s">
        <v>225</v>
      </c>
      <c r="C61" s="1" t="s">
        <v>251</v>
      </c>
      <c r="E61" s="1" t="s">
        <v>252</v>
      </c>
      <c r="F61" s="1" t="s">
        <v>253</v>
      </c>
      <c r="AW61" s="1" t="s">
        <v>164</v>
      </c>
    </row>
    <row r="62" spans="1:50" x14ac:dyDescent="0.15">
      <c r="A62" s="1" t="s">
        <v>225</v>
      </c>
      <c r="C62" s="1" t="s">
        <v>254</v>
      </c>
      <c r="E62" s="1" t="s">
        <v>255</v>
      </c>
      <c r="F62" s="1" t="s">
        <v>256</v>
      </c>
      <c r="AW62" s="1" t="s">
        <v>164</v>
      </c>
    </row>
    <row r="63" spans="1:50" x14ac:dyDescent="0.15">
      <c r="A63" s="1" t="s">
        <v>225</v>
      </c>
      <c r="C63" s="1" t="s">
        <v>257</v>
      </c>
      <c r="E63" s="1" t="s">
        <v>258</v>
      </c>
      <c r="F63" s="1" t="s">
        <v>259</v>
      </c>
      <c r="AW63" s="1" t="s">
        <v>164</v>
      </c>
    </row>
    <row r="64" spans="1:50" x14ac:dyDescent="0.15">
      <c r="A64" s="1" t="s">
        <v>260</v>
      </c>
      <c r="B64" s="1" t="s">
        <v>261</v>
      </c>
      <c r="C64" s="1" t="s">
        <v>262</v>
      </c>
      <c r="D64" s="1" t="s">
        <v>263</v>
      </c>
      <c r="E64" s="1" t="s">
        <v>264</v>
      </c>
      <c r="F64" s="1" t="s">
        <v>265</v>
      </c>
      <c r="G64" s="1" t="s">
        <v>266</v>
      </c>
      <c r="H64" s="1" t="s">
        <v>267</v>
      </c>
      <c r="I64" s="1" t="s">
        <v>268</v>
      </c>
      <c r="J64" s="1" t="s">
        <v>269</v>
      </c>
      <c r="K64" s="1" t="s">
        <v>270</v>
      </c>
      <c r="L64" s="1" t="s">
        <v>271</v>
      </c>
      <c r="M64" s="1" t="s">
        <v>272</v>
      </c>
      <c r="N64" s="1" t="s">
        <v>273</v>
      </c>
      <c r="O64" s="1" t="s">
        <v>274</v>
      </c>
      <c r="P64" s="1" t="s">
        <v>275</v>
      </c>
      <c r="Q64" s="1" t="s">
        <v>276</v>
      </c>
      <c r="R64" s="1" t="s">
        <v>277</v>
      </c>
      <c r="S64" s="1" t="s">
        <v>278</v>
      </c>
      <c r="T64" s="1" t="s">
        <v>279</v>
      </c>
      <c r="U64" s="1" t="s">
        <v>280</v>
      </c>
      <c r="V64" s="1" t="s">
        <v>281</v>
      </c>
      <c r="W64" s="1" t="s">
        <v>282</v>
      </c>
      <c r="X64" s="1" t="s">
        <v>283</v>
      </c>
      <c r="Y64" s="1" t="s">
        <v>284</v>
      </c>
      <c r="Z64" s="1" t="s">
        <v>285</v>
      </c>
      <c r="AA64" s="1" t="s">
        <v>286</v>
      </c>
      <c r="AB64" s="1" t="s">
        <v>287</v>
      </c>
      <c r="AC64" s="1" t="s">
        <v>288</v>
      </c>
      <c r="AD64" s="1" t="s">
        <v>289</v>
      </c>
      <c r="AE64" s="1" t="s">
        <v>290</v>
      </c>
      <c r="AF64" s="1" t="s">
        <v>291</v>
      </c>
      <c r="AG64" s="1" t="s">
        <v>292</v>
      </c>
      <c r="AH64" s="1" t="s">
        <v>293</v>
      </c>
      <c r="AI64" s="1" t="s">
        <v>294</v>
      </c>
      <c r="AJ64" s="1" t="s">
        <v>295</v>
      </c>
      <c r="AK64" s="1" t="s">
        <v>296</v>
      </c>
      <c r="AL64" s="1" t="s">
        <v>297</v>
      </c>
      <c r="AM64" s="1" t="s">
        <v>298</v>
      </c>
      <c r="AN64" s="1" t="s">
        <v>299</v>
      </c>
      <c r="AO64" s="1" t="s">
        <v>300</v>
      </c>
      <c r="AP64" s="1" t="s">
        <v>301</v>
      </c>
      <c r="AQ64" s="1" t="s">
        <v>302</v>
      </c>
      <c r="AR64" s="1" t="s">
        <v>303</v>
      </c>
      <c r="AS64" s="1" t="s">
        <v>304</v>
      </c>
      <c r="AT64" s="1" t="s">
        <v>305</v>
      </c>
      <c r="AU64" s="1" t="s">
        <v>306</v>
      </c>
      <c r="AV64" s="1" t="s">
        <v>307</v>
      </c>
      <c r="AW64" s="1" t="s">
        <v>308</v>
      </c>
      <c r="AX64" s="1" t="s">
        <v>309</v>
      </c>
    </row>
    <row r="65" spans="1:11" x14ac:dyDescent="0.15">
      <c r="A65" s="1" t="s">
        <v>155</v>
      </c>
      <c r="C65" s="1" t="s">
        <v>394</v>
      </c>
      <c r="F65" s="1" t="s">
        <v>395</v>
      </c>
    </row>
    <row r="66" spans="1:11" x14ac:dyDescent="0.15">
      <c r="A66" s="1" t="s">
        <v>155</v>
      </c>
      <c r="C66" s="2" t="s">
        <v>396</v>
      </c>
      <c r="F66" s="1" t="s">
        <v>397</v>
      </c>
    </row>
    <row r="67" spans="1:11" x14ac:dyDescent="0.15">
      <c r="A67" s="1" t="s">
        <v>155</v>
      </c>
      <c r="C67" s="1" t="s">
        <v>402</v>
      </c>
      <c r="F67" s="1" t="s">
        <v>403</v>
      </c>
    </row>
    <row r="68" spans="1:11" x14ac:dyDescent="0.15">
      <c r="A68" s="1" t="s">
        <v>155</v>
      </c>
      <c r="C68" s="1" t="s">
        <v>406</v>
      </c>
      <c r="E68" s="1" t="s">
        <v>407</v>
      </c>
      <c r="F68" s="1" t="s">
        <v>408</v>
      </c>
    </row>
    <row r="69" spans="1:11" x14ac:dyDescent="0.15">
      <c r="A69" s="1" t="s">
        <v>155</v>
      </c>
      <c r="C69" s="1" t="s">
        <v>415</v>
      </c>
      <c r="K69" s="1" t="s">
        <v>416</v>
      </c>
    </row>
    <row r="70" spans="1:11" x14ac:dyDescent="0.15">
      <c r="A70" s="1" t="s">
        <v>155</v>
      </c>
      <c r="C70" s="1" t="s">
        <v>417</v>
      </c>
    </row>
    <row r="71" spans="1:11" x14ac:dyDescent="0.15">
      <c r="A71" s="1" t="s">
        <v>155</v>
      </c>
      <c r="C71" s="2" t="s">
        <v>425</v>
      </c>
      <c r="F71" s="1" t="s">
        <v>424</v>
      </c>
    </row>
    <row r="72" spans="1:11" x14ac:dyDescent="0.15">
      <c r="A72" s="1" t="s">
        <v>155</v>
      </c>
      <c r="C72" s="1" t="s">
        <v>426</v>
      </c>
      <c r="E72" s="1" t="s">
        <v>427</v>
      </c>
    </row>
    <row r="73" spans="1:11" x14ac:dyDescent="0.15">
      <c r="A73" s="1" t="s">
        <v>155</v>
      </c>
      <c r="B73" s="1" t="s">
        <v>433</v>
      </c>
      <c r="E73" s="1" t="s">
        <v>434</v>
      </c>
    </row>
    <row r="74" spans="1:11" x14ac:dyDescent="0.15">
      <c r="A74" s="1" t="s">
        <v>155</v>
      </c>
      <c r="C74" s="1" t="s">
        <v>435</v>
      </c>
    </row>
    <row r="75" spans="1:11" x14ac:dyDescent="0.15">
      <c r="A75" s="1" t="s">
        <v>155</v>
      </c>
      <c r="C75" s="1" t="s">
        <v>83</v>
      </c>
      <c r="K75" s="1" t="s">
        <v>436</v>
      </c>
    </row>
    <row r="76" spans="1:11" x14ac:dyDescent="0.15">
      <c r="A76" s="1" t="s">
        <v>155</v>
      </c>
      <c r="C76" s="1" t="s">
        <v>437</v>
      </c>
      <c r="E76" s="1" t="s">
        <v>438</v>
      </c>
    </row>
    <row r="77" spans="1:11" x14ac:dyDescent="0.15">
      <c r="A77" s="1" t="s">
        <v>155</v>
      </c>
      <c r="C77" s="1" t="s">
        <v>439</v>
      </c>
      <c r="K77" s="1" t="s">
        <v>440</v>
      </c>
    </row>
    <row r="78" spans="1:11" x14ac:dyDescent="0.15">
      <c r="A78" s="1" t="s">
        <v>155</v>
      </c>
      <c r="C78" s="2" t="s">
        <v>441</v>
      </c>
      <c r="E78" s="1" t="s">
        <v>442</v>
      </c>
      <c r="G78" s="1" t="s">
        <v>443</v>
      </c>
    </row>
    <row r="79" spans="1:11" x14ac:dyDescent="0.15">
      <c r="A79" s="1" t="s">
        <v>155</v>
      </c>
      <c r="C79" s="2" t="s">
        <v>444</v>
      </c>
      <c r="E79" s="1" t="s">
        <v>445</v>
      </c>
      <c r="G79" s="1" t="s">
        <v>446</v>
      </c>
    </row>
    <row r="80" spans="1:11" x14ac:dyDescent="0.15">
      <c r="A80" s="1" t="s">
        <v>155</v>
      </c>
      <c r="C80" s="1" t="s">
        <v>447</v>
      </c>
      <c r="K80" s="1" t="s">
        <v>448</v>
      </c>
    </row>
    <row r="81" spans="1:33" x14ac:dyDescent="0.15">
      <c r="A81" s="1" t="s">
        <v>155</v>
      </c>
      <c r="C81" s="1" t="s">
        <v>449</v>
      </c>
      <c r="F81" s="1" t="s">
        <v>450</v>
      </c>
    </row>
    <row r="82" spans="1:33" x14ac:dyDescent="0.15">
      <c r="A82" s="1" t="s">
        <v>155</v>
      </c>
      <c r="B82" s="1" t="s">
        <v>451</v>
      </c>
      <c r="C82" s="2"/>
      <c r="E82" s="1" t="s">
        <v>452</v>
      </c>
    </row>
    <row r="83" spans="1:33" x14ac:dyDescent="0.15">
      <c r="A83" s="1" t="s">
        <v>155</v>
      </c>
      <c r="C83" s="1" t="s">
        <v>453</v>
      </c>
      <c r="E83" s="1" t="s">
        <v>454</v>
      </c>
    </row>
    <row r="84" spans="1:33" x14ac:dyDescent="0.15">
      <c r="A84" s="1" t="s">
        <v>155</v>
      </c>
      <c r="C84" s="1" t="s">
        <v>455</v>
      </c>
      <c r="E84" s="1" t="s">
        <v>456</v>
      </c>
    </row>
    <row r="85" spans="1:33" x14ac:dyDescent="0.15">
      <c r="A85" s="1" t="s">
        <v>155</v>
      </c>
      <c r="B85" s="1" t="s">
        <v>457</v>
      </c>
      <c r="E85" s="1" t="s">
        <v>458</v>
      </c>
    </row>
    <row r="86" spans="1:33" x14ac:dyDescent="0.15">
      <c r="A86" s="1" t="s">
        <v>155</v>
      </c>
      <c r="B86" s="1" t="s">
        <v>463</v>
      </c>
      <c r="C86" s="2"/>
      <c r="E86" s="1" t="s">
        <v>464</v>
      </c>
      <c r="AG86" s="1" t="s">
        <v>465</v>
      </c>
    </row>
    <row r="87" spans="1:33" x14ac:dyDescent="0.15">
      <c r="A87" s="1" t="s">
        <v>155</v>
      </c>
      <c r="C87" s="1" t="s">
        <v>467</v>
      </c>
      <c r="K87" s="1" t="s">
        <v>468</v>
      </c>
    </row>
    <row r="88" spans="1:33" x14ac:dyDescent="0.15">
      <c r="A88" s="1" t="s">
        <v>155</v>
      </c>
      <c r="B88" s="1" t="s">
        <v>470</v>
      </c>
      <c r="C88" s="1" t="s">
        <v>471</v>
      </c>
      <c r="D88" s="1" t="s">
        <v>472</v>
      </c>
      <c r="F88" s="1" t="s">
        <v>473</v>
      </c>
      <c r="I88" s="1" t="s">
        <v>474</v>
      </c>
      <c r="T88" s="1" t="s">
        <v>475</v>
      </c>
      <c r="U88" s="1" t="s">
        <v>476</v>
      </c>
      <c r="V88" s="1" t="s">
        <v>477</v>
      </c>
      <c r="AD88" s="1" t="s">
        <v>478</v>
      </c>
    </row>
    <row r="89" spans="1:33" x14ac:dyDescent="0.15">
      <c r="A89" s="1" t="s">
        <v>155</v>
      </c>
      <c r="B89" s="1" t="s">
        <v>479</v>
      </c>
      <c r="E89" s="1" t="s">
        <v>480</v>
      </c>
    </row>
    <row r="90" spans="1:33" x14ac:dyDescent="0.15">
      <c r="A90" s="1" t="s">
        <v>155</v>
      </c>
      <c r="C90" s="1" t="s">
        <v>481</v>
      </c>
      <c r="E90" s="1" t="s">
        <v>407</v>
      </c>
    </row>
    <row r="91" spans="1:33" x14ac:dyDescent="0.15">
      <c r="A91" s="1" t="s">
        <v>155</v>
      </c>
      <c r="B91" s="1" t="s">
        <v>482</v>
      </c>
      <c r="C91" s="1" t="s">
        <v>483</v>
      </c>
      <c r="E91" s="1" t="s">
        <v>484</v>
      </c>
    </row>
    <row r="92" spans="1:33" x14ac:dyDescent="0.15">
      <c r="A92" s="1" t="s">
        <v>155</v>
      </c>
      <c r="B92" s="1" t="s">
        <v>491</v>
      </c>
      <c r="F92" s="1" t="s">
        <v>181</v>
      </c>
    </row>
    <row r="93" spans="1:33" x14ac:dyDescent="0.15">
      <c r="A93" s="1" t="s">
        <v>155</v>
      </c>
      <c r="C93" s="1" t="s">
        <v>492</v>
      </c>
    </row>
    <row r="94" spans="1:33" x14ac:dyDescent="0.15">
      <c r="A94" s="1" t="s">
        <v>155</v>
      </c>
      <c r="C94" s="1" t="s">
        <v>496</v>
      </c>
      <c r="E94" s="1" t="s">
        <v>497</v>
      </c>
    </row>
    <row r="95" spans="1:33" x14ac:dyDescent="0.15">
      <c r="A95" s="1" t="s">
        <v>155</v>
      </c>
      <c r="B95" s="1" t="s">
        <v>500</v>
      </c>
      <c r="C95" s="2"/>
      <c r="E95" s="1" t="s">
        <v>501</v>
      </c>
      <c r="AG95" s="1" t="s">
        <v>502</v>
      </c>
    </row>
    <row r="96" spans="1:33" x14ac:dyDescent="0.15">
      <c r="A96" s="1" t="s">
        <v>155</v>
      </c>
      <c r="C96" s="1" t="s">
        <v>503</v>
      </c>
      <c r="F96" s="1" t="s">
        <v>239</v>
      </c>
    </row>
    <row r="97" spans="1:49" x14ac:dyDescent="0.15">
      <c r="A97" s="1" t="s">
        <v>155</v>
      </c>
      <c r="C97" s="1" t="s">
        <v>506</v>
      </c>
    </row>
    <row r="98" spans="1:49" x14ac:dyDescent="0.15">
      <c r="A98" s="1" t="s">
        <v>155</v>
      </c>
      <c r="C98" s="1" t="s">
        <v>507</v>
      </c>
      <c r="F98" s="1" t="s">
        <v>508</v>
      </c>
    </row>
    <row r="99" spans="1:49" x14ac:dyDescent="0.15">
      <c r="A99" s="1" t="s">
        <v>155</v>
      </c>
      <c r="C99" s="1" t="s">
        <v>511</v>
      </c>
    </row>
    <row r="100" spans="1:49" x14ac:dyDescent="0.15">
      <c r="A100" s="1" t="s">
        <v>155</v>
      </c>
      <c r="B100" s="1" t="s">
        <v>515</v>
      </c>
      <c r="F100" s="1" t="s">
        <v>516</v>
      </c>
    </row>
    <row r="101" spans="1:49" x14ac:dyDescent="0.15">
      <c r="A101" s="1" t="s">
        <v>155</v>
      </c>
      <c r="B101" s="1" t="s">
        <v>517</v>
      </c>
      <c r="E101" s="1" t="s">
        <v>518</v>
      </c>
    </row>
    <row r="102" spans="1:49" x14ac:dyDescent="0.15">
      <c r="A102" s="1" t="s">
        <v>155</v>
      </c>
      <c r="C102" s="1" t="s">
        <v>519</v>
      </c>
      <c r="K102" s="1" t="s">
        <v>520</v>
      </c>
    </row>
    <row r="103" spans="1:49" x14ac:dyDescent="0.15">
      <c r="A103" s="1" t="s">
        <v>155</v>
      </c>
      <c r="B103" s="1" t="s">
        <v>521</v>
      </c>
      <c r="F103" s="1" t="s">
        <v>208</v>
      </c>
    </row>
    <row r="104" spans="1:49" x14ac:dyDescent="0.15">
      <c r="A104" s="1" t="s">
        <v>155</v>
      </c>
      <c r="B104" s="1" t="s">
        <v>533</v>
      </c>
      <c r="E104" s="1" t="s">
        <v>534</v>
      </c>
    </row>
    <row r="105" spans="1:49" x14ac:dyDescent="0.15">
      <c r="A105" s="1" t="s">
        <v>155</v>
      </c>
      <c r="B105" s="1" t="s">
        <v>541</v>
      </c>
      <c r="E105" s="1" t="s">
        <v>542</v>
      </c>
    </row>
    <row r="106" spans="1:49" x14ac:dyDescent="0.15">
      <c r="A106" s="1" t="s">
        <v>155</v>
      </c>
      <c r="C106" s="1" t="s">
        <v>547</v>
      </c>
      <c r="E106" s="1" t="s">
        <v>548</v>
      </c>
    </row>
    <row r="107" spans="1:49" x14ac:dyDescent="0.15">
      <c r="A107" s="1" t="s">
        <v>155</v>
      </c>
      <c r="C107" s="1" t="s">
        <v>569</v>
      </c>
    </row>
    <row r="108" spans="1:49" x14ac:dyDescent="0.15">
      <c r="A108" s="1" t="s">
        <v>155</v>
      </c>
      <c r="C108" s="2" t="s">
        <v>581</v>
      </c>
    </row>
    <row r="109" spans="1:49" x14ac:dyDescent="0.15">
      <c r="A109" s="1" t="s">
        <v>155</v>
      </c>
      <c r="C109" s="2" t="s">
        <v>620</v>
      </c>
      <c r="E109" s="1" t="s">
        <v>621</v>
      </c>
    </row>
    <row r="110" spans="1:49" x14ac:dyDescent="0.15">
      <c r="A110" s="1" t="s">
        <v>155</v>
      </c>
      <c r="C110" s="2" t="s">
        <v>640</v>
      </c>
    </row>
    <row r="111" spans="1:49" x14ac:dyDescent="0.15">
      <c r="A111" s="1" t="s">
        <v>155</v>
      </c>
      <c r="C111" s="1" t="s">
        <v>641</v>
      </c>
    </row>
    <row r="112" spans="1:49" x14ac:dyDescent="0.15">
      <c r="A112" s="1" t="s">
        <v>651</v>
      </c>
      <c r="C112" s="2" t="s">
        <v>652</v>
      </c>
      <c r="F112" s="1" t="s">
        <v>653</v>
      </c>
      <c r="AW112" s="1" t="s">
        <v>155</v>
      </c>
    </row>
    <row r="113" spans="1:49" x14ac:dyDescent="0.15">
      <c r="A113" s="1" t="s">
        <v>651</v>
      </c>
      <c r="C113" s="1" t="s">
        <v>652</v>
      </c>
      <c r="E113" s="1" t="s">
        <v>654</v>
      </c>
    </row>
    <row r="114" spans="1:49" x14ac:dyDescent="0.15">
      <c r="A114" s="1" t="s">
        <v>651</v>
      </c>
      <c r="C114" s="2" t="s">
        <v>655</v>
      </c>
      <c r="F114" s="1" t="s">
        <v>656</v>
      </c>
      <c r="AW114" s="1" t="s">
        <v>141</v>
      </c>
    </row>
    <row r="115" spans="1:49" x14ac:dyDescent="0.15">
      <c r="A115" s="1" t="s">
        <v>651</v>
      </c>
      <c r="C115" s="1" t="s">
        <v>655</v>
      </c>
      <c r="E115" s="1" t="s">
        <v>657</v>
      </c>
    </row>
    <row r="116" spans="1:49" x14ac:dyDescent="0.15">
      <c r="A116" s="1" t="s">
        <v>651</v>
      </c>
      <c r="C116" s="1" t="s">
        <v>5</v>
      </c>
      <c r="E116" s="1" t="s">
        <v>658</v>
      </c>
    </row>
    <row r="117" spans="1:49" x14ac:dyDescent="0.15">
      <c r="A117" s="1" t="s">
        <v>651</v>
      </c>
      <c r="C117" s="1" t="s">
        <v>659</v>
      </c>
      <c r="F117" s="1" t="s">
        <v>142</v>
      </c>
    </row>
    <row r="118" spans="1:49" x14ac:dyDescent="0.15">
      <c r="A118" s="1" t="s">
        <v>651</v>
      </c>
      <c r="C118" s="2" t="s">
        <v>660</v>
      </c>
      <c r="F118" s="1" t="s">
        <v>661</v>
      </c>
      <c r="AW118" s="1" t="s">
        <v>141</v>
      </c>
    </row>
    <row r="119" spans="1:49" x14ac:dyDescent="0.15">
      <c r="A119" s="1" t="s">
        <v>651</v>
      </c>
      <c r="C119" s="2" t="s">
        <v>662</v>
      </c>
      <c r="F119" s="1" t="s">
        <v>663</v>
      </c>
      <c r="AW119" s="1" t="s">
        <v>141</v>
      </c>
    </row>
    <row r="120" spans="1:49" x14ac:dyDescent="0.15">
      <c r="A120" s="1" t="s">
        <v>651</v>
      </c>
      <c r="C120" s="1" t="s">
        <v>143</v>
      </c>
      <c r="E120" s="1" t="s">
        <v>664</v>
      </c>
    </row>
    <row r="121" spans="1:49" x14ac:dyDescent="0.15">
      <c r="A121" s="1" t="s">
        <v>651</v>
      </c>
      <c r="C121" s="1" t="s">
        <v>665</v>
      </c>
      <c r="F121" s="1" t="s">
        <v>666</v>
      </c>
      <c r="AW121" s="1" t="s">
        <v>141</v>
      </c>
    </row>
    <row r="122" spans="1:49" x14ac:dyDescent="0.15">
      <c r="A122" s="1" t="s">
        <v>651</v>
      </c>
      <c r="C122" s="2" t="s">
        <v>667</v>
      </c>
      <c r="F122" s="1" t="s">
        <v>668</v>
      </c>
      <c r="AW122" s="1" t="s">
        <v>141</v>
      </c>
    </row>
    <row r="123" spans="1:49" x14ac:dyDescent="0.15">
      <c r="A123" s="1" t="s">
        <v>651</v>
      </c>
      <c r="C123" s="1" t="s">
        <v>667</v>
      </c>
      <c r="E123" s="1" t="s">
        <v>669</v>
      </c>
    </row>
    <row r="124" spans="1:49" x14ac:dyDescent="0.15">
      <c r="A124" s="1" t="s">
        <v>651</v>
      </c>
      <c r="C124" s="2" t="s">
        <v>670</v>
      </c>
      <c r="F124" s="1" t="s">
        <v>671</v>
      </c>
      <c r="AW124" s="1" t="s">
        <v>141</v>
      </c>
    </row>
    <row r="125" spans="1:49" x14ac:dyDescent="0.15">
      <c r="A125" s="1" t="s">
        <v>651</v>
      </c>
      <c r="C125" s="2" t="s">
        <v>672</v>
      </c>
      <c r="F125" s="1" t="s">
        <v>673</v>
      </c>
      <c r="AW125" s="1" t="s">
        <v>141</v>
      </c>
    </row>
    <row r="126" spans="1:49" x14ac:dyDescent="0.15">
      <c r="A126" s="1" t="s">
        <v>651</v>
      </c>
      <c r="C126" s="2" t="s">
        <v>674</v>
      </c>
      <c r="F126" s="1" t="s">
        <v>675</v>
      </c>
      <c r="AW126" s="1" t="s">
        <v>141</v>
      </c>
    </row>
    <row r="127" spans="1:49" x14ac:dyDescent="0.15">
      <c r="A127" s="1" t="s">
        <v>651</v>
      </c>
      <c r="C127" s="2" t="s">
        <v>676</v>
      </c>
      <c r="F127" s="1" t="s">
        <v>677</v>
      </c>
      <c r="AW127" s="1" t="s">
        <v>141</v>
      </c>
    </row>
    <row r="128" spans="1:49" x14ac:dyDescent="0.15">
      <c r="A128" s="1" t="s">
        <v>651</v>
      </c>
      <c r="C128" s="1" t="s">
        <v>678</v>
      </c>
      <c r="F128" s="1" t="s">
        <v>679</v>
      </c>
      <c r="AW128" s="1" t="s">
        <v>141</v>
      </c>
    </row>
    <row r="129" spans="1:50" x14ac:dyDescent="0.15">
      <c r="A129" s="1" t="s">
        <v>651</v>
      </c>
      <c r="C129" s="1" t="s">
        <v>680</v>
      </c>
      <c r="F129" s="1" t="s">
        <v>681</v>
      </c>
      <c r="AW129" s="1" t="s">
        <v>141</v>
      </c>
    </row>
    <row r="130" spans="1:50" x14ac:dyDescent="0.15">
      <c r="A130" s="1" t="s">
        <v>651</v>
      </c>
      <c r="C130" s="1" t="s">
        <v>682</v>
      </c>
      <c r="F130" s="1" t="s">
        <v>683</v>
      </c>
      <c r="AW130" s="1" t="s">
        <v>141</v>
      </c>
    </row>
    <row r="131" spans="1:50" x14ac:dyDescent="0.15">
      <c r="A131" s="1" t="s">
        <v>651</v>
      </c>
      <c r="C131" s="2" t="s">
        <v>684</v>
      </c>
      <c r="F131" s="1" t="s">
        <v>685</v>
      </c>
      <c r="AW131" s="1" t="s">
        <v>141</v>
      </c>
    </row>
    <row r="132" spans="1:50" x14ac:dyDescent="0.15">
      <c r="A132" s="1" t="s">
        <v>651</v>
      </c>
      <c r="C132" s="1" t="s">
        <v>684</v>
      </c>
      <c r="E132" s="1" t="s">
        <v>686</v>
      </c>
    </row>
    <row r="133" spans="1:50" x14ac:dyDescent="0.15">
      <c r="A133" s="1" t="s">
        <v>651</v>
      </c>
      <c r="C133" s="2" t="s">
        <v>687</v>
      </c>
      <c r="F133" s="1" t="s">
        <v>688</v>
      </c>
      <c r="AW133" s="1" t="s">
        <v>141</v>
      </c>
    </row>
    <row r="134" spans="1:50" x14ac:dyDescent="0.15">
      <c r="A134" s="1" t="s">
        <v>651</v>
      </c>
      <c r="C134" s="1" t="s">
        <v>687</v>
      </c>
      <c r="E134" s="1" t="s">
        <v>689</v>
      </c>
    </row>
    <row r="135" spans="1:50" x14ac:dyDescent="0.15">
      <c r="A135" s="1" t="s">
        <v>651</v>
      </c>
      <c r="C135" s="2" t="s">
        <v>690</v>
      </c>
      <c r="F135" s="1" t="s">
        <v>691</v>
      </c>
      <c r="AW135" s="1" t="s">
        <v>0</v>
      </c>
    </row>
    <row r="136" spans="1:50" x14ac:dyDescent="0.15">
      <c r="A136" s="1" t="s">
        <v>651</v>
      </c>
      <c r="C136" s="1" t="s">
        <v>690</v>
      </c>
      <c r="F136" s="1" t="s">
        <v>692</v>
      </c>
    </row>
    <row r="137" spans="1:50" x14ac:dyDescent="0.15">
      <c r="A137" s="1" t="s">
        <v>651</v>
      </c>
      <c r="C137" s="1" t="s">
        <v>690</v>
      </c>
      <c r="E137" s="1" t="s">
        <v>693</v>
      </c>
    </row>
    <row r="138" spans="1:50" x14ac:dyDescent="0.15">
      <c r="A138" s="1" t="s">
        <v>694</v>
      </c>
      <c r="B138" s="1" t="s">
        <v>695</v>
      </c>
      <c r="E138" s="1" t="s">
        <v>696</v>
      </c>
      <c r="AW138" s="1" t="s">
        <v>697</v>
      </c>
    </row>
    <row r="139" spans="1:50" x14ac:dyDescent="0.15">
      <c r="A139" s="1" t="s">
        <v>694</v>
      </c>
      <c r="C139" s="1" t="s">
        <v>698</v>
      </c>
      <c r="K139" s="1" t="s">
        <v>699</v>
      </c>
      <c r="AW139" s="1" t="s">
        <v>697</v>
      </c>
    </row>
    <row r="140" spans="1:50" x14ac:dyDescent="0.15">
      <c r="A140" s="1" t="s">
        <v>694</v>
      </c>
      <c r="B140" s="1" t="s">
        <v>700</v>
      </c>
      <c r="E140" s="1" t="s">
        <v>701</v>
      </c>
      <c r="F140" s="1" t="s">
        <v>702</v>
      </c>
      <c r="AW140" s="1" t="s">
        <v>697</v>
      </c>
    </row>
    <row r="141" spans="1:50" x14ac:dyDescent="0.15">
      <c r="A141" s="1" t="s">
        <v>694</v>
      </c>
      <c r="C141" s="1" t="s">
        <v>703</v>
      </c>
      <c r="K141" s="1" t="s">
        <v>704</v>
      </c>
      <c r="AW141" s="1" t="s">
        <v>697</v>
      </c>
    </row>
    <row r="142" spans="1:50" x14ac:dyDescent="0.15">
      <c r="A142" s="1" t="s">
        <v>694</v>
      </c>
      <c r="C142" s="1" t="s">
        <v>705</v>
      </c>
      <c r="F142" s="1" t="s">
        <v>706</v>
      </c>
      <c r="AW142" s="1" t="s">
        <v>697</v>
      </c>
      <c r="AX142" s="1" t="s">
        <v>164</v>
      </c>
    </row>
    <row r="143" spans="1:50" x14ac:dyDescent="0.15">
      <c r="A143" s="1" t="s">
        <v>694</v>
      </c>
      <c r="C143" s="1" t="s">
        <v>707</v>
      </c>
      <c r="K143" s="1" t="s">
        <v>708</v>
      </c>
      <c r="R143" s="1" t="s">
        <v>709</v>
      </c>
      <c r="AW143" s="1" t="s">
        <v>697</v>
      </c>
    </row>
    <row r="144" spans="1:50" x14ac:dyDescent="0.15">
      <c r="A144" s="1" t="s">
        <v>694</v>
      </c>
      <c r="B144" s="1" t="s">
        <v>710</v>
      </c>
      <c r="C144" s="1" t="s">
        <v>178</v>
      </c>
      <c r="F144" s="1" t="s">
        <v>179</v>
      </c>
      <c r="K144" s="1" t="s">
        <v>711</v>
      </c>
      <c r="AW144" s="1" t="s">
        <v>697</v>
      </c>
    </row>
    <row r="145" spans="1:49" x14ac:dyDescent="0.15">
      <c r="A145" s="1" t="s">
        <v>694</v>
      </c>
      <c r="C145" s="1" t="s">
        <v>184</v>
      </c>
      <c r="E145" s="1" t="s">
        <v>712</v>
      </c>
      <c r="K145" s="1" t="s">
        <v>713</v>
      </c>
      <c r="AG145" s="1" t="s">
        <v>712</v>
      </c>
      <c r="AW145" s="1" t="s">
        <v>697</v>
      </c>
    </row>
    <row r="146" spans="1:49" x14ac:dyDescent="0.15">
      <c r="A146" s="1" t="s">
        <v>694</v>
      </c>
      <c r="C146" s="1" t="s">
        <v>186</v>
      </c>
      <c r="K146" s="1" t="s">
        <v>714</v>
      </c>
      <c r="AW146" s="1" t="s">
        <v>697</v>
      </c>
    </row>
    <row r="147" spans="1:49" x14ac:dyDescent="0.15">
      <c r="A147" s="1" t="s">
        <v>694</v>
      </c>
      <c r="C147" s="1" t="s">
        <v>715</v>
      </c>
      <c r="K147" s="1" t="s">
        <v>716</v>
      </c>
      <c r="AW147" s="1" t="s">
        <v>697</v>
      </c>
    </row>
    <row r="148" spans="1:49" x14ac:dyDescent="0.15">
      <c r="A148" s="1" t="s">
        <v>694</v>
      </c>
      <c r="B148" s="1" t="s">
        <v>717</v>
      </c>
      <c r="E148" s="1" t="s">
        <v>718</v>
      </c>
      <c r="AW148" s="1" t="s">
        <v>697</v>
      </c>
    </row>
    <row r="149" spans="1:49" x14ac:dyDescent="0.15">
      <c r="A149" s="1" t="s">
        <v>694</v>
      </c>
      <c r="B149" s="1" t="s">
        <v>717</v>
      </c>
      <c r="C149" s="1" t="s">
        <v>719</v>
      </c>
      <c r="E149" s="1" t="s">
        <v>718</v>
      </c>
      <c r="F149" s="1" t="s">
        <v>720</v>
      </c>
    </row>
    <row r="150" spans="1:49" x14ac:dyDescent="0.15">
      <c r="A150" s="1" t="s">
        <v>694</v>
      </c>
      <c r="B150" s="1"/>
      <c r="C150" s="1" t="s">
        <v>196</v>
      </c>
      <c r="E150" s="1" t="s">
        <v>721</v>
      </c>
      <c r="F150" s="1" t="s">
        <v>195</v>
      </c>
      <c r="AG150" s="1" t="s">
        <v>722</v>
      </c>
      <c r="AH150" s="1" t="s">
        <v>722</v>
      </c>
      <c r="AS150" s="1" t="s">
        <v>723</v>
      </c>
      <c r="AT150" s="1" t="s">
        <v>723</v>
      </c>
      <c r="AW150" s="1" t="s">
        <v>697</v>
      </c>
    </row>
    <row r="151" spans="1:49" x14ac:dyDescent="0.15">
      <c r="A151" s="1" t="s">
        <v>694</v>
      </c>
      <c r="B151" s="1" t="s">
        <v>515</v>
      </c>
      <c r="C151" s="1" t="s">
        <v>515</v>
      </c>
      <c r="F151" s="1" t="s">
        <v>198</v>
      </c>
      <c r="K151" s="1" t="s">
        <v>724</v>
      </c>
      <c r="AW151" s="1" t="s">
        <v>697</v>
      </c>
    </row>
    <row r="152" spans="1:49" x14ac:dyDescent="0.15">
      <c r="A152" s="1" t="s">
        <v>694</v>
      </c>
      <c r="B152" s="1" t="s">
        <v>725</v>
      </c>
      <c r="E152" s="1" t="s">
        <v>726</v>
      </c>
      <c r="F152" s="1" t="s">
        <v>727</v>
      </c>
    </row>
    <row r="153" spans="1:49" x14ac:dyDescent="0.15">
      <c r="A153" s="1" t="s">
        <v>694</v>
      </c>
      <c r="C153" s="1" t="s">
        <v>728</v>
      </c>
      <c r="E153" s="1" t="s">
        <v>729</v>
      </c>
      <c r="K153" s="1" t="s">
        <v>730</v>
      </c>
      <c r="AQ153" s="1" t="s">
        <v>730</v>
      </c>
      <c r="AW153" s="1" t="s">
        <v>697</v>
      </c>
    </row>
    <row r="154" spans="1:49" x14ac:dyDescent="0.15">
      <c r="A154" s="1" t="s">
        <v>694</v>
      </c>
      <c r="B154" s="1" t="s">
        <v>731</v>
      </c>
      <c r="C154" s="1" t="s">
        <v>732</v>
      </c>
      <c r="E154" s="1" t="s">
        <v>548</v>
      </c>
      <c r="F154" s="1" t="s">
        <v>733</v>
      </c>
    </row>
    <row r="155" spans="1:49" x14ac:dyDescent="0.15">
      <c r="A155" s="1" t="s">
        <v>694</v>
      </c>
      <c r="B155" s="1" t="s">
        <v>734</v>
      </c>
      <c r="C155" s="1" t="s">
        <v>735</v>
      </c>
      <c r="E155" s="1" t="s">
        <v>736</v>
      </c>
      <c r="F155" s="1" t="s">
        <v>737</v>
      </c>
      <c r="AW155" s="1" t="s">
        <v>697</v>
      </c>
    </row>
    <row r="156" spans="1:49" x14ac:dyDescent="0.15">
      <c r="A156" s="1" t="s">
        <v>694</v>
      </c>
      <c r="C156" s="1" t="s">
        <v>738</v>
      </c>
      <c r="K156" s="1" t="s">
        <v>739</v>
      </c>
      <c r="AW156" s="1" t="s">
        <v>697</v>
      </c>
    </row>
    <row r="157" spans="1:49" x14ac:dyDescent="0.15">
      <c r="A157" s="1" t="s">
        <v>694</v>
      </c>
      <c r="B157" s="1" t="s">
        <v>740</v>
      </c>
      <c r="E157" s="1" t="s">
        <v>741</v>
      </c>
      <c r="F157" s="1" t="s">
        <v>256</v>
      </c>
      <c r="AW157" s="1" t="s">
        <v>697</v>
      </c>
    </row>
    <row r="158" spans="1:49" x14ac:dyDescent="0.15">
      <c r="A158" s="1" t="s">
        <v>694</v>
      </c>
      <c r="C158" s="1" t="s">
        <v>742</v>
      </c>
      <c r="K158" s="1" t="s">
        <v>743</v>
      </c>
      <c r="AW158" s="1" t="s">
        <v>697</v>
      </c>
    </row>
    <row r="159" spans="1:49" x14ac:dyDescent="0.15">
      <c r="A159" s="1" t="s">
        <v>694</v>
      </c>
      <c r="B159" s="1" t="s">
        <v>533</v>
      </c>
      <c r="E159" s="1" t="s">
        <v>744</v>
      </c>
      <c r="AW159" s="1" t="s">
        <v>697</v>
      </c>
    </row>
    <row r="160" spans="1:49" x14ac:dyDescent="0.15">
      <c r="A160" s="1" t="s">
        <v>807</v>
      </c>
      <c r="B160" s="1" t="s">
        <v>808</v>
      </c>
      <c r="E160" s="1" t="s">
        <v>809</v>
      </c>
      <c r="F160" s="1" t="s">
        <v>228</v>
      </c>
      <c r="AW160" s="1" t="s">
        <v>697</v>
      </c>
    </row>
    <row r="161" spans="1:49" x14ac:dyDescent="0.15">
      <c r="A161" s="1" t="s">
        <v>807</v>
      </c>
      <c r="B161" s="1" t="s">
        <v>810</v>
      </c>
      <c r="E161" s="1" t="s">
        <v>811</v>
      </c>
      <c r="F161" s="1" t="s">
        <v>234</v>
      </c>
      <c r="K161" s="1" t="s">
        <v>812</v>
      </c>
      <c r="AQ161" s="1" t="s">
        <v>812</v>
      </c>
      <c r="AW161" s="1" t="s">
        <v>697</v>
      </c>
    </row>
    <row r="162" spans="1:49" x14ac:dyDescent="0.15">
      <c r="A162" s="1" t="s">
        <v>807</v>
      </c>
      <c r="B162" s="1" t="s">
        <v>813</v>
      </c>
      <c r="E162" s="1" t="s">
        <v>814</v>
      </c>
      <c r="F162" s="1" t="s">
        <v>237</v>
      </c>
      <c r="AW162" s="1" t="s">
        <v>697</v>
      </c>
    </row>
    <row r="163" spans="1:49" x14ac:dyDescent="0.15">
      <c r="A163" s="1" t="s">
        <v>807</v>
      </c>
      <c r="B163" s="1" t="s">
        <v>815</v>
      </c>
      <c r="E163" s="1" t="s">
        <v>816</v>
      </c>
      <c r="AW163" s="1" t="s">
        <v>697</v>
      </c>
    </row>
    <row r="164" spans="1:49" x14ac:dyDescent="0.15">
      <c r="A164" s="1" t="s">
        <v>807</v>
      </c>
      <c r="B164" s="1" t="s">
        <v>817</v>
      </c>
      <c r="C164" s="1" t="s">
        <v>818</v>
      </c>
    </row>
    <row r="165" spans="1:49" x14ac:dyDescent="0.15">
      <c r="A165" s="1" t="s">
        <v>807</v>
      </c>
      <c r="B165" s="1" t="s">
        <v>819</v>
      </c>
      <c r="E165" s="1" t="s">
        <v>820</v>
      </c>
      <c r="F165" s="1" t="s">
        <v>250</v>
      </c>
      <c r="AG165" s="1" t="s">
        <v>821</v>
      </c>
      <c r="AH165" s="1" t="s">
        <v>821</v>
      </c>
      <c r="AW165" s="1" t="s">
        <v>697</v>
      </c>
    </row>
    <row r="166" spans="1:49" x14ac:dyDescent="0.15">
      <c r="A166" s="1" t="s">
        <v>807</v>
      </c>
      <c r="B166" s="1" t="s">
        <v>238</v>
      </c>
      <c r="E166" s="1" t="s">
        <v>822</v>
      </c>
      <c r="F166" s="1" t="s">
        <v>242</v>
      </c>
      <c r="R166" s="1" t="s">
        <v>823</v>
      </c>
      <c r="AW166" s="1" t="s">
        <v>697</v>
      </c>
    </row>
    <row r="167" spans="1:49" x14ac:dyDescent="0.15">
      <c r="A167" s="1" t="s">
        <v>807</v>
      </c>
      <c r="B167" s="1" t="s">
        <v>824</v>
      </c>
      <c r="E167" s="1" t="s">
        <v>825</v>
      </c>
      <c r="F167" s="1" t="s">
        <v>253</v>
      </c>
      <c r="AW167" s="1" t="s">
        <v>697</v>
      </c>
    </row>
    <row r="168" spans="1:49" x14ac:dyDescent="0.15">
      <c r="A168" s="1" t="s">
        <v>807</v>
      </c>
      <c r="B168" s="1" t="s">
        <v>826</v>
      </c>
      <c r="E168" s="1" t="s">
        <v>827</v>
      </c>
      <c r="F168" s="1" t="s">
        <v>259</v>
      </c>
      <c r="AW168" s="1" t="s">
        <v>697</v>
      </c>
    </row>
    <row r="169" spans="1:49" x14ac:dyDescent="0.15">
      <c r="A169" s="1" t="s">
        <v>807</v>
      </c>
      <c r="B169" s="1" t="s">
        <v>828</v>
      </c>
      <c r="AW169" s="1" t="s">
        <v>697</v>
      </c>
    </row>
    <row r="170" spans="1:49" x14ac:dyDescent="0.15">
      <c r="A170" s="1" t="s">
        <v>807</v>
      </c>
      <c r="B170" s="1" t="s">
        <v>829</v>
      </c>
      <c r="C170" s="1" t="s">
        <v>830</v>
      </c>
      <c r="AW170" s="1" t="s">
        <v>697</v>
      </c>
    </row>
    <row r="171" spans="1:49" x14ac:dyDescent="0.15">
      <c r="A171" s="1" t="s">
        <v>807</v>
      </c>
      <c r="B171" s="1" t="s">
        <v>831</v>
      </c>
      <c r="E171" s="1" t="s">
        <v>832</v>
      </c>
      <c r="AW171" s="1" t="s">
        <v>697</v>
      </c>
    </row>
    <row r="172" spans="1:49" x14ac:dyDescent="0.15">
      <c r="A172" s="1" t="s">
        <v>807</v>
      </c>
      <c r="B172" s="1" t="s">
        <v>833</v>
      </c>
      <c r="AW172" s="1" t="s">
        <v>697</v>
      </c>
    </row>
    <row r="173" spans="1:49" x14ac:dyDescent="0.15">
      <c r="A173" s="1" t="s">
        <v>846</v>
      </c>
      <c r="C173" s="1" t="s">
        <v>847</v>
      </c>
      <c r="F173" s="1" t="s">
        <v>848</v>
      </c>
      <c r="N173" s="1" t="s">
        <v>148</v>
      </c>
      <c r="O173" s="1" t="s">
        <v>149</v>
      </c>
      <c r="AW173" s="1" t="s">
        <v>145</v>
      </c>
    </row>
    <row r="174" spans="1:49" x14ac:dyDescent="0.15">
      <c r="A174" s="1" t="s">
        <v>846</v>
      </c>
      <c r="C174" s="1" t="s">
        <v>849</v>
      </c>
      <c r="F174" s="1" t="s">
        <v>850</v>
      </c>
      <c r="N174" s="1" t="s">
        <v>148</v>
      </c>
      <c r="O174" s="1" t="s">
        <v>149</v>
      </c>
      <c r="AW174" s="1" t="s">
        <v>145</v>
      </c>
    </row>
    <row r="175" spans="1:49" x14ac:dyDescent="0.15">
      <c r="A175" s="1" t="s">
        <v>846</v>
      </c>
      <c r="C175" s="1" t="s">
        <v>849</v>
      </c>
      <c r="K175" s="1" t="s">
        <v>851</v>
      </c>
    </row>
    <row r="176" spans="1:49" x14ac:dyDescent="0.15">
      <c r="A176" s="1" t="s">
        <v>846</v>
      </c>
      <c r="C176" s="1" t="s">
        <v>852</v>
      </c>
      <c r="F176" s="1" t="s">
        <v>853</v>
      </c>
      <c r="N176" s="1" t="s">
        <v>148</v>
      </c>
      <c r="O176" s="1" t="s">
        <v>149</v>
      </c>
      <c r="AW176" s="1" t="s">
        <v>145</v>
      </c>
    </row>
    <row r="177" spans="1:49" x14ac:dyDescent="0.15">
      <c r="A177" s="1" t="s">
        <v>846</v>
      </c>
      <c r="C177" s="1" t="s">
        <v>852</v>
      </c>
      <c r="K177" s="1" t="s">
        <v>854</v>
      </c>
    </row>
    <row r="178" spans="1:49" x14ac:dyDescent="0.15">
      <c r="A178" s="1" t="s">
        <v>855</v>
      </c>
      <c r="C178" s="1" t="s">
        <v>864</v>
      </c>
      <c r="E178" s="1" t="s">
        <v>865</v>
      </c>
      <c r="K178" s="1" t="s">
        <v>866</v>
      </c>
    </row>
    <row r="179" spans="1:49" x14ac:dyDescent="0.15">
      <c r="A179" s="1" t="s">
        <v>855</v>
      </c>
      <c r="C179" s="1" t="s">
        <v>867</v>
      </c>
      <c r="K179" s="1" t="s">
        <v>868</v>
      </c>
    </row>
    <row r="180" spans="1:49" x14ac:dyDescent="0.15">
      <c r="A180" s="1" t="s">
        <v>855</v>
      </c>
      <c r="C180" s="1" t="s">
        <v>871</v>
      </c>
      <c r="K180" s="1" t="s">
        <v>872</v>
      </c>
    </row>
    <row r="181" spans="1:49" x14ac:dyDescent="0.15">
      <c r="A181" s="1" t="s">
        <v>855</v>
      </c>
      <c r="C181" s="1" t="s">
        <v>873</v>
      </c>
      <c r="E181" s="1" t="s">
        <v>874</v>
      </c>
    </row>
    <row r="182" spans="1:49" x14ac:dyDescent="0.15">
      <c r="A182" s="1" t="s">
        <v>855</v>
      </c>
      <c r="C182" s="1" t="s">
        <v>875</v>
      </c>
      <c r="K182" s="1" t="s">
        <v>876</v>
      </c>
    </row>
    <row r="183" spans="1:49" x14ac:dyDescent="0.15">
      <c r="A183" s="1" t="s">
        <v>855</v>
      </c>
      <c r="C183" s="1" t="s">
        <v>877</v>
      </c>
      <c r="K183" s="1" t="s">
        <v>878</v>
      </c>
    </row>
    <row r="184" spans="1:49" x14ac:dyDescent="0.15">
      <c r="A184" s="1" t="s">
        <v>855</v>
      </c>
      <c r="C184" s="1" t="s">
        <v>879</v>
      </c>
      <c r="K184" s="1" t="s">
        <v>880</v>
      </c>
    </row>
    <row r="185" spans="1:49" x14ac:dyDescent="0.15">
      <c r="A185" s="1" t="s">
        <v>855</v>
      </c>
      <c r="C185" s="1" t="s">
        <v>881</v>
      </c>
      <c r="K185" s="1" t="s">
        <v>882</v>
      </c>
    </row>
    <row r="186" spans="1:49" x14ac:dyDescent="0.15">
      <c r="A186" s="1" t="s">
        <v>855</v>
      </c>
      <c r="C186" s="1" t="s">
        <v>883</v>
      </c>
      <c r="K186" s="1" t="s">
        <v>884</v>
      </c>
    </row>
    <row r="187" spans="1:49" x14ac:dyDescent="0.15">
      <c r="A187" s="1" t="s">
        <v>855</v>
      </c>
      <c r="C187" s="1" t="s">
        <v>885</v>
      </c>
      <c r="E187" s="1" t="s">
        <v>886</v>
      </c>
    </row>
    <row r="188" spans="1:49" x14ac:dyDescent="0.15">
      <c r="A188" s="1" t="s">
        <v>855</v>
      </c>
      <c r="C188" s="2" t="s">
        <v>887</v>
      </c>
      <c r="E188" s="1" t="s">
        <v>888</v>
      </c>
    </row>
    <row r="189" spans="1:49" x14ac:dyDescent="0.15">
      <c r="A189" s="1" t="s">
        <v>855</v>
      </c>
      <c r="C189" s="1" t="s">
        <v>889</v>
      </c>
      <c r="K189" s="1" t="s">
        <v>890</v>
      </c>
    </row>
    <row r="190" spans="1:49" x14ac:dyDescent="0.15">
      <c r="A190" s="1" t="s">
        <v>855</v>
      </c>
      <c r="C190" s="1" t="s">
        <v>891</v>
      </c>
      <c r="E190" s="1" t="s">
        <v>892</v>
      </c>
    </row>
    <row r="191" spans="1:49" x14ac:dyDescent="0.15">
      <c r="A191" s="1" t="s">
        <v>855</v>
      </c>
      <c r="C191" s="1" t="s">
        <v>893</v>
      </c>
      <c r="F191" s="1" t="s">
        <v>894</v>
      </c>
      <c r="AW191" s="1" t="s">
        <v>80</v>
      </c>
    </row>
    <row r="192" spans="1:49" x14ac:dyDescent="0.15">
      <c r="A192" s="1" t="s">
        <v>855</v>
      </c>
      <c r="C192" s="1" t="s">
        <v>895</v>
      </c>
      <c r="K192" s="1" t="s">
        <v>896</v>
      </c>
    </row>
    <row r="193" spans="1:50" x14ac:dyDescent="0.15">
      <c r="A193" s="1" t="s">
        <v>855</v>
      </c>
      <c r="C193" s="1" t="s">
        <v>897</v>
      </c>
      <c r="AW193" s="1" t="s">
        <v>0</v>
      </c>
    </row>
    <row r="194" spans="1:50" x14ac:dyDescent="0.15">
      <c r="A194" s="1" t="s">
        <v>855</v>
      </c>
      <c r="C194" s="1" t="s">
        <v>898</v>
      </c>
      <c r="K194" s="1" t="s">
        <v>899</v>
      </c>
    </row>
    <row r="195" spans="1:50" x14ac:dyDescent="0.15">
      <c r="A195" s="1" t="s">
        <v>855</v>
      </c>
      <c r="C195" s="1" t="s">
        <v>900</v>
      </c>
      <c r="K195" s="1" t="s">
        <v>901</v>
      </c>
    </row>
    <row r="196" spans="1:50" x14ac:dyDescent="0.15">
      <c r="A196" s="1" t="s">
        <v>855</v>
      </c>
      <c r="C196" s="1" t="s">
        <v>902</v>
      </c>
      <c r="K196" s="1" t="s">
        <v>903</v>
      </c>
    </row>
    <row r="197" spans="1:50" x14ac:dyDescent="0.15">
      <c r="A197" s="1" t="s">
        <v>855</v>
      </c>
      <c r="C197" s="1" t="s">
        <v>908</v>
      </c>
      <c r="E197" s="1" t="s">
        <v>909</v>
      </c>
    </row>
    <row r="198" spans="1:50" x14ac:dyDescent="0.15">
      <c r="A198" s="1" t="s">
        <v>855</v>
      </c>
      <c r="C198" s="1" t="s">
        <v>910</v>
      </c>
      <c r="K198" s="1" t="s">
        <v>911</v>
      </c>
    </row>
    <row r="199" spans="1:50" x14ac:dyDescent="0.15">
      <c r="A199" s="1" t="s">
        <v>855</v>
      </c>
      <c r="C199" s="1" t="s">
        <v>914</v>
      </c>
      <c r="K199" s="1" t="s">
        <v>915</v>
      </c>
    </row>
    <row r="200" spans="1:50" x14ac:dyDescent="0.15">
      <c r="A200" s="1" t="s">
        <v>855</v>
      </c>
      <c r="C200" s="1" t="s">
        <v>916</v>
      </c>
      <c r="K200" s="1" t="s">
        <v>917</v>
      </c>
    </row>
    <row r="201" spans="1:50" x14ac:dyDescent="0.15">
      <c r="A201" s="1" t="s">
        <v>928</v>
      </c>
      <c r="B201" s="1" t="s">
        <v>929</v>
      </c>
      <c r="C201" s="1" t="s">
        <v>930</v>
      </c>
      <c r="E201" s="1" t="s">
        <v>931</v>
      </c>
      <c r="F201" s="1" t="s">
        <v>932</v>
      </c>
      <c r="G201" s="1" t="s">
        <v>933</v>
      </c>
      <c r="R201" s="1" t="s">
        <v>934</v>
      </c>
      <c r="S201" s="1" t="s">
        <v>935</v>
      </c>
      <c r="T201" s="1" t="s">
        <v>936</v>
      </c>
      <c r="U201" s="1" t="s">
        <v>937</v>
      </c>
      <c r="V201" s="1" t="s">
        <v>938</v>
      </c>
      <c r="AG201" s="1" t="s">
        <v>931</v>
      </c>
      <c r="AH201" s="1" t="s">
        <v>931</v>
      </c>
      <c r="AI201" s="1" t="s">
        <v>939</v>
      </c>
      <c r="AJ201" s="1" t="s">
        <v>939</v>
      </c>
      <c r="AW201" s="1" t="s">
        <v>745</v>
      </c>
      <c r="AX201" s="1" t="s">
        <v>940</v>
      </c>
    </row>
    <row r="202" spans="1:50" x14ac:dyDescent="0.15">
      <c r="A202" s="1" t="s">
        <v>928</v>
      </c>
      <c r="B202" s="1" t="s">
        <v>952</v>
      </c>
      <c r="C202" s="1" t="s">
        <v>953</v>
      </c>
      <c r="E202" s="1" t="s">
        <v>954</v>
      </c>
      <c r="F202" s="1" t="s">
        <v>955</v>
      </c>
      <c r="G202" s="1" t="s">
        <v>956</v>
      </c>
      <c r="R202" s="1" t="s">
        <v>957</v>
      </c>
      <c r="S202" s="1" t="s">
        <v>958</v>
      </c>
      <c r="U202" s="1"/>
      <c r="V202" s="1" t="s">
        <v>959</v>
      </c>
      <c r="AD202" s="1" t="s">
        <v>960</v>
      </c>
      <c r="AG202" s="1" t="s">
        <v>954</v>
      </c>
      <c r="AH202" s="1" t="s">
        <v>954</v>
      </c>
      <c r="AW202" s="1" t="s">
        <v>745</v>
      </c>
      <c r="AX202" s="1" t="s">
        <v>940</v>
      </c>
    </row>
    <row r="203" spans="1:50" x14ac:dyDescent="0.15">
      <c r="A203" s="1" t="s">
        <v>928</v>
      </c>
      <c r="C203" s="1" t="s">
        <v>980</v>
      </c>
      <c r="K203" s="1" t="s">
        <v>981</v>
      </c>
    </row>
    <row r="204" spans="1:50" x14ac:dyDescent="0.15">
      <c r="A204" s="1" t="s">
        <v>928</v>
      </c>
      <c r="C204" s="1" t="s">
        <v>986</v>
      </c>
      <c r="K204" s="1" t="s">
        <v>987</v>
      </c>
    </row>
    <row r="205" spans="1:50" x14ac:dyDescent="0.15">
      <c r="A205" s="1" t="s">
        <v>928</v>
      </c>
      <c r="B205" s="1" t="s">
        <v>152</v>
      </c>
      <c r="C205" s="1" t="s">
        <v>990</v>
      </c>
      <c r="E205" s="1" t="s">
        <v>991</v>
      </c>
      <c r="F205" s="1" t="s">
        <v>992</v>
      </c>
      <c r="G205" s="1" t="s">
        <v>993</v>
      </c>
      <c r="R205" s="1" t="s">
        <v>994</v>
      </c>
      <c r="T205" s="1" t="s">
        <v>995</v>
      </c>
      <c r="U205" s="1" t="s">
        <v>996</v>
      </c>
      <c r="V205" s="1" t="s">
        <v>997</v>
      </c>
      <c r="AD205" s="1" t="s">
        <v>998</v>
      </c>
      <c r="AG205" s="1" t="s">
        <v>991</v>
      </c>
      <c r="AH205" s="1" t="s">
        <v>991</v>
      </c>
      <c r="AI205" s="1" t="s">
        <v>999</v>
      </c>
      <c r="AJ205" s="1" t="s">
        <v>999</v>
      </c>
      <c r="AW205" s="1" t="s">
        <v>745</v>
      </c>
      <c r="AX205" s="1" t="s">
        <v>940</v>
      </c>
    </row>
    <row r="206" spans="1:50" x14ac:dyDescent="0.15">
      <c r="A206" s="1" t="s">
        <v>928</v>
      </c>
      <c r="B206" s="1" t="s">
        <v>1000</v>
      </c>
      <c r="E206" s="1" t="s">
        <v>1001</v>
      </c>
      <c r="H206" s="1" t="s">
        <v>1002</v>
      </c>
      <c r="AG206" s="1" t="s">
        <v>1003</v>
      </c>
    </row>
    <row r="207" spans="1:50" x14ac:dyDescent="0.15">
      <c r="A207" s="1" t="s">
        <v>928</v>
      </c>
      <c r="B207" s="1" t="s">
        <v>1007</v>
      </c>
      <c r="C207" s="1" t="s">
        <v>1008</v>
      </c>
      <c r="E207" s="1" t="s">
        <v>1009</v>
      </c>
    </row>
    <row r="208" spans="1:50" x14ac:dyDescent="0.15">
      <c r="A208" s="1" t="s">
        <v>928</v>
      </c>
      <c r="C208" s="1" t="s">
        <v>1010</v>
      </c>
      <c r="K208" s="1" t="s">
        <v>1011</v>
      </c>
      <c r="R208" s="1" t="s">
        <v>1012</v>
      </c>
    </row>
    <row r="209" spans="1:50" x14ac:dyDescent="0.15">
      <c r="A209" s="1" t="s">
        <v>928</v>
      </c>
      <c r="B209" s="1" t="s">
        <v>1013</v>
      </c>
      <c r="C209" s="2" t="s">
        <v>1014</v>
      </c>
      <c r="E209" s="1" t="s">
        <v>1015</v>
      </c>
      <c r="R209" s="1" t="s">
        <v>1016</v>
      </c>
    </row>
    <row r="210" spans="1:50" x14ac:dyDescent="0.15">
      <c r="A210" s="1" t="s">
        <v>928</v>
      </c>
      <c r="C210" s="1" t="s">
        <v>1017</v>
      </c>
      <c r="K210" s="1" t="s">
        <v>1018</v>
      </c>
    </row>
    <row r="211" spans="1:50" x14ac:dyDescent="0.15">
      <c r="A211" s="1" t="s">
        <v>928</v>
      </c>
      <c r="C211" s="1" t="s">
        <v>1019</v>
      </c>
      <c r="K211" s="1" t="s">
        <v>1020</v>
      </c>
    </row>
    <row r="212" spans="1:50" x14ac:dyDescent="0.15">
      <c r="A212" s="1" t="s">
        <v>928</v>
      </c>
      <c r="C212" s="1" t="s">
        <v>1021</v>
      </c>
      <c r="K212" s="1" t="s">
        <v>1022</v>
      </c>
    </row>
    <row r="213" spans="1:50" x14ac:dyDescent="0.15">
      <c r="A213" s="1" t="s">
        <v>928</v>
      </c>
      <c r="C213" s="1" t="s">
        <v>1023</v>
      </c>
      <c r="K213" s="1" t="s">
        <v>1024</v>
      </c>
    </row>
    <row r="214" spans="1:50" x14ac:dyDescent="0.15">
      <c r="A214" s="1" t="s">
        <v>928</v>
      </c>
      <c r="C214" s="2" t="s">
        <v>1025</v>
      </c>
      <c r="K214" s="1" t="s">
        <v>1026</v>
      </c>
    </row>
    <row r="215" spans="1:50" x14ac:dyDescent="0.15">
      <c r="A215" s="1" t="s">
        <v>928</v>
      </c>
      <c r="C215" s="1" t="s">
        <v>526</v>
      </c>
      <c r="K215" s="1" t="s">
        <v>1027</v>
      </c>
    </row>
    <row r="216" spans="1:50" x14ac:dyDescent="0.15">
      <c r="A216" s="1" t="s">
        <v>928</v>
      </c>
      <c r="B216" s="1" t="s">
        <v>1028</v>
      </c>
      <c r="E216" s="1" t="s">
        <v>1029</v>
      </c>
    </row>
    <row r="217" spans="1:50" x14ac:dyDescent="0.15">
      <c r="A217" s="1" t="s">
        <v>928</v>
      </c>
      <c r="C217" s="2" t="s">
        <v>1030</v>
      </c>
      <c r="K217" s="1" t="s">
        <v>1031</v>
      </c>
    </row>
    <row r="218" spans="1:50" x14ac:dyDescent="0.15">
      <c r="A218" s="1" t="s">
        <v>928</v>
      </c>
      <c r="B218" s="1" t="s">
        <v>1032</v>
      </c>
      <c r="E218" s="1" t="s">
        <v>1033</v>
      </c>
    </row>
    <row r="219" spans="1:50" x14ac:dyDescent="0.15">
      <c r="A219" s="1" t="s">
        <v>928</v>
      </c>
      <c r="B219" s="1" t="s">
        <v>1034</v>
      </c>
      <c r="C219" s="1" t="s">
        <v>1035</v>
      </c>
    </row>
    <row r="220" spans="1:50" x14ac:dyDescent="0.15">
      <c r="A220" s="1" t="s">
        <v>928</v>
      </c>
      <c r="B220" s="1" t="s">
        <v>1036</v>
      </c>
      <c r="C220" s="2"/>
      <c r="E220" s="1" t="s">
        <v>1037</v>
      </c>
    </row>
    <row r="221" spans="1:50" x14ac:dyDescent="0.15">
      <c r="A221" s="1" t="s">
        <v>928</v>
      </c>
      <c r="B221" s="1" t="s">
        <v>1048</v>
      </c>
      <c r="C221" s="2"/>
      <c r="E221" s="1" t="s">
        <v>1049</v>
      </c>
      <c r="F221" s="1" t="s">
        <v>1050</v>
      </c>
    </row>
    <row r="222" spans="1:50" x14ac:dyDescent="0.15">
      <c r="A222" s="1" t="s">
        <v>928</v>
      </c>
      <c r="B222" s="1" t="s">
        <v>1079</v>
      </c>
      <c r="E222" s="1" t="s">
        <v>1080</v>
      </c>
    </row>
    <row r="223" spans="1:50" x14ac:dyDescent="0.15">
      <c r="A223" s="1" t="s">
        <v>928</v>
      </c>
      <c r="B223" s="1" t="s">
        <v>1081</v>
      </c>
      <c r="E223" s="1" t="s">
        <v>1037</v>
      </c>
      <c r="F223" s="1" t="s">
        <v>1082</v>
      </c>
    </row>
    <row r="224" spans="1:50" x14ac:dyDescent="0.15">
      <c r="A224" s="1" t="s">
        <v>928</v>
      </c>
      <c r="B224" s="1" t="s">
        <v>1083</v>
      </c>
      <c r="C224" s="1" t="s">
        <v>1084</v>
      </c>
      <c r="F224" s="1" t="s">
        <v>1085</v>
      </c>
      <c r="G224" s="1" t="s">
        <v>1086</v>
      </c>
      <c r="R224" s="1" t="s">
        <v>1046</v>
      </c>
      <c r="T224" s="1" t="s">
        <v>1087</v>
      </c>
      <c r="U224" s="1"/>
      <c r="V224" s="1" t="s">
        <v>1088</v>
      </c>
      <c r="AD224" s="1" t="s">
        <v>1047</v>
      </c>
      <c r="AI224" s="1" t="s">
        <v>1089</v>
      </c>
      <c r="AJ224" s="1" t="s">
        <v>1089</v>
      </c>
      <c r="AW224" s="1" t="s">
        <v>745</v>
      </c>
      <c r="AX224" s="1" t="s">
        <v>940</v>
      </c>
    </row>
    <row r="225" spans="1:49" x14ac:dyDescent="0.15">
      <c r="A225" s="1" t="s">
        <v>928</v>
      </c>
      <c r="C225" s="1" t="s">
        <v>1090</v>
      </c>
      <c r="K225" s="1" t="s">
        <v>1091</v>
      </c>
    </row>
    <row r="226" spans="1:49" x14ac:dyDescent="0.15">
      <c r="A226" s="1" t="s">
        <v>928</v>
      </c>
      <c r="B226" s="1" t="s">
        <v>1092</v>
      </c>
      <c r="E226" s="1" t="s">
        <v>1093</v>
      </c>
      <c r="R226" s="1" t="s">
        <v>1094</v>
      </c>
    </row>
    <row r="227" spans="1:49" x14ac:dyDescent="0.15">
      <c r="A227" s="1" t="s">
        <v>1101</v>
      </c>
      <c r="C227" s="1" t="s">
        <v>1102</v>
      </c>
      <c r="F227" s="1" t="s">
        <v>1103</v>
      </c>
      <c r="R227" s="1" t="s">
        <v>1104</v>
      </c>
      <c r="AW227" s="1" t="s">
        <v>155</v>
      </c>
    </row>
    <row r="228" spans="1:49" x14ac:dyDescent="0.15">
      <c r="A228" s="1" t="s">
        <v>1101</v>
      </c>
      <c r="C228" s="1" t="s">
        <v>1105</v>
      </c>
      <c r="E228" s="1" t="s">
        <v>1106</v>
      </c>
      <c r="F228" s="1" t="s">
        <v>395</v>
      </c>
      <c r="R228" s="1" t="s">
        <v>1107</v>
      </c>
    </row>
    <row r="229" spans="1:49" x14ac:dyDescent="0.15">
      <c r="A229" s="1" t="s">
        <v>1101</v>
      </c>
      <c r="C229" s="1" t="s">
        <v>400</v>
      </c>
      <c r="K229" s="1" t="s">
        <v>1108</v>
      </c>
    </row>
    <row r="230" spans="1:49" x14ac:dyDescent="0.15">
      <c r="A230" s="1" t="s">
        <v>1101</v>
      </c>
      <c r="C230" s="1" t="s">
        <v>1109</v>
      </c>
      <c r="F230" s="1" t="s">
        <v>401</v>
      </c>
    </row>
    <row r="231" spans="1:49" x14ac:dyDescent="0.15">
      <c r="A231" s="1" t="s">
        <v>1101</v>
      </c>
      <c r="C231" s="1" t="s">
        <v>402</v>
      </c>
      <c r="F231" s="1" t="s">
        <v>403</v>
      </c>
      <c r="AW231" s="1" t="s">
        <v>155</v>
      </c>
    </row>
    <row r="232" spans="1:49" x14ac:dyDescent="0.15">
      <c r="A232" s="1" t="s">
        <v>1101</v>
      </c>
      <c r="C232" s="1" t="s">
        <v>402</v>
      </c>
      <c r="K232" s="1" t="s">
        <v>1110</v>
      </c>
    </row>
    <row r="233" spans="1:49" x14ac:dyDescent="0.15">
      <c r="A233" s="1" t="s">
        <v>1101</v>
      </c>
      <c r="C233" s="2" t="s">
        <v>1111</v>
      </c>
      <c r="K233" s="1" t="s">
        <v>1112</v>
      </c>
    </row>
    <row r="234" spans="1:49" x14ac:dyDescent="0.15">
      <c r="A234" s="1" t="s">
        <v>1101</v>
      </c>
      <c r="C234" s="2" t="s">
        <v>1113</v>
      </c>
      <c r="F234" s="1" t="s">
        <v>1114</v>
      </c>
      <c r="AW234" s="1" t="s">
        <v>155</v>
      </c>
    </row>
    <row r="235" spans="1:49" x14ac:dyDescent="0.15">
      <c r="A235" s="1" t="s">
        <v>1101</v>
      </c>
      <c r="C235" s="1" t="s">
        <v>1113</v>
      </c>
      <c r="K235" s="1" t="s">
        <v>1115</v>
      </c>
    </row>
    <row r="236" spans="1:49" x14ac:dyDescent="0.15">
      <c r="A236" s="1" t="s">
        <v>1101</v>
      </c>
      <c r="C236" s="1" t="s">
        <v>1116</v>
      </c>
      <c r="E236" s="1" t="s">
        <v>1117</v>
      </c>
    </row>
    <row r="237" spans="1:49" x14ac:dyDescent="0.15">
      <c r="A237" s="1" t="s">
        <v>1101</v>
      </c>
      <c r="C237" s="1" t="s">
        <v>1118</v>
      </c>
      <c r="K237" s="1" t="s">
        <v>1119</v>
      </c>
    </row>
    <row r="238" spans="1:49" x14ac:dyDescent="0.15">
      <c r="A238" s="1" t="s">
        <v>1101</v>
      </c>
      <c r="C238" s="1" t="s">
        <v>1120</v>
      </c>
      <c r="F238" s="1" t="s">
        <v>424</v>
      </c>
    </row>
    <row r="239" spans="1:49" x14ac:dyDescent="0.15">
      <c r="A239" s="1" t="s">
        <v>1101</v>
      </c>
      <c r="C239" s="2" t="s">
        <v>1121</v>
      </c>
      <c r="F239" s="1" t="s">
        <v>1122</v>
      </c>
      <c r="AW239" s="1" t="s">
        <v>80</v>
      </c>
    </row>
    <row r="240" spans="1:49" x14ac:dyDescent="0.15">
      <c r="A240" s="1" t="s">
        <v>1101</v>
      </c>
      <c r="C240" s="1" t="s">
        <v>1121</v>
      </c>
      <c r="K240" s="1" t="s">
        <v>1123</v>
      </c>
    </row>
    <row r="241" spans="1:49" x14ac:dyDescent="0.15">
      <c r="A241" s="1" t="s">
        <v>1101</v>
      </c>
      <c r="C241" s="1" t="s">
        <v>1121</v>
      </c>
      <c r="E241" s="1" t="s">
        <v>1124</v>
      </c>
    </row>
    <row r="242" spans="1:49" x14ac:dyDescent="0.15">
      <c r="A242" s="1" t="s">
        <v>1101</v>
      </c>
      <c r="C242" s="1" t="s">
        <v>1125</v>
      </c>
      <c r="K242" s="1" t="s">
        <v>1126</v>
      </c>
    </row>
    <row r="243" spans="1:49" x14ac:dyDescent="0.15">
      <c r="A243" s="1" t="s">
        <v>1101</v>
      </c>
      <c r="C243" s="1" t="s">
        <v>59</v>
      </c>
      <c r="K243" s="1" t="s">
        <v>1127</v>
      </c>
    </row>
    <row r="244" spans="1:49" x14ac:dyDescent="0.15">
      <c r="A244" s="1" t="s">
        <v>1101</v>
      </c>
      <c r="C244" s="1" t="s">
        <v>1128</v>
      </c>
      <c r="F244" s="1" t="s">
        <v>60</v>
      </c>
    </row>
    <row r="245" spans="1:49" x14ac:dyDescent="0.15">
      <c r="A245" s="1" t="s">
        <v>1101</v>
      </c>
      <c r="C245" s="1" t="s">
        <v>1129</v>
      </c>
      <c r="F245" s="1" t="s">
        <v>1130</v>
      </c>
      <c r="AW245" s="1" t="s">
        <v>58</v>
      </c>
    </row>
    <row r="246" spans="1:49" x14ac:dyDescent="0.15">
      <c r="A246" s="1" t="s">
        <v>1101</v>
      </c>
      <c r="C246" s="1" t="s">
        <v>1131</v>
      </c>
      <c r="F246" s="1" t="s">
        <v>1132</v>
      </c>
      <c r="AW246" s="1" t="s">
        <v>58</v>
      </c>
    </row>
    <row r="247" spans="1:49" x14ac:dyDescent="0.15">
      <c r="A247" s="1" t="s">
        <v>1101</v>
      </c>
      <c r="C247" s="1" t="s">
        <v>457</v>
      </c>
      <c r="E247" s="1" t="s">
        <v>1133</v>
      </c>
      <c r="F247" s="1" t="s">
        <v>1134</v>
      </c>
      <c r="AW247" s="1" t="s">
        <v>58</v>
      </c>
    </row>
    <row r="248" spans="1:49" x14ac:dyDescent="0.15">
      <c r="A248" s="1" t="s">
        <v>1101</v>
      </c>
      <c r="C248" s="1" t="s">
        <v>1135</v>
      </c>
      <c r="K248" s="1" t="s">
        <v>1136</v>
      </c>
    </row>
    <row r="249" spans="1:49" x14ac:dyDescent="0.15">
      <c r="A249" s="1" t="s">
        <v>1101</v>
      </c>
      <c r="C249" s="1" t="s">
        <v>1137</v>
      </c>
      <c r="K249" s="1" t="s">
        <v>1138</v>
      </c>
    </row>
    <row r="250" spans="1:49" x14ac:dyDescent="0.15">
      <c r="A250" s="1" t="s">
        <v>1101</v>
      </c>
      <c r="C250" s="1" t="s">
        <v>64</v>
      </c>
      <c r="K250" s="1" t="s">
        <v>1139</v>
      </c>
    </row>
    <row r="251" spans="1:49" x14ac:dyDescent="0.15">
      <c r="A251" s="1" t="s">
        <v>1101</v>
      </c>
      <c r="C251" s="1" t="s">
        <v>1140</v>
      </c>
      <c r="F251" s="1" t="s">
        <v>65</v>
      </c>
    </row>
    <row r="252" spans="1:49" x14ac:dyDescent="0.15">
      <c r="A252" s="1" t="s">
        <v>1101</v>
      </c>
      <c r="C252" s="1" t="s">
        <v>1141</v>
      </c>
      <c r="F252" s="1" t="s">
        <v>1142</v>
      </c>
      <c r="AW252" s="1" t="s">
        <v>80</v>
      </c>
    </row>
    <row r="253" spans="1:49" x14ac:dyDescent="0.15">
      <c r="A253" s="1" t="s">
        <v>1101</v>
      </c>
      <c r="C253" s="2" t="s">
        <v>1143</v>
      </c>
      <c r="K253" s="1" t="s">
        <v>1144</v>
      </c>
    </row>
    <row r="254" spans="1:49" x14ac:dyDescent="0.15">
      <c r="A254" s="1" t="s">
        <v>1101</v>
      </c>
      <c r="C254" s="1" t="s">
        <v>66</v>
      </c>
      <c r="K254" s="1" t="s">
        <v>1145</v>
      </c>
    </row>
    <row r="255" spans="1:49" x14ac:dyDescent="0.15">
      <c r="A255" s="1" t="s">
        <v>1101</v>
      </c>
      <c r="C255" s="2" t="s">
        <v>1146</v>
      </c>
      <c r="F255" s="1" t="s">
        <v>67</v>
      </c>
    </row>
    <row r="256" spans="1:49" x14ac:dyDescent="0.15">
      <c r="A256" s="1" t="s">
        <v>1101</v>
      </c>
      <c r="C256" s="1" t="s">
        <v>1147</v>
      </c>
      <c r="F256" s="1" t="s">
        <v>110</v>
      </c>
    </row>
    <row r="257" spans="1:50" x14ac:dyDescent="0.15">
      <c r="A257" s="1" t="s">
        <v>1101</v>
      </c>
      <c r="C257" s="1" t="s">
        <v>156</v>
      </c>
      <c r="F257" s="1" t="s">
        <v>157</v>
      </c>
      <c r="AW257" s="1" t="s">
        <v>80</v>
      </c>
      <c r="AX257" s="1" t="s">
        <v>61</v>
      </c>
    </row>
    <row r="258" spans="1:50" x14ac:dyDescent="0.15">
      <c r="A258" s="1" t="s">
        <v>1101</v>
      </c>
      <c r="C258" s="1" t="s">
        <v>1148</v>
      </c>
      <c r="K258" s="1" t="s">
        <v>1149</v>
      </c>
    </row>
    <row r="259" spans="1:50" x14ac:dyDescent="0.15">
      <c r="A259" s="1" t="s">
        <v>1101</v>
      </c>
      <c r="C259" s="1" t="s">
        <v>68</v>
      </c>
      <c r="K259" s="1" t="s">
        <v>1150</v>
      </c>
    </row>
    <row r="260" spans="1:50" x14ac:dyDescent="0.15">
      <c r="A260" s="1" t="s">
        <v>1101</v>
      </c>
      <c r="C260" s="1" t="s">
        <v>1151</v>
      </c>
      <c r="F260" s="1" t="s">
        <v>69</v>
      </c>
    </row>
    <row r="261" spans="1:50" x14ac:dyDescent="0.15">
      <c r="A261" s="1" t="s">
        <v>1101</v>
      </c>
      <c r="C261" s="2" t="s">
        <v>1152</v>
      </c>
      <c r="E261" s="1" t="s">
        <v>1153</v>
      </c>
      <c r="K261" s="1" t="s">
        <v>1154</v>
      </c>
    </row>
    <row r="262" spans="1:50" x14ac:dyDescent="0.15">
      <c r="A262" s="1" t="s">
        <v>1101</v>
      </c>
      <c r="C262" s="1" t="s">
        <v>1155</v>
      </c>
      <c r="E262" s="1" t="s">
        <v>1156</v>
      </c>
    </row>
    <row r="263" spans="1:50" x14ac:dyDescent="0.15">
      <c r="A263" s="1" t="s">
        <v>1101</v>
      </c>
      <c r="C263" s="1" t="s">
        <v>72</v>
      </c>
      <c r="E263" s="1" t="s">
        <v>1157</v>
      </c>
    </row>
    <row r="264" spans="1:50" x14ac:dyDescent="0.15">
      <c r="A264" s="1" t="s">
        <v>1101</v>
      </c>
      <c r="C264" s="1" t="s">
        <v>72</v>
      </c>
      <c r="E264" s="1" t="s">
        <v>1158</v>
      </c>
    </row>
    <row r="265" spans="1:50" x14ac:dyDescent="0.15">
      <c r="A265" s="1" t="s">
        <v>1101</v>
      </c>
      <c r="C265" s="1" t="s">
        <v>1159</v>
      </c>
      <c r="F265" s="1" t="s">
        <v>73</v>
      </c>
    </row>
    <row r="266" spans="1:50" x14ac:dyDescent="0.15">
      <c r="A266" s="1" t="s">
        <v>1101</v>
      </c>
      <c r="C266" s="1" t="s">
        <v>1160</v>
      </c>
      <c r="K266" s="1" t="s">
        <v>1161</v>
      </c>
    </row>
    <row r="267" spans="1:50" x14ac:dyDescent="0.15">
      <c r="A267" s="1" t="s">
        <v>1101</v>
      </c>
      <c r="C267" s="1" t="s">
        <v>1162</v>
      </c>
      <c r="F267" s="1" t="s">
        <v>159</v>
      </c>
      <c r="AW267" s="1" t="s">
        <v>58</v>
      </c>
    </row>
    <row r="268" spans="1:50" x14ac:dyDescent="0.15">
      <c r="A268" s="1" t="s">
        <v>1101</v>
      </c>
      <c r="C268" s="1" t="s">
        <v>1163</v>
      </c>
      <c r="K268" s="1" t="s">
        <v>1164</v>
      </c>
    </row>
    <row r="269" spans="1:50" x14ac:dyDescent="0.15">
      <c r="A269" s="1" t="s">
        <v>1101</v>
      </c>
      <c r="C269" s="1" t="s">
        <v>1165</v>
      </c>
      <c r="F269" s="1" t="s">
        <v>1166</v>
      </c>
      <c r="AW269" s="1" t="s">
        <v>58</v>
      </c>
    </row>
    <row r="270" spans="1:50" x14ac:dyDescent="0.15">
      <c r="A270" s="1" t="s">
        <v>1101</v>
      </c>
      <c r="C270" s="1" t="s">
        <v>1167</v>
      </c>
      <c r="F270" s="1" t="s">
        <v>1168</v>
      </c>
      <c r="AW270" s="1" t="s">
        <v>58</v>
      </c>
    </row>
    <row r="271" spans="1:50" x14ac:dyDescent="0.15">
      <c r="A271" s="1" t="s">
        <v>1101</v>
      </c>
      <c r="C271" s="1" t="s">
        <v>1169</v>
      </c>
      <c r="E271" s="1" t="s">
        <v>1170</v>
      </c>
    </row>
    <row r="272" spans="1:50" x14ac:dyDescent="0.15">
      <c r="A272" s="1" t="s">
        <v>1101</v>
      </c>
      <c r="C272" s="1" t="s">
        <v>1171</v>
      </c>
      <c r="F272" s="1" t="s">
        <v>1172</v>
      </c>
      <c r="AW272" s="1" t="s">
        <v>80</v>
      </c>
    </row>
    <row r="273" spans="1:49" x14ac:dyDescent="0.15">
      <c r="A273" s="1" t="s">
        <v>1101</v>
      </c>
      <c r="B273" s="1" t="s">
        <v>1171</v>
      </c>
      <c r="E273" s="1" t="s">
        <v>1173</v>
      </c>
    </row>
    <row r="274" spans="1:49" x14ac:dyDescent="0.15">
      <c r="A274" s="1" t="s">
        <v>1101</v>
      </c>
      <c r="C274" s="1" t="s">
        <v>1174</v>
      </c>
      <c r="E274" s="1" t="s">
        <v>1175</v>
      </c>
      <c r="AG274" s="1" t="s">
        <v>1176</v>
      </c>
    </row>
    <row r="275" spans="1:49" x14ac:dyDescent="0.15">
      <c r="A275" s="1" t="s">
        <v>1101</v>
      </c>
      <c r="C275" s="2" t="s">
        <v>1177</v>
      </c>
      <c r="E275" s="1" t="s">
        <v>1178</v>
      </c>
    </row>
    <row r="276" spans="1:49" x14ac:dyDescent="0.15">
      <c r="A276" s="1" t="s">
        <v>1101</v>
      </c>
      <c r="C276" s="1" t="s">
        <v>1179</v>
      </c>
      <c r="F276" s="1" t="s">
        <v>1180</v>
      </c>
      <c r="AW276" s="1" t="s">
        <v>58</v>
      </c>
    </row>
    <row r="277" spans="1:49" x14ac:dyDescent="0.15">
      <c r="A277" s="1" t="s">
        <v>1101</v>
      </c>
      <c r="C277" s="1" t="s">
        <v>1181</v>
      </c>
      <c r="F277" s="1" t="s">
        <v>1182</v>
      </c>
      <c r="AW277" s="1" t="s">
        <v>80</v>
      </c>
    </row>
    <row r="278" spans="1:49" x14ac:dyDescent="0.15">
      <c r="A278" s="1" t="s">
        <v>1101</v>
      </c>
      <c r="B278" s="1" t="s">
        <v>1183</v>
      </c>
      <c r="E278" s="1" t="s">
        <v>1184</v>
      </c>
    </row>
    <row r="279" spans="1:49" x14ac:dyDescent="0.15">
      <c r="A279" s="1" t="s">
        <v>1101</v>
      </c>
      <c r="C279" s="1" t="s">
        <v>1185</v>
      </c>
      <c r="F279" s="1" t="s">
        <v>1186</v>
      </c>
      <c r="AW279" s="1" t="s">
        <v>80</v>
      </c>
    </row>
    <row r="280" spans="1:49" x14ac:dyDescent="0.15">
      <c r="A280" s="1" t="s">
        <v>1101</v>
      </c>
      <c r="C280" s="1" t="s">
        <v>1187</v>
      </c>
      <c r="F280" s="1" t="s">
        <v>1188</v>
      </c>
      <c r="AW280" s="1" t="s">
        <v>80</v>
      </c>
    </row>
    <row r="281" spans="1:49" x14ac:dyDescent="0.15">
      <c r="A281" s="1" t="s">
        <v>1101</v>
      </c>
      <c r="C281" s="1" t="s">
        <v>1189</v>
      </c>
      <c r="F281" s="1" t="s">
        <v>124</v>
      </c>
    </row>
    <row r="282" spans="1:49" x14ac:dyDescent="0.15">
      <c r="A282" s="1" t="s">
        <v>1101</v>
      </c>
      <c r="C282" s="1" t="s">
        <v>1190</v>
      </c>
      <c r="F282" s="1" t="s">
        <v>1191</v>
      </c>
      <c r="AW282" s="1" t="s">
        <v>58</v>
      </c>
    </row>
    <row r="283" spans="1:49" x14ac:dyDescent="0.15">
      <c r="A283" s="1" t="s">
        <v>1101</v>
      </c>
      <c r="C283" s="1" t="s">
        <v>1190</v>
      </c>
      <c r="F283" s="1" t="s">
        <v>1192</v>
      </c>
      <c r="AW283" s="1" t="s">
        <v>80</v>
      </c>
    </row>
    <row r="284" spans="1:49" x14ac:dyDescent="0.15">
      <c r="A284" s="1" t="s">
        <v>1101</v>
      </c>
      <c r="C284" s="1" t="s">
        <v>1193</v>
      </c>
      <c r="K284" s="1" t="s">
        <v>1194</v>
      </c>
    </row>
    <row r="285" spans="1:49" x14ac:dyDescent="0.15">
      <c r="A285" s="1" t="s">
        <v>1101</v>
      </c>
      <c r="C285" s="1" t="s">
        <v>1195</v>
      </c>
      <c r="F285" s="1" t="s">
        <v>1196</v>
      </c>
      <c r="AW285" s="1" t="s">
        <v>80</v>
      </c>
    </row>
    <row r="286" spans="1:49" x14ac:dyDescent="0.15">
      <c r="A286" s="1" t="s">
        <v>1101</v>
      </c>
      <c r="C286" s="1" t="s">
        <v>1197</v>
      </c>
      <c r="F286" s="1" t="s">
        <v>75</v>
      </c>
    </row>
    <row r="287" spans="1:49" x14ac:dyDescent="0.15">
      <c r="A287" s="1" t="s">
        <v>1101</v>
      </c>
      <c r="C287" s="1" t="s">
        <v>76</v>
      </c>
      <c r="K287" s="1" t="s">
        <v>1198</v>
      </c>
    </row>
    <row r="288" spans="1:49" x14ac:dyDescent="0.15">
      <c r="A288" s="1" t="s">
        <v>1101</v>
      </c>
      <c r="C288" s="1" t="s">
        <v>1199</v>
      </c>
      <c r="F288" s="1" t="s">
        <v>77</v>
      </c>
    </row>
    <row r="289" spans="1:49" x14ac:dyDescent="0.15">
      <c r="A289" s="1" t="s">
        <v>1101</v>
      </c>
      <c r="C289" s="1" t="s">
        <v>1200</v>
      </c>
      <c r="F289" s="1" t="s">
        <v>1201</v>
      </c>
      <c r="AW289" s="1" t="s">
        <v>58</v>
      </c>
    </row>
    <row r="290" spans="1:49" x14ac:dyDescent="0.15">
      <c r="A290" s="1" t="s">
        <v>1101</v>
      </c>
      <c r="C290" s="2" t="s">
        <v>1202</v>
      </c>
      <c r="K290" s="1" t="s">
        <v>1203</v>
      </c>
    </row>
    <row r="291" spans="1:49" x14ac:dyDescent="0.15">
      <c r="A291" s="1" t="s">
        <v>1101</v>
      </c>
      <c r="C291" s="1" t="s">
        <v>1204</v>
      </c>
      <c r="E291" s="1" t="s">
        <v>1205</v>
      </c>
    </row>
    <row r="292" spans="1:49" x14ac:dyDescent="0.15">
      <c r="A292" s="1" t="s">
        <v>1101</v>
      </c>
      <c r="C292" s="1" t="s">
        <v>1206</v>
      </c>
      <c r="F292" s="1" t="s">
        <v>1207</v>
      </c>
      <c r="AW292" s="1" t="s">
        <v>80</v>
      </c>
    </row>
    <row r="293" spans="1:49" x14ac:dyDescent="0.15">
      <c r="A293" s="1" t="s">
        <v>1101</v>
      </c>
      <c r="C293" s="1" t="s">
        <v>1208</v>
      </c>
      <c r="F293" s="1" t="s">
        <v>1209</v>
      </c>
      <c r="AW293" s="1" t="s">
        <v>80</v>
      </c>
    </row>
    <row r="294" spans="1:49" x14ac:dyDescent="0.15">
      <c r="A294" s="1" t="s">
        <v>1101</v>
      </c>
      <c r="C294" s="1" t="s">
        <v>1210</v>
      </c>
      <c r="K294" s="1" t="s">
        <v>1211</v>
      </c>
    </row>
    <row r="295" spans="1:49" x14ac:dyDescent="0.15">
      <c r="A295" s="1" t="s">
        <v>1101</v>
      </c>
      <c r="C295" s="1" t="s">
        <v>1212</v>
      </c>
      <c r="F295" s="1" t="s">
        <v>1213</v>
      </c>
      <c r="AW295" s="1" t="s">
        <v>80</v>
      </c>
    </row>
    <row r="296" spans="1:49" x14ac:dyDescent="0.15">
      <c r="A296" s="1" t="s">
        <v>1101</v>
      </c>
      <c r="C296" s="1" t="s">
        <v>1214</v>
      </c>
      <c r="K296" s="1" t="s">
        <v>1215</v>
      </c>
    </row>
    <row r="297" spans="1:49" x14ac:dyDescent="0.15">
      <c r="A297" s="1" t="s">
        <v>1101</v>
      </c>
      <c r="C297" s="2" t="s">
        <v>1216</v>
      </c>
      <c r="K297" s="1" t="s">
        <v>1217</v>
      </c>
    </row>
    <row r="298" spans="1:49" x14ac:dyDescent="0.15">
      <c r="A298" s="1" t="s">
        <v>1101</v>
      </c>
      <c r="C298" s="1" t="s">
        <v>1218</v>
      </c>
      <c r="F298" s="1" t="s">
        <v>1114</v>
      </c>
    </row>
    <row r="299" spans="1:49" x14ac:dyDescent="0.15">
      <c r="A299" s="1" t="s">
        <v>1101</v>
      </c>
      <c r="C299" s="1" t="s">
        <v>1219</v>
      </c>
      <c r="F299" s="1" t="s">
        <v>1220</v>
      </c>
      <c r="AW299" s="1" t="s">
        <v>58</v>
      </c>
    </row>
    <row r="300" spans="1:49" x14ac:dyDescent="0.15">
      <c r="A300" s="1" t="s">
        <v>697</v>
      </c>
      <c r="C300" s="1" t="s">
        <v>1221</v>
      </c>
      <c r="K300" s="1" t="s">
        <v>1222</v>
      </c>
    </row>
    <row r="301" spans="1:49" x14ac:dyDescent="0.15">
      <c r="A301" s="1" t="s">
        <v>697</v>
      </c>
      <c r="C301" s="1" t="s">
        <v>1225</v>
      </c>
      <c r="K301" s="1" t="s">
        <v>1226</v>
      </c>
    </row>
    <row r="302" spans="1:49" x14ac:dyDescent="0.15">
      <c r="A302" s="1" t="s">
        <v>697</v>
      </c>
      <c r="B302" s="1" t="s">
        <v>1227</v>
      </c>
      <c r="E302" s="1" t="s">
        <v>1228</v>
      </c>
    </row>
    <row r="303" spans="1:49" x14ac:dyDescent="0.15">
      <c r="A303" s="1" t="s">
        <v>697</v>
      </c>
      <c r="C303" s="1" t="s">
        <v>1229</v>
      </c>
      <c r="K303" s="1" t="s">
        <v>1230</v>
      </c>
    </row>
    <row r="304" spans="1:49" x14ac:dyDescent="0.15">
      <c r="A304" s="1" t="s">
        <v>697</v>
      </c>
      <c r="C304" s="1" t="s">
        <v>1231</v>
      </c>
      <c r="F304" s="1" t="s">
        <v>174</v>
      </c>
      <c r="K304" s="1" t="s">
        <v>175</v>
      </c>
    </row>
    <row r="305" spans="1:50" x14ac:dyDescent="0.15">
      <c r="A305" s="1" t="s">
        <v>697</v>
      </c>
      <c r="B305" s="1" t="s">
        <v>1232</v>
      </c>
      <c r="E305" s="1" t="s">
        <v>1233</v>
      </c>
      <c r="F305" s="1" t="s">
        <v>1234</v>
      </c>
    </row>
    <row r="306" spans="1:50" x14ac:dyDescent="0.15">
      <c r="A306" s="1" t="s">
        <v>697</v>
      </c>
      <c r="C306" s="1" t="s">
        <v>1235</v>
      </c>
      <c r="K306" s="1" t="s">
        <v>1236</v>
      </c>
    </row>
    <row r="307" spans="1:50" x14ac:dyDescent="0.15">
      <c r="A307" s="1" t="s">
        <v>697</v>
      </c>
      <c r="B307" s="1" t="s">
        <v>1237</v>
      </c>
      <c r="E307" s="1" t="s">
        <v>1238</v>
      </c>
      <c r="F307" s="1" t="s">
        <v>193</v>
      </c>
    </row>
    <row r="308" spans="1:50" x14ac:dyDescent="0.15">
      <c r="A308" s="1" t="s">
        <v>697</v>
      </c>
      <c r="C308" s="1" t="s">
        <v>1239</v>
      </c>
      <c r="E308" s="1" t="s">
        <v>1240</v>
      </c>
    </row>
    <row r="309" spans="1:50" x14ac:dyDescent="0.15">
      <c r="A309" s="1" t="s">
        <v>697</v>
      </c>
      <c r="B309" s="1" t="s">
        <v>1241</v>
      </c>
    </row>
    <row r="310" spans="1:50" x14ac:dyDescent="0.15">
      <c r="A310" s="1" t="s">
        <v>697</v>
      </c>
      <c r="B310" s="1" t="s">
        <v>1242</v>
      </c>
      <c r="E310" s="1" t="s">
        <v>1243</v>
      </c>
      <c r="F310" s="1" t="s">
        <v>212</v>
      </c>
    </row>
    <row r="311" spans="1:50" x14ac:dyDescent="0.15">
      <c r="A311" s="1" t="s">
        <v>697</v>
      </c>
      <c r="B311" s="1" t="s">
        <v>1244</v>
      </c>
      <c r="E311" s="1" t="s">
        <v>1245</v>
      </c>
    </row>
    <row r="312" spans="1:50" x14ac:dyDescent="0.15">
      <c r="A312" s="1" t="s">
        <v>697</v>
      </c>
      <c r="C312" s="1" t="s">
        <v>1246</v>
      </c>
      <c r="K312" s="1" t="s">
        <v>1247</v>
      </c>
    </row>
    <row r="313" spans="1:50" x14ac:dyDescent="0.15">
      <c r="A313" s="1" t="s">
        <v>697</v>
      </c>
      <c r="C313" s="1" t="s">
        <v>1248</v>
      </c>
      <c r="K313" s="1" t="s">
        <v>1249</v>
      </c>
    </row>
    <row r="314" spans="1:50" x14ac:dyDescent="0.15">
      <c r="A314" s="1" t="s">
        <v>697</v>
      </c>
      <c r="C314" s="1" t="s">
        <v>1250</v>
      </c>
      <c r="K314" s="1" t="s">
        <v>1251</v>
      </c>
    </row>
    <row r="315" spans="1:50" x14ac:dyDescent="0.15">
      <c r="A315" s="1" t="s">
        <v>697</v>
      </c>
      <c r="C315" s="1" t="s">
        <v>1252</v>
      </c>
      <c r="K315" s="1" t="s">
        <v>1253</v>
      </c>
    </row>
    <row r="316" spans="1:50" x14ac:dyDescent="0.15">
      <c r="A316" s="1" t="s">
        <v>697</v>
      </c>
      <c r="B316" s="1" t="s">
        <v>1252</v>
      </c>
      <c r="F316" s="1" t="s">
        <v>170</v>
      </c>
    </row>
    <row r="317" spans="1:50" x14ac:dyDescent="0.15">
      <c r="A317" s="1" t="s">
        <v>697</v>
      </c>
      <c r="C317" s="1" t="s">
        <v>1254</v>
      </c>
      <c r="E317" s="1" t="s">
        <v>1255</v>
      </c>
      <c r="F317" s="1" t="s">
        <v>1256</v>
      </c>
      <c r="AW317" s="1" t="s">
        <v>164</v>
      </c>
      <c r="AX317" s="1" t="s">
        <v>155</v>
      </c>
    </row>
    <row r="318" spans="1:50" x14ac:dyDescent="0.15">
      <c r="A318" s="1" t="s">
        <v>697</v>
      </c>
      <c r="C318" s="1" t="s">
        <v>1257</v>
      </c>
      <c r="K318" s="1" t="s">
        <v>1258</v>
      </c>
    </row>
    <row r="319" spans="1:50" x14ac:dyDescent="0.15">
      <c r="A319" s="1" t="s">
        <v>697</v>
      </c>
      <c r="C319" s="1" t="s">
        <v>1259</v>
      </c>
      <c r="F319" s="1" t="s">
        <v>172</v>
      </c>
    </row>
    <row r="320" spans="1:50" x14ac:dyDescent="0.15">
      <c r="A320" s="1" t="s">
        <v>697</v>
      </c>
      <c r="B320" s="1" t="s">
        <v>1260</v>
      </c>
      <c r="E320" s="1" t="s">
        <v>1261</v>
      </c>
    </row>
    <row r="321" spans="1:49" x14ac:dyDescent="0.15">
      <c r="A321" s="1" t="s">
        <v>697</v>
      </c>
      <c r="C321" s="1" t="s">
        <v>1262</v>
      </c>
      <c r="F321" s="1" t="s">
        <v>1263</v>
      </c>
      <c r="AW321" s="1" t="s">
        <v>0</v>
      </c>
    </row>
    <row r="322" spans="1:49" x14ac:dyDescent="0.15">
      <c r="A322" s="1" t="s">
        <v>697</v>
      </c>
      <c r="C322" s="1" t="s">
        <v>1264</v>
      </c>
      <c r="K322" s="1" t="s">
        <v>1265</v>
      </c>
    </row>
    <row r="323" spans="1:49" x14ac:dyDescent="0.15">
      <c r="A323" s="1" t="s">
        <v>697</v>
      </c>
      <c r="C323" s="2" t="s">
        <v>1266</v>
      </c>
      <c r="E323" s="1" t="s">
        <v>1267</v>
      </c>
      <c r="AG323" s="1" t="s">
        <v>1268</v>
      </c>
    </row>
    <row r="324" spans="1:49" x14ac:dyDescent="0.15">
      <c r="A324" s="1" t="s">
        <v>697</v>
      </c>
      <c r="C324" s="1" t="s">
        <v>1269</v>
      </c>
      <c r="F324" s="1" t="s">
        <v>1270</v>
      </c>
      <c r="AW324" s="1" t="s">
        <v>80</v>
      </c>
    </row>
    <row r="325" spans="1:49" x14ac:dyDescent="0.15">
      <c r="A325" s="1" t="s">
        <v>697</v>
      </c>
      <c r="C325" s="1" t="s">
        <v>1269</v>
      </c>
      <c r="K325" s="1" t="s">
        <v>1271</v>
      </c>
    </row>
    <row r="326" spans="1:49" x14ac:dyDescent="0.15">
      <c r="A326" s="1" t="s">
        <v>697</v>
      </c>
      <c r="B326" s="1" t="s">
        <v>1272</v>
      </c>
      <c r="F326" s="1" t="s">
        <v>1273</v>
      </c>
      <c r="K326" s="1" t="s">
        <v>1274</v>
      </c>
    </row>
    <row r="327" spans="1:49" x14ac:dyDescent="0.15">
      <c r="A327" s="1" t="s">
        <v>697</v>
      </c>
      <c r="C327" s="1" t="s">
        <v>1275</v>
      </c>
      <c r="K327" s="1" t="s">
        <v>1276</v>
      </c>
    </row>
    <row r="328" spans="1:49" x14ac:dyDescent="0.15">
      <c r="A328" s="1" t="s">
        <v>697</v>
      </c>
      <c r="C328" s="1" t="s">
        <v>1277</v>
      </c>
      <c r="K328" s="1" t="s">
        <v>1278</v>
      </c>
    </row>
    <row r="329" spans="1:49" x14ac:dyDescent="0.15">
      <c r="A329" s="1" t="s">
        <v>697</v>
      </c>
      <c r="C329" s="1" t="s">
        <v>1279</v>
      </c>
      <c r="K329" s="1" t="s">
        <v>1280</v>
      </c>
    </row>
    <row r="330" spans="1:49" x14ac:dyDescent="0.15">
      <c r="A330" s="1" t="s">
        <v>697</v>
      </c>
      <c r="C330" s="1" t="s">
        <v>1281</v>
      </c>
      <c r="K330" s="1" t="s">
        <v>1282</v>
      </c>
    </row>
    <row r="331" spans="1:49" x14ac:dyDescent="0.15">
      <c r="A331" s="1" t="s">
        <v>697</v>
      </c>
      <c r="C331" s="1" t="s">
        <v>1283</v>
      </c>
      <c r="K331" s="1" t="s">
        <v>1284</v>
      </c>
    </row>
    <row r="332" spans="1:49" x14ac:dyDescent="0.15">
      <c r="A332" s="1" t="s">
        <v>697</v>
      </c>
      <c r="C332" s="1" t="s">
        <v>1285</v>
      </c>
      <c r="K332" s="1" t="s">
        <v>1286</v>
      </c>
    </row>
    <row r="333" spans="1:49" x14ac:dyDescent="0.15">
      <c r="A333" s="1" t="s">
        <v>697</v>
      </c>
      <c r="B333" s="1" t="s">
        <v>1287</v>
      </c>
      <c r="E333" s="1" t="s">
        <v>1288</v>
      </c>
    </row>
    <row r="334" spans="1:49" x14ac:dyDescent="0.15">
      <c r="A334" s="1" t="s">
        <v>697</v>
      </c>
      <c r="B334" s="1" t="s">
        <v>1289</v>
      </c>
      <c r="E334" s="1" t="s">
        <v>1290</v>
      </c>
    </row>
    <row r="335" spans="1:49" x14ac:dyDescent="0.15">
      <c r="A335" s="1" t="s">
        <v>697</v>
      </c>
      <c r="C335" s="1" t="s">
        <v>1291</v>
      </c>
      <c r="F335" s="1" t="s">
        <v>231</v>
      </c>
    </row>
    <row r="336" spans="1:49" x14ac:dyDescent="0.15">
      <c r="A336" s="1" t="s">
        <v>697</v>
      </c>
      <c r="C336" s="1" t="s">
        <v>1292</v>
      </c>
      <c r="F336" s="1" t="s">
        <v>1293</v>
      </c>
      <c r="AW336" s="1" t="s">
        <v>0</v>
      </c>
    </row>
    <row r="337" spans="1:49" x14ac:dyDescent="0.15">
      <c r="A337" s="1" t="s">
        <v>697</v>
      </c>
      <c r="C337" s="1" t="s">
        <v>1294</v>
      </c>
      <c r="K337" s="1" t="s">
        <v>1295</v>
      </c>
    </row>
    <row r="338" spans="1:49" x14ac:dyDescent="0.15">
      <c r="A338" s="1" t="s">
        <v>697</v>
      </c>
      <c r="C338" s="2" t="s">
        <v>1296</v>
      </c>
      <c r="F338" s="1" t="s">
        <v>1297</v>
      </c>
      <c r="AW338" s="1" t="s">
        <v>0</v>
      </c>
    </row>
    <row r="339" spans="1:49" x14ac:dyDescent="0.15">
      <c r="A339" s="1" t="s">
        <v>697</v>
      </c>
      <c r="C339" s="1" t="s">
        <v>1298</v>
      </c>
      <c r="K339" s="1" t="s">
        <v>1299</v>
      </c>
    </row>
    <row r="340" spans="1:49" x14ac:dyDescent="0.15">
      <c r="A340" s="1" t="s">
        <v>697</v>
      </c>
      <c r="C340" s="1" t="s">
        <v>1300</v>
      </c>
      <c r="K340" s="1" t="s">
        <v>1301</v>
      </c>
    </row>
    <row r="341" spans="1:49" x14ac:dyDescent="0.15">
      <c r="A341" s="1" t="s">
        <v>697</v>
      </c>
      <c r="C341" s="2" t="s">
        <v>1302</v>
      </c>
      <c r="K341" s="1" t="s">
        <v>1303</v>
      </c>
    </row>
    <row r="342" spans="1:49" x14ac:dyDescent="0.15">
      <c r="A342" s="1" t="s">
        <v>697</v>
      </c>
      <c r="C342" s="2" t="s">
        <v>1304</v>
      </c>
      <c r="E342" s="1" t="s">
        <v>1305</v>
      </c>
      <c r="K342" s="1" t="s">
        <v>1306</v>
      </c>
    </row>
    <row r="343" spans="1:49" x14ac:dyDescent="0.15">
      <c r="A343" s="1" t="s">
        <v>697</v>
      </c>
      <c r="C343" s="1" t="s">
        <v>1307</v>
      </c>
      <c r="K343" s="1" t="s">
        <v>1308</v>
      </c>
    </row>
    <row r="344" spans="1:49" x14ac:dyDescent="0.15">
      <c r="A344" s="1" t="s">
        <v>697</v>
      </c>
      <c r="C344" s="2" t="s">
        <v>1309</v>
      </c>
      <c r="K344" s="1" t="s">
        <v>1310</v>
      </c>
    </row>
    <row r="345" spans="1:49" x14ac:dyDescent="0.15">
      <c r="A345" s="1" t="s">
        <v>697</v>
      </c>
      <c r="B345" s="1" t="s">
        <v>1311</v>
      </c>
      <c r="E345" s="1" t="s">
        <v>1312</v>
      </c>
    </row>
    <row r="346" spans="1:49" x14ac:dyDescent="0.15">
      <c r="A346" s="1" t="s">
        <v>697</v>
      </c>
      <c r="B346" s="1" t="s">
        <v>1313</v>
      </c>
      <c r="E346" s="1" t="s">
        <v>1314</v>
      </c>
      <c r="F346" s="1" t="s">
        <v>1315</v>
      </c>
    </row>
    <row r="347" spans="1:49" x14ac:dyDescent="0.15">
      <c r="A347" s="1" t="s">
        <v>697</v>
      </c>
      <c r="C347" s="1" t="s">
        <v>1316</v>
      </c>
      <c r="E347" s="1" t="s">
        <v>1317</v>
      </c>
    </row>
    <row r="348" spans="1:49" x14ac:dyDescent="0.15">
      <c r="A348" s="1" t="s">
        <v>697</v>
      </c>
      <c r="C348" s="1" t="s">
        <v>1318</v>
      </c>
      <c r="E348" s="1" t="s">
        <v>1319</v>
      </c>
    </row>
    <row r="349" spans="1:49" x14ac:dyDescent="0.15">
      <c r="A349" s="1" t="s">
        <v>697</v>
      </c>
      <c r="B349" s="1" t="s">
        <v>1320</v>
      </c>
      <c r="E349" s="1" t="s">
        <v>1321</v>
      </c>
    </row>
    <row r="350" spans="1:49" x14ac:dyDescent="0.15">
      <c r="A350" s="1" t="s">
        <v>697</v>
      </c>
      <c r="B350" s="1" t="s">
        <v>1322</v>
      </c>
      <c r="E350" s="1" t="s">
        <v>1323</v>
      </c>
    </row>
    <row r="351" spans="1:49" x14ac:dyDescent="0.15">
      <c r="A351" s="1" t="s">
        <v>697</v>
      </c>
      <c r="B351" s="1" t="s">
        <v>1324</v>
      </c>
      <c r="E351" s="1" t="s">
        <v>1325</v>
      </c>
    </row>
    <row r="352" spans="1:49" x14ac:dyDescent="0.15">
      <c r="A352" s="1" t="s">
        <v>697</v>
      </c>
      <c r="C352" s="1" t="s">
        <v>1326</v>
      </c>
      <c r="K352" s="1" t="s">
        <v>1327</v>
      </c>
    </row>
    <row r="353" spans="1:49" x14ac:dyDescent="0.15">
      <c r="A353" s="1" t="s">
        <v>697</v>
      </c>
      <c r="C353" s="1" t="s">
        <v>1328</v>
      </c>
      <c r="K353" s="1" t="s">
        <v>1329</v>
      </c>
    </row>
    <row r="354" spans="1:49" x14ac:dyDescent="0.15">
      <c r="A354" s="1" t="s">
        <v>697</v>
      </c>
      <c r="C354" s="1" t="s">
        <v>1330</v>
      </c>
      <c r="K354" s="1" t="s">
        <v>1331</v>
      </c>
    </row>
    <row r="355" spans="1:49" x14ac:dyDescent="0.15">
      <c r="A355" s="1" t="s">
        <v>697</v>
      </c>
      <c r="B355" s="1" t="s">
        <v>1332</v>
      </c>
      <c r="E355" s="1" t="s">
        <v>1333</v>
      </c>
    </row>
    <row r="356" spans="1:49" x14ac:dyDescent="0.15">
      <c r="A356" s="1" t="s">
        <v>697</v>
      </c>
      <c r="B356" s="1" t="s">
        <v>1334</v>
      </c>
      <c r="E356" s="1" t="s">
        <v>1335</v>
      </c>
    </row>
    <row r="357" spans="1:49" x14ac:dyDescent="0.15">
      <c r="A357" s="1" t="s">
        <v>697</v>
      </c>
      <c r="C357" s="2" t="s">
        <v>1336</v>
      </c>
      <c r="E357" s="1" t="s">
        <v>1337</v>
      </c>
    </row>
    <row r="358" spans="1:49" x14ac:dyDescent="0.15">
      <c r="A358" s="1" t="s">
        <v>697</v>
      </c>
      <c r="B358" s="1" t="s">
        <v>1338</v>
      </c>
      <c r="E358" s="1" t="s">
        <v>1339</v>
      </c>
    </row>
    <row r="359" spans="1:49" x14ac:dyDescent="0.15">
      <c r="A359" s="1" t="s">
        <v>697</v>
      </c>
      <c r="C359" s="2" t="s">
        <v>1340</v>
      </c>
      <c r="E359" s="1" t="s">
        <v>1341</v>
      </c>
      <c r="AW359" s="1" t="s">
        <v>1101</v>
      </c>
    </row>
    <row r="360" spans="1:49" x14ac:dyDescent="0.15">
      <c r="A360" s="1" t="s">
        <v>697</v>
      </c>
      <c r="C360" s="1" t="s">
        <v>1342</v>
      </c>
      <c r="K360" s="1" t="s">
        <v>1343</v>
      </c>
    </row>
    <row r="361" spans="1:49" x14ac:dyDescent="0.15">
      <c r="A361" s="1" t="s">
        <v>697</v>
      </c>
      <c r="C361" s="1" t="s">
        <v>1344</v>
      </c>
      <c r="K361" s="1" t="s">
        <v>1345</v>
      </c>
    </row>
    <row r="362" spans="1:49" x14ac:dyDescent="0.15">
      <c r="A362" s="1" t="s">
        <v>697</v>
      </c>
      <c r="B362" s="1" t="s">
        <v>1346</v>
      </c>
      <c r="E362" s="1" t="s">
        <v>1347</v>
      </c>
    </row>
    <row r="363" spans="1:49" x14ac:dyDescent="0.15">
      <c r="A363" s="1" t="s">
        <v>697</v>
      </c>
      <c r="C363" s="1" t="s">
        <v>1348</v>
      </c>
      <c r="F363" s="1" t="s">
        <v>193</v>
      </c>
      <c r="K363" s="1" t="s">
        <v>1349</v>
      </c>
    </row>
    <row r="364" spans="1:49" x14ac:dyDescent="0.15">
      <c r="A364" s="1" t="s">
        <v>697</v>
      </c>
      <c r="B364" s="1" t="s">
        <v>1350</v>
      </c>
      <c r="E364" s="1" t="s">
        <v>1351</v>
      </c>
    </row>
    <row r="365" spans="1:49" x14ac:dyDescent="0.15">
      <c r="A365" s="1" t="s">
        <v>697</v>
      </c>
      <c r="C365" s="1" t="s">
        <v>1352</v>
      </c>
      <c r="K365" s="1" t="s">
        <v>1353</v>
      </c>
    </row>
    <row r="366" spans="1:49" x14ac:dyDescent="0.15">
      <c r="A366" s="1" t="s">
        <v>697</v>
      </c>
      <c r="C366" s="1" t="s">
        <v>1354</v>
      </c>
      <c r="AW366" s="1" t="s">
        <v>0</v>
      </c>
    </row>
    <row r="367" spans="1:49" x14ac:dyDescent="0.15">
      <c r="A367" s="1" t="s">
        <v>697</v>
      </c>
      <c r="C367" s="1" t="s">
        <v>1355</v>
      </c>
      <c r="E367" s="1" t="s">
        <v>1356</v>
      </c>
      <c r="F367" s="1" t="s">
        <v>35</v>
      </c>
    </row>
    <row r="368" spans="1:49" x14ac:dyDescent="0.15">
      <c r="A368" s="1" t="s">
        <v>697</v>
      </c>
      <c r="B368" s="1" t="s">
        <v>1357</v>
      </c>
      <c r="E368" s="1" t="s">
        <v>1358</v>
      </c>
    </row>
    <row r="369" spans="1:11" x14ac:dyDescent="0.15">
      <c r="A369" s="1" t="s">
        <v>697</v>
      </c>
      <c r="C369" s="1" t="s">
        <v>1359</v>
      </c>
      <c r="K369" s="1" t="s">
        <v>1360</v>
      </c>
    </row>
    <row r="370" spans="1:11" x14ac:dyDescent="0.15">
      <c r="A370" s="1" t="s">
        <v>697</v>
      </c>
      <c r="C370" s="1" t="s">
        <v>1361</v>
      </c>
      <c r="K370" s="1" t="s">
        <v>1362</v>
      </c>
    </row>
    <row r="371" spans="1:11" x14ac:dyDescent="0.15">
      <c r="A371" s="1" t="s">
        <v>697</v>
      </c>
      <c r="C371" s="1" t="s">
        <v>1363</v>
      </c>
      <c r="K371" s="1" t="s">
        <v>1364</v>
      </c>
    </row>
    <row r="372" spans="1:11" x14ac:dyDescent="0.15">
      <c r="A372" s="1" t="s">
        <v>697</v>
      </c>
      <c r="C372" s="1" t="s">
        <v>1365</v>
      </c>
      <c r="K372" s="1" t="s">
        <v>1366</v>
      </c>
    </row>
    <row r="373" spans="1:11" x14ac:dyDescent="0.15">
      <c r="A373" s="1" t="s">
        <v>697</v>
      </c>
      <c r="C373" s="1" t="s">
        <v>1367</v>
      </c>
      <c r="E373" s="1" t="s">
        <v>1368</v>
      </c>
      <c r="K373" s="1" t="s">
        <v>1369</v>
      </c>
    </row>
    <row r="374" spans="1:11" x14ac:dyDescent="0.15">
      <c r="A374" s="1" t="s">
        <v>697</v>
      </c>
      <c r="C374" s="1" t="s">
        <v>1370</v>
      </c>
      <c r="K374" s="1" t="s">
        <v>1371</v>
      </c>
    </row>
    <row r="375" spans="1:11" x14ac:dyDescent="0.15">
      <c r="A375" s="1" t="s">
        <v>697</v>
      </c>
      <c r="C375" s="1" t="s">
        <v>1372</v>
      </c>
      <c r="K375" s="1" t="s">
        <v>1373</v>
      </c>
    </row>
    <row r="376" spans="1:11" x14ac:dyDescent="0.15">
      <c r="A376" s="1" t="s">
        <v>697</v>
      </c>
      <c r="C376" s="1" t="s">
        <v>1374</v>
      </c>
      <c r="K376" s="1" t="s">
        <v>1375</v>
      </c>
    </row>
    <row r="377" spans="1:11" x14ac:dyDescent="0.15">
      <c r="A377" s="1" t="s">
        <v>697</v>
      </c>
      <c r="C377" s="1" t="s">
        <v>1376</v>
      </c>
      <c r="E377" s="1" t="s">
        <v>1377</v>
      </c>
    </row>
    <row r="378" spans="1:11" x14ac:dyDescent="0.15">
      <c r="A378" s="1" t="s">
        <v>697</v>
      </c>
      <c r="C378" s="1" t="s">
        <v>1378</v>
      </c>
      <c r="K378" s="1" t="s">
        <v>1379</v>
      </c>
    </row>
    <row r="379" spans="1:11" x14ac:dyDescent="0.15">
      <c r="A379" s="1" t="s">
        <v>697</v>
      </c>
      <c r="C379" s="1" t="s">
        <v>1380</v>
      </c>
      <c r="E379" s="1" t="s">
        <v>1381</v>
      </c>
    </row>
    <row r="380" spans="1:11" x14ac:dyDescent="0.15">
      <c r="A380" s="1" t="s">
        <v>697</v>
      </c>
      <c r="C380" s="1" t="s">
        <v>1382</v>
      </c>
      <c r="K380" s="1" t="s">
        <v>1383</v>
      </c>
    </row>
    <row r="381" spans="1:11" x14ac:dyDescent="0.15">
      <c r="A381" s="1" t="s">
        <v>697</v>
      </c>
      <c r="C381" s="1" t="s">
        <v>728</v>
      </c>
      <c r="F381" s="1" t="s">
        <v>1384</v>
      </c>
      <c r="K381" s="1" t="s">
        <v>1385</v>
      </c>
    </row>
    <row r="382" spans="1:11" x14ac:dyDescent="0.15">
      <c r="A382" s="1" t="s">
        <v>697</v>
      </c>
      <c r="B382" s="1" t="s">
        <v>1386</v>
      </c>
      <c r="E382" s="1" t="s">
        <v>1387</v>
      </c>
    </row>
    <row r="383" spans="1:11" x14ac:dyDescent="0.15">
      <c r="A383" s="1" t="s">
        <v>697</v>
      </c>
      <c r="B383" s="1" t="s">
        <v>1388</v>
      </c>
      <c r="E383" s="1" t="s">
        <v>1389</v>
      </c>
    </row>
    <row r="384" spans="1:11" x14ac:dyDescent="0.15">
      <c r="A384" s="1" t="s">
        <v>697</v>
      </c>
      <c r="C384" s="2" t="s">
        <v>1390</v>
      </c>
      <c r="E384" s="1" t="s">
        <v>1391</v>
      </c>
    </row>
    <row r="385" spans="1:49" x14ac:dyDescent="0.15">
      <c r="A385" s="1" t="s">
        <v>697</v>
      </c>
      <c r="B385" s="1" t="s">
        <v>1392</v>
      </c>
      <c r="E385" s="1" t="s">
        <v>1393</v>
      </c>
    </row>
    <row r="386" spans="1:49" x14ac:dyDescent="0.15">
      <c r="A386" s="1" t="s">
        <v>697</v>
      </c>
      <c r="C386" s="1" t="s">
        <v>1394</v>
      </c>
      <c r="E386" s="1" t="s">
        <v>1395</v>
      </c>
    </row>
    <row r="387" spans="1:49" x14ac:dyDescent="0.15">
      <c r="A387" s="1" t="s">
        <v>697</v>
      </c>
      <c r="C387" s="1" t="s">
        <v>1396</v>
      </c>
      <c r="K387" s="1" t="s">
        <v>1397</v>
      </c>
    </row>
    <row r="388" spans="1:49" x14ac:dyDescent="0.15">
      <c r="A388" s="1" t="s">
        <v>697</v>
      </c>
      <c r="C388" s="1" t="s">
        <v>1398</v>
      </c>
      <c r="K388" s="1" t="s">
        <v>1399</v>
      </c>
    </row>
    <row r="389" spans="1:49" x14ac:dyDescent="0.15">
      <c r="A389" s="1" t="s">
        <v>697</v>
      </c>
      <c r="C389" s="1" t="s">
        <v>1400</v>
      </c>
      <c r="F389" s="1" t="s">
        <v>1401</v>
      </c>
      <c r="AW389" s="1" t="s">
        <v>164</v>
      </c>
    </row>
    <row r="390" spans="1:49" x14ac:dyDescent="0.15">
      <c r="A390" s="1" t="s">
        <v>697</v>
      </c>
      <c r="C390" s="1" t="s">
        <v>1402</v>
      </c>
      <c r="K390" s="1" t="s">
        <v>1403</v>
      </c>
    </row>
    <row r="391" spans="1:49" x14ac:dyDescent="0.15">
      <c r="A391" s="1" t="s">
        <v>1410</v>
      </c>
      <c r="B391" s="1" t="s">
        <v>1418</v>
      </c>
      <c r="E391" s="1" t="s">
        <v>1419</v>
      </c>
      <c r="AG391" s="1" t="s">
        <v>1420</v>
      </c>
    </row>
    <row r="392" spans="1:49" x14ac:dyDescent="0.15">
      <c r="A392" s="1" t="s">
        <v>1410</v>
      </c>
      <c r="C392" s="2" t="s">
        <v>1421</v>
      </c>
      <c r="E392" s="1" t="s">
        <v>1422</v>
      </c>
    </row>
    <row r="393" spans="1:49" x14ac:dyDescent="0.15">
      <c r="A393" s="1" t="s">
        <v>1410</v>
      </c>
      <c r="B393" s="1" t="s">
        <v>1423</v>
      </c>
      <c r="E393" s="1" t="s">
        <v>1424</v>
      </c>
    </row>
    <row r="394" spans="1:49" x14ac:dyDescent="0.15">
      <c r="A394" s="1" t="s">
        <v>1410</v>
      </c>
      <c r="C394" s="2" t="s">
        <v>1425</v>
      </c>
      <c r="E394" s="1" t="s">
        <v>1426</v>
      </c>
    </row>
    <row r="395" spans="1:49" x14ac:dyDescent="0.15">
      <c r="A395" s="1" t="s">
        <v>1447</v>
      </c>
      <c r="C395" s="2" t="s">
        <v>1448</v>
      </c>
      <c r="E395" s="1" t="s">
        <v>1449</v>
      </c>
    </row>
    <row r="396" spans="1:49" x14ac:dyDescent="0.15">
      <c r="A396" s="1" t="s">
        <v>1447</v>
      </c>
      <c r="C396" s="2" t="s">
        <v>1450</v>
      </c>
      <c r="E396" s="1" t="s">
        <v>1451</v>
      </c>
    </row>
    <row r="397" spans="1:49" x14ac:dyDescent="0.15">
      <c r="A397" s="1" t="s">
        <v>1447</v>
      </c>
      <c r="C397" s="1" t="s">
        <v>1452</v>
      </c>
      <c r="E397" s="1" t="s">
        <v>1453</v>
      </c>
    </row>
    <row r="398" spans="1:49" x14ac:dyDescent="0.15">
      <c r="A398" s="1" t="s">
        <v>1447</v>
      </c>
      <c r="B398" s="1" t="s">
        <v>1454</v>
      </c>
      <c r="E398" s="1" t="s">
        <v>1455</v>
      </c>
    </row>
    <row r="399" spans="1:49" x14ac:dyDescent="0.15">
      <c r="A399" s="1" t="s">
        <v>1447</v>
      </c>
      <c r="C399" s="2" t="s">
        <v>1456</v>
      </c>
      <c r="E399" s="1" t="s">
        <v>1457</v>
      </c>
    </row>
    <row r="400" spans="1:49" x14ac:dyDescent="0.15">
      <c r="A400" s="1" t="s">
        <v>1447</v>
      </c>
      <c r="C400" s="2" t="s">
        <v>1458</v>
      </c>
      <c r="K400" s="1" t="s">
        <v>1459</v>
      </c>
    </row>
    <row r="401" spans="1:49" x14ac:dyDescent="0.15">
      <c r="A401" s="1" t="s">
        <v>1447</v>
      </c>
      <c r="C401" s="2" t="s">
        <v>1460</v>
      </c>
      <c r="E401" s="1" t="s">
        <v>1461</v>
      </c>
      <c r="AG401" s="1" t="s">
        <v>1462</v>
      </c>
    </row>
    <row r="402" spans="1:49" x14ac:dyDescent="0.15">
      <c r="A402" s="1" t="s">
        <v>1447</v>
      </c>
      <c r="C402" s="1" t="s">
        <v>1460</v>
      </c>
      <c r="K402" s="1" t="s">
        <v>1463</v>
      </c>
    </row>
    <row r="403" spans="1:49" x14ac:dyDescent="0.15">
      <c r="A403" s="1" t="s">
        <v>1447</v>
      </c>
      <c r="C403" s="2" t="s">
        <v>1464</v>
      </c>
      <c r="E403" s="1" t="s">
        <v>1465</v>
      </c>
    </row>
    <row r="404" spans="1:49" x14ac:dyDescent="0.15">
      <c r="A404" s="1" t="s">
        <v>1447</v>
      </c>
      <c r="C404" s="1" t="s">
        <v>1464</v>
      </c>
      <c r="K404" s="1" t="s">
        <v>1466</v>
      </c>
    </row>
    <row r="405" spans="1:49" x14ac:dyDescent="0.15">
      <c r="A405" s="1" t="s">
        <v>1447</v>
      </c>
      <c r="B405" s="1" t="s">
        <v>655</v>
      </c>
      <c r="E405" s="1" t="s">
        <v>1467</v>
      </c>
    </row>
    <row r="406" spans="1:49" x14ac:dyDescent="0.15">
      <c r="A406" s="1" t="s">
        <v>1447</v>
      </c>
      <c r="C406" s="2" t="s">
        <v>1468</v>
      </c>
      <c r="E406" s="1" t="s">
        <v>1469</v>
      </c>
      <c r="F406" s="1" t="s">
        <v>1470</v>
      </c>
      <c r="AG406" s="1" t="s">
        <v>1471</v>
      </c>
      <c r="AH406" s="1" t="s">
        <v>1471</v>
      </c>
      <c r="AW406" s="1" t="s">
        <v>218</v>
      </c>
    </row>
    <row r="407" spans="1:49" x14ac:dyDescent="0.15">
      <c r="A407" s="1" t="s">
        <v>1447</v>
      </c>
      <c r="C407" s="2" t="s">
        <v>1472</v>
      </c>
      <c r="E407" s="1" t="s">
        <v>1473</v>
      </c>
      <c r="F407" s="1" t="s">
        <v>1474</v>
      </c>
      <c r="N407" s="1"/>
      <c r="O407" s="1" t="s">
        <v>149</v>
      </c>
      <c r="AW407" s="1" t="s">
        <v>218</v>
      </c>
    </row>
    <row r="408" spans="1:49" x14ac:dyDescent="0.15">
      <c r="A408" s="1" t="s">
        <v>1447</v>
      </c>
      <c r="C408" s="2" t="s">
        <v>1475</v>
      </c>
      <c r="E408" s="1" t="s">
        <v>1476</v>
      </c>
      <c r="F408" s="1" t="s">
        <v>1477</v>
      </c>
      <c r="N408" s="1" t="s">
        <v>148</v>
      </c>
      <c r="O408" s="1" t="s">
        <v>149</v>
      </c>
      <c r="AG408" s="1" t="s">
        <v>1478</v>
      </c>
      <c r="AH408" s="1" t="s">
        <v>1478</v>
      </c>
      <c r="AW408" s="1" t="s">
        <v>218</v>
      </c>
    </row>
    <row r="409" spans="1:49" x14ac:dyDescent="0.15">
      <c r="A409" s="1" t="s">
        <v>1447</v>
      </c>
      <c r="C409" s="1" t="s">
        <v>1479</v>
      </c>
      <c r="F409" s="1" t="s">
        <v>1480</v>
      </c>
      <c r="AW409" s="1" t="s">
        <v>218</v>
      </c>
    </row>
    <row r="410" spans="1:49" x14ac:dyDescent="0.15">
      <c r="A410" s="1" t="s">
        <v>1447</v>
      </c>
      <c r="C410" s="1" t="s">
        <v>1479</v>
      </c>
      <c r="F410" s="1" t="s">
        <v>1481</v>
      </c>
      <c r="AW410" s="1" t="s">
        <v>218</v>
      </c>
    </row>
    <row r="411" spans="1:49" x14ac:dyDescent="0.15">
      <c r="A411" s="1" t="s">
        <v>1447</v>
      </c>
      <c r="C411" s="2" t="s">
        <v>1482</v>
      </c>
      <c r="K411" s="1" t="s">
        <v>1483</v>
      </c>
    </row>
    <row r="412" spans="1:49" x14ac:dyDescent="0.15">
      <c r="A412" s="1" t="s">
        <v>1447</v>
      </c>
      <c r="C412" s="2" t="s">
        <v>1484</v>
      </c>
      <c r="F412" s="1" t="s">
        <v>1485</v>
      </c>
      <c r="K412" s="1" t="s">
        <v>1486</v>
      </c>
      <c r="N412" s="1" t="s">
        <v>148</v>
      </c>
      <c r="O412" s="1" t="s">
        <v>149</v>
      </c>
      <c r="R412" s="1" t="s">
        <v>1487</v>
      </c>
      <c r="S412" s="1"/>
      <c r="T412" s="1"/>
      <c r="AW412" s="1" t="s">
        <v>218</v>
      </c>
    </row>
    <row r="413" spans="1:49" x14ac:dyDescent="0.15">
      <c r="A413" s="1" t="s">
        <v>1447</v>
      </c>
      <c r="C413" s="1" t="s">
        <v>1484</v>
      </c>
      <c r="E413" s="1" t="s">
        <v>1488</v>
      </c>
    </row>
    <row r="414" spans="1:49" x14ac:dyDescent="0.15">
      <c r="A414" s="1" t="s">
        <v>1447</v>
      </c>
      <c r="C414" s="1" t="s">
        <v>1484</v>
      </c>
      <c r="K414" s="1" t="s">
        <v>1489</v>
      </c>
    </row>
    <row r="415" spans="1:49" x14ac:dyDescent="0.15">
      <c r="A415" s="1" t="s">
        <v>1447</v>
      </c>
      <c r="C415" s="1" t="s">
        <v>1490</v>
      </c>
      <c r="K415" s="1" t="s">
        <v>1491</v>
      </c>
    </row>
    <row r="416" spans="1:49" x14ac:dyDescent="0.15">
      <c r="A416" s="1" t="s">
        <v>1447</v>
      </c>
      <c r="C416" s="1" t="s">
        <v>1492</v>
      </c>
      <c r="E416" s="1" t="s">
        <v>1493</v>
      </c>
      <c r="F416" s="1" t="s">
        <v>245</v>
      </c>
      <c r="N416" s="1" t="s">
        <v>1494</v>
      </c>
      <c r="O416" s="1" t="s">
        <v>149</v>
      </c>
      <c r="AG416" s="1" t="s">
        <v>247</v>
      </c>
    </row>
    <row r="417" spans="1:15" x14ac:dyDescent="0.15">
      <c r="A417" s="1" t="s">
        <v>1447</v>
      </c>
      <c r="C417" s="1" t="s">
        <v>219</v>
      </c>
      <c r="E417" s="1" t="s">
        <v>1495</v>
      </c>
    </row>
    <row r="418" spans="1:15" x14ac:dyDescent="0.15">
      <c r="A418" s="1" t="s">
        <v>1447</v>
      </c>
      <c r="C418" s="1" t="s">
        <v>219</v>
      </c>
      <c r="K418" s="1" t="s">
        <v>1496</v>
      </c>
    </row>
    <row r="419" spans="1:15" x14ac:dyDescent="0.15">
      <c r="A419" s="1" t="s">
        <v>1447</v>
      </c>
      <c r="C419" s="1" t="s">
        <v>1497</v>
      </c>
      <c r="E419" s="1" t="s">
        <v>1498</v>
      </c>
      <c r="F419" s="1" t="s">
        <v>220</v>
      </c>
      <c r="N419" s="1" t="s">
        <v>1499</v>
      </c>
      <c r="O419" s="1" t="s">
        <v>149</v>
      </c>
    </row>
    <row r="420" spans="1:15" x14ac:dyDescent="0.15">
      <c r="A420" s="1" t="s">
        <v>1447</v>
      </c>
      <c r="C420" s="1" t="s">
        <v>1500</v>
      </c>
      <c r="E420" s="1" t="s">
        <v>1501</v>
      </c>
    </row>
    <row r="421" spans="1:15" x14ac:dyDescent="0.15">
      <c r="A421" s="1" t="s">
        <v>1447</v>
      </c>
      <c r="B421" s="1" t="s">
        <v>1502</v>
      </c>
      <c r="E421" s="1" t="s">
        <v>1503</v>
      </c>
    </row>
    <row r="422" spans="1:15" x14ac:dyDescent="0.15">
      <c r="A422" s="1" t="s">
        <v>1447</v>
      </c>
      <c r="C422" s="2" t="s">
        <v>1504</v>
      </c>
      <c r="E422" s="1" t="s">
        <v>1505</v>
      </c>
    </row>
    <row r="423" spans="1:15" x14ac:dyDescent="0.15">
      <c r="A423" s="1" t="s">
        <v>1447</v>
      </c>
      <c r="C423" s="2" t="s">
        <v>1506</v>
      </c>
      <c r="E423" s="1" t="s">
        <v>1507</v>
      </c>
    </row>
    <row r="424" spans="1:15" x14ac:dyDescent="0.15">
      <c r="A424" s="1" t="s">
        <v>1447</v>
      </c>
      <c r="B424" s="1" t="s">
        <v>1508</v>
      </c>
      <c r="E424" s="1" t="s">
        <v>1509</v>
      </c>
    </row>
    <row r="425" spans="1:15" x14ac:dyDescent="0.15">
      <c r="A425" s="1" t="s">
        <v>1447</v>
      </c>
      <c r="C425" s="1" t="s">
        <v>1510</v>
      </c>
      <c r="E425" s="1" t="s">
        <v>1469</v>
      </c>
    </row>
    <row r="426" spans="1:15" x14ac:dyDescent="0.15">
      <c r="A426" s="1" t="s">
        <v>1447</v>
      </c>
      <c r="C426" s="1" t="s">
        <v>1511</v>
      </c>
      <c r="E426" s="1" t="s">
        <v>1512</v>
      </c>
    </row>
    <row r="427" spans="1:15" x14ac:dyDescent="0.15">
      <c r="A427" s="1" t="s">
        <v>1447</v>
      </c>
      <c r="C427" s="1" t="s">
        <v>1513</v>
      </c>
      <c r="E427" s="1" t="s">
        <v>1473</v>
      </c>
    </row>
    <row r="428" spans="1:15" x14ac:dyDescent="0.15">
      <c r="A428" s="1" t="s">
        <v>1447</v>
      </c>
      <c r="C428" s="1" t="s">
        <v>1514</v>
      </c>
      <c r="E428" s="1" t="s">
        <v>1476</v>
      </c>
    </row>
    <row r="429" spans="1:15" x14ac:dyDescent="0.15">
      <c r="A429" s="1" t="s">
        <v>1447</v>
      </c>
      <c r="C429" s="2" t="s">
        <v>1515</v>
      </c>
      <c r="E429" s="1" t="s">
        <v>1516</v>
      </c>
    </row>
    <row r="430" spans="1:15" x14ac:dyDescent="0.15">
      <c r="A430" s="1" t="s">
        <v>1447</v>
      </c>
      <c r="C430" s="1" t="s">
        <v>1517</v>
      </c>
      <c r="K430" s="1" t="s">
        <v>1518</v>
      </c>
    </row>
    <row r="431" spans="1:15" x14ac:dyDescent="0.15">
      <c r="A431" s="1" t="s">
        <v>1447</v>
      </c>
      <c r="C431" s="2" t="s">
        <v>1519</v>
      </c>
      <c r="E431" s="1" t="s">
        <v>1520</v>
      </c>
    </row>
    <row r="432" spans="1:15" x14ac:dyDescent="0.15">
      <c r="A432" s="1" t="s">
        <v>1447</v>
      </c>
      <c r="C432" s="2" t="s">
        <v>1521</v>
      </c>
      <c r="K432" s="1" t="s">
        <v>1522</v>
      </c>
    </row>
    <row r="433" spans="1:49" x14ac:dyDescent="0.15">
      <c r="A433" s="1" t="s">
        <v>1447</v>
      </c>
      <c r="C433" s="1" t="s">
        <v>1521</v>
      </c>
      <c r="E433" s="1" t="s">
        <v>1523</v>
      </c>
    </row>
    <row r="434" spans="1:49" x14ac:dyDescent="0.15">
      <c r="A434" s="1" t="s">
        <v>1447</v>
      </c>
      <c r="C434" s="2" t="s">
        <v>1524</v>
      </c>
      <c r="E434" s="1" t="s">
        <v>1525</v>
      </c>
    </row>
    <row r="435" spans="1:49" x14ac:dyDescent="0.15">
      <c r="A435" s="1" t="s">
        <v>1447</v>
      </c>
      <c r="C435" s="2" t="s">
        <v>1526</v>
      </c>
      <c r="E435" s="1" t="s">
        <v>1527</v>
      </c>
    </row>
    <row r="436" spans="1:49" x14ac:dyDescent="0.15">
      <c r="A436" s="1" t="s">
        <v>1447</v>
      </c>
      <c r="C436" s="1" t="s">
        <v>1526</v>
      </c>
      <c r="E436" s="1" t="s">
        <v>1528</v>
      </c>
    </row>
    <row r="437" spans="1:49" x14ac:dyDescent="0.15">
      <c r="A437" s="1" t="s">
        <v>1447</v>
      </c>
      <c r="C437" s="2" t="s">
        <v>1529</v>
      </c>
      <c r="E437" s="1" t="s">
        <v>1512</v>
      </c>
    </row>
    <row r="438" spans="1:49" x14ac:dyDescent="0.15">
      <c r="A438" s="1" t="s">
        <v>1447</v>
      </c>
      <c r="B438" s="1" t="s">
        <v>1529</v>
      </c>
      <c r="E438" s="1" t="s">
        <v>1530</v>
      </c>
    </row>
    <row r="439" spans="1:49" x14ac:dyDescent="0.15">
      <c r="A439" s="1" t="s">
        <v>1447</v>
      </c>
      <c r="C439" s="2" t="s">
        <v>1531</v>
      </c>
      <c r="E439" s="1" t="s">
        <v>1532</v>
      </c>
    </row>
    <row r="440" spans="1:49" x14ac:dyDescent="0.15">
      <c r="A440" s="1" t="s">
        <v>1447</v>
      </c>
      <c r="B440" s="1" t="s">
        <v>1533</v>
      </c>
      <c r="E440" s="1" t="s">
        <v>1534</v>
      </c>
    </row>
    <row r="441" spans="1:49" x14ac:dyDescent="0.15">
      <c r="A441" s="1" t="s">
        <v>1535</v>
      </c>
      <c r="C441" s="2" t="s">
        <v>1536</v>
      </c>
      <c r="E441" s="1" t="s">
        <v>1537</v>
      </c>
      <c r="AW441" s="1" t="s">
        <v>1101</v>
      </c>
    </row>
    <row r="442" spans="1:49" x14ac:dyDescent="0.15">
      <c r="A442" s="1" t="s">
        <v>1535</v>
      </c>
      <c r="B442" s="1" t="s">
        <v>1538</v>
      </c>
      <c r="E442" s="1" t="s">
        <v>1539</v>
      </c>
    </row>
    <row r="443" spans="1:49" x14ac:dyDescent="0.15">
      <c r="A443" s="1" t="s">
        <v>1535</v>
      </c>
      <c r="C443" s="2" t="s">
        <v>1540</v>
      </c>
      <c r="E443" s="1" t="s">
        <v>1541</v>
      </c>
      <c r="AW443" s="1" t="s">
        <v>1101</v>
      </c>
    </row>
    <row r="444" spans="1:49" x14ac:dyDescent="0.15">
      <c r="A444" s="1" t="s">
        <v>1535</v>
      </c>
      <c r="C444" s="2" t="s">
        <v>1542</v>
      </c>
      <c r="E444" s="1" t="s">
        <v>1543</v>
      </c>
      <c r="AW444" s="1" t="s">
        <v>1101</v>
      </c>
    </row>
    <row r="445" spans="1:49" x14ac:dyDescent="0.15">
      <c r="A445" s="1" t="s">
        <v>1535</v>
      </c>
      <c r="C445" s="1" t="s">
        <v>1544</v>
      </c>
      <c r="E445" s="1" t="s">
        <v>1545</v>
      </c>
      <c r="AW445" s="1" t="s">
        <v>1101</v>
      </c>
    </row>
    <row r="446" spans="1:49" x14ac:dyDescent="0.15">
      <c r="A446" s="1" t="s">
        <v>1535</v>
      </c>
      <c r="C446" s="2" t="s">
        <v>1546</v>
      </c>
      <c r="E446" s="1" t="s">
        <v>1547</v>
      </c>
      <c r="AW446" s="1" t="s">
        <v>1101</v>
      </c>
    </row>
    <row r="447" spans="1:49" x14ac:dyDescent="0.15">
      <c r="A447" s="1" t="s">
        <v>1535</v>
      </c>
      <c r="C447" s="2" t="s">
        <v>1548</v>
      </c>
      <c r="E447" s="1" t="s">
        <v>1549</v>
      </c>
      <c r="AW447" s="1" t="s">
        <v>1101</v>
      </c>
    </row>
    <row r="448" spans="1:49" x14ac:dyDescent="0.15">
      <c r="A448" s="1" t="s">
        <v>1535</v>
      </c>
      <c r="C448" s="2" t="s">
        <v>1550</v>
      </c>
      <c r="E448" s="1" t="s">
        <v>1551</v>
      </c>
      <c r="K448" s="1" t="s">
        <v>1552</v>
      </c>
      <c r="AG448" s="1" t="s">
        <v>1551</v>
      </c>
      <c r="AW448" s="1" t="s">
        <v>1101</v>
      </c>
    </row>
    <row r="449" spans="1:50" x14ac:dyDescent="0.15">
      <c r="A449" s="1" t="s">
        <v>1535</v>
      </c>
      <c r="C449" s="1" t="s">
        <v>1553</v>
      </c>
      <c r="E449" s="1" t="s">
        <v>1554</v>
      </c>
      <c r="AG449" s="1" t="s">
        <v>1555</v>
      </c>
      <c r="AH449" s="1" t="s">
        <v>1555</v>
      </c>
      <c r="AW449" s="1" t="s">
        <v>1101</v>
      </c>
    </row>
    <row r="450" spans="1:50" x14ac:dyDescent="0.15">
      <c r="A450" s="1" t="s">
        <v>1535</v>
      </c>
      <c r="C450" s="2" t="s">
        <v>1556</v>
      </c>
      <c r="E450" s="1" t="s">
        <v>1557</v>
      </c>
      <c r="AW450" s="1" t="s">
        <v>1101</v>
      </c>
    </row>
    <row r="451" spans="1:50" x14ac:dyDescent="0.15">
      <c r="A451" s="1" t="s">
        <v>940</v>
      </c>
      <c r="B451" s="1" t="s">
        <v>1613</v>
      </c>
      <c r="E451" s="1" t="s">
        <v>1614</v>
      </c>
      <c r="F451" s="1" t="s">
        <v>1615</v>
      </c>
      <c r="AG451" s="1" t="s">
        <v>1616</v>
      </c>
    </row>
    <row r="452" spans="1:50" x14ac:dyDescent="0.15">
      <c r="A452" s="1" t="s">
        <v>940</v>
      </c>
      <c r="C452" s="1" t="s">
        <v>1479</v>
      </c>
      <c r="E452" s="1" t="s">
        <v>1617</v>
      </c>
      <c r="F452" s="1" t="s">
        <v>644</v>
      </c>
      <c r="R452" s="1" t="s">
        <v>940</v>
      </c>
      <c r="AG452" s="1" t="s">
        <v>1618</v>
      </c>
      <c r="AH452" s="1" t="s">
        <v>1618</v>
      </c>
      <c r="AW452" s="1" t="s">
        <v>1447</v>
      </c>
      <c r="AX452" s="1" t="s">
        <v>80</v>
      </c>
    </row>
    <row r="453" spans="1:50" x14ac:dyDescent="0.15">
      <c r="A453" s="1" t="s">
        <v>940</v>
      </c>
      <c r="B453" s="1" t="s">
        <v>1619</v>
      </c>
      <c r="E453" s="1" t="s">
        <v>1620</v>
      </c>
      <c r="AG453" s="1" t="s">
        <v>1621</v>
      </c>
    </row>
    <row r="454" spans="1:50" x14ac:dyDescent="0.15">
      <c r="A454" s="1" t="s">
        <v>940</v>
      </c>
      <c r="B454" s="1" t="s">
        <v>1622</v>
      </c>
      <c r="E454" s="1" t="s">
        <v>1623</v>
      </c>
      <c r="F454" s="1" t="s">
        <v>1624</v>
      </c>
      <c r="AG454" s="1" t="s">
        <v>1625</v>
      </c>
    </row>
    <row r="455" spans="1:50" x14ac:dyDescent="0.15">
      <c r="A455" s="1" t="s">
        <v>940</v>
      </c>
      <c r="B455" s="1" t="s">
        <v>467</v>
      </c>
      <c r="E455" s="1" t="s">
        <v>1626</v>
      </c>
      <c r="AG455" s="1" t="s">
        <v>1627</v>
      </c>
    </row>
    <row r="456" spans="1:50" x14ac:dyDescent="0.15">
      <c r="A456" s="1" t="s">
        <v>940</v>
      </c>
      <c r="B456" s="1" t="s">
        <v>1628</v>
      </c>
      <c r="E456" s="1" t="s">
        <v>1629</v>
      </c>
      <c r="F456" s="1" t="s">
        <v>1630</v>
      </c>
      <c r="AG456" s="1" t="s">
        <v>1631</v>
      </c>
    </row>
    <row r="457" spans="1:50" x14ac:dyDescent="0.15">
      <c r="A457" s="1" t="s">
        <v>940</v>
      </c>
      <c r="B457" s="1" t="s">
        <v>1650</v>
      </c>
      <c r="E457" s="1" t="s">
        <v>1651</v>
      </c>
    </row>
    <row r="458" spans="1:50" x14ac:dyDescent="0.15">
      <c r="A458" s="1" t="s">
        <v>1667</v>
      </c>
      <c r="B458" s="1" t="s">
        <v>1722</v>
      </c>
      <c r="C458" s="1" t="s">
        <v>1723</v>
      </c>
      <c r="E458" s="1" t="s">
        <v>1724</v>
      </c>
      <c r="F458" s="1" t="s">
        <v>1725</v>
      </c>
      <c r="G458" s="1" t="s">
        <v>1726</v>
      </c>
      <c r="T458" s="1" t="s">
        <v>1727</v>
      </c>
      <c r="U458" s="1" t="s">
        <v>1058</v>
      </c>
      <c r="V458" s="1" t="s">
        <v>1728</v>
      </c>
      <c r="AD458" s="1" t="s">
        <v>1060</v>
      </c>
    </row>
    <row r="459" spans="1:50" x14ac:dyDescent="0.15">
      <c r="A459" s="1" t="s">
        <v>1729</v>
      </c>
      <c r="B459" s="1" t="s">
        <v>1730</v>
      </c>
      <c r="F459" s="1" t="s">
        <v>1731</v>
      </c>
      <c r="AW459" s="1" t="s">
        <v>858</v>
      </c>
    </row>
    <row r="460" spans="1:50" x14ac:dyDescent="0.15">
      <c r="A460" s="1" t="s">
        <v>1729</v>
      </c>
      <c r="B460" s="1" t="s">
        <v>1732</v>
      </c>
      <c r="E460" s="1" t="s">
        <v>1733</v>
      </c>
      <c r="AG460" s="1" t="s">
        <v>1734</v>
      </c>
      <c r="AH460" s="1" t="s">
        <v>1734</v>
      </c>
      <c r="AW460" s="1" t="s">
        <v>858</v>
      </c>
    </row>
    <row r="461" spans="1:50" x14ac:dyDescent="0.15">
      <c r="A461" s="1" t="s">
        <v>1729</v>
      </c>
      <c r="B461" s="1" t="s">
        <v>1735</v>
      </c>
      <c r="E461" s="1" t="s">
        <v>1736</v>
      </c>
      <c r="AW461" s="1" t="s">
        <v>858</v>
      </c>
    </row>
    <row r="462" spans="1:50" x14ac:dyDescent="0.15">
      <c r="A462" s="1" t="s">
        <v>1729</v>
      </c>
      <c r="B462" s="1" t="s">
        <v>1737</v>
      </c>
      <c r="E462" s="1" t="s">
        <v>1738</v>
      </c>
      <c r="AW462" s="1" t="s">
        <v>858</v>
      </c>
    </row>
    <row r="463" spans="1:50" x14ac:dyDescent="0.15">
      <c r="A463" s="1" t="s">
        <v>1729</v>
      </c>
      <c r="B463" s="1" t="s">
        <v>1739</v>
      </c>
      <c r="E463" s="1" t="s">
        <v>1740</v>
      </c>
      <c r="AG463" s="1" t="s">
        <v>1741</v>
      </c>
      <c r="AH463" s="1" t="s">
        <v>1741</v>
      </c>
      <c r="AW463" s="1" t="s">
        <v>858</v>
      </c>
    </row>
    <row r="464" spans="1:50" x14ac:dyDescent="0.15">
      <c r="A464" s="1" t="s">
        <v>1729</v>
      </c>
      <c r="B464" s="1" t="s">
        <v>1742</v>
      </c>
      <c r="E464" s="1" t="s">
        <v>1743</v>
      </c>
      <c r="AW464" s="1" t="s">
        <v>858</v>
      </c>
    </row>
    <row r="465" spans="1:49" x14ac:dyDescent="0.15">
      <c r="A465" s="1" t="s">
        <v>1729</v>
      </c>
      <c r="B465" s="1" t="s">
        <v>1744</v>
      </c>
      <c r="E465" s="1" t="s">
        <v>1745</v>
      </c>
      <c r="AW465" s="1" t="s">
        <v>858</v>
      </c>
    </row>
    <row r="466" spans="1:49" x14ac:dyDescent="0.15">
      <c r="A466" s="1" t="s">
        <v>1729</v>
      </c>
      <c r="B466" s="1" t="s">
        <v>1746</v>
      </c>
      <c r="E466" s="1" t="s">
        <v>1747</v>
      </c>
      <c r="AW466" s="1" t="s">
        <v>858</v>
      </c>
    </row>
    <row r="467" spans="1:49" x14ac:dyDescent="0.15">
      <c r="A467" s="1" t="s">
        <v>1729</v>
      </c>
      <c r="B467" s="1" t="s">
        <v>1748</v>
      </c>
      <c r="E467" s="1" t="s">
        <v>1749</v>
      </c>
      <c r="AG467" s="1" t="s">
        <v>1750</v>
      </c>
      <c r="AH467" s="1" t="s">
        <v>1750</v>
      </c>
      <c r="AW467" s="1" t="s">
        <v>858</v>
      </c>
    </row>
    <row r="468" spans="1:49" x14ac:dyDescent="0.15">
      <c r="A468" s="1" t="s">
        <v>1827</v>
      </c>
      <c r="C468" s="1" t="s">
        <v>1834</v>
      </c>
      <c r="E468" s="1" t="s">
        <v>1835</v>
      </c>
      <c r="F468" s="1" t="s">
        <v>397</v>
      </c>
    </row>
    <row r="469" spans="1:49" x14ac:dyDescent="0.15">
      <c r="A469" s="1" t="s">
        <v>1827</v>
      </c>
      <c r="C469" s="2" t="s">
        <v>1836</v>
      </c>
      <c r="K469" s="1" t="s">
        <v>1837</v>
      </c>
    </row>
    <row r="470" spans="1:49" x14ac:dyDescent="0.15">
      <c r="A470" s="1" t="s">
        <v>1827</v>
      </c>
      <c r="C470" s="1" t="s">
        <v>1838</v>
      </c>
      <c r="F470" s="1" t="s">
        <v>1839</v>
      </c>
      <c r="AW470" s="1" t="s">
        <v>155</v>
      </c>
    </row>
    <row r="471" spans="1:49" x14ac:dyDescent="0.15">
      <c r="A471" s="1" t="s">
        <v>1827</v>
      </c>
      <c r="C471" s="1" t="s">
        <v>1840</v>
      </c>
      <c r="F471" s="1" t="s">
        <v>1841</v>
      </c>
      <c r="AW471" s="1" t="s">
        <v>155</v>
      </c>
    </row>
    <row r="472" spans="1:49" x14ac:dyDescent="0.15">
      <c r="A472" s="1" t="s">
        <v>1827</v>
      </c>
      <c r="C472" s="1" t="s">
        <v>1840</v>
      </c>
      <c r="K472" s="1" t="s">
        <v>1842</v>
      </c>
    </row>
    <row r="473" spans="1:49" x14ac:dyDescent="0.15">
      <c r="A473" s="1" t="s">
        <v>1827</v>
      </c>
      <c r="C473" s="1" t="s">
        <v>1843</v>
      </c>
      <c r="F473" s="1" t="s">
        <v>1844</v>
      </c>
      <c r="AW473" s="1" t="s">
        <v>155</v>
      </c>
    </row>
    <row r="474" spans="1:49" x14ac:dyDescent="0.15">
      <c r="A474" s="1" t="s">
        <v>1827</v>
      </c>
      <c r="C474" s="1" t="s">
        <v>1843</v>
      </c>
      <c r="K474" s="1" t="s">
        <v>1845</v>
      </c>
    </row>
    <row r="475" spans="1:49" x14ac:dyDescent="0.15">
      <c r="A475" s="1" t="s">
        <v>1827</v>
      </c>
      <c r="C475" s="1" t="s">
        <v>1846</v>
      </c>
      <c r="F475" s="1" t="s">
        <v>1847</v>
      </c>
      <c r="AW475" s="1" t="s">
        <v>0</v>
      </c>
    </row>
    <row r="476" spans="1:49" x14ac:dyDescent="0.15">
      <c r="A476" s="1" t="s">
        <v>1827</v>
      </c>
      <c r="C476" s="2" t="s">
        <v>1848</v>
      </c>
      <c r="F476" s="1" t="s">
        <v>1849</v>
      </c>
      <c r="AW476" s="1" t="s">
        <v>0</v>
      </c>
    </row>
    <row r="477" spans="1:49" x14ac:dyDescent="0.15">
      <c r="A477" s="1" t="s">
        <v>1827</v>
      </c>
      <c r="C477" s="1" t="s">
        <v>1850</v>
      </c>
      <c r="K477" s="1" t="s">
        <v>1851</v>
      </c>
    </row>
    <row r="478" spans="1:49" x14ac:dyDescent="0.15">
      <c r="A478" s="1" t="s">
        <v>1827</v>
      </c>
      <c r="C478" s="1" t="s">
        <v>1852</v>
      </c>
      <c r="K478" s="1" t="s">
        <v>1853</v>
      </c>
    </row>
    <row r="479" spans="1:49" x14ac:dyDescent="0.15">
      <c r="A479" s="1" t="s">
        <v>1827</v>
      </c>
      <c r="C479" s="2" t="s">
        <v>1854</v>
      </c>
      <c r="F479" s="1" t="s">
        <v>1855</v>
      </c>
      <c r="AW479" s="1" t="s">
        <v>0</v>
      </c>
    </row>
    <row r="480" spans="1:49" x14ac:dyDescent="0.15">
      <c r="A480" s="1" t="s">
        <v>1827</v>
      </c>
      <c r="C480" s="1" t="s">
        <v>1854</v>
      </c>
      <c r="K480" s="1" t="s">
        <v>1856</v>
      </c>
    </row>
    <row r="481" spans="1:49" x14ac:dyDescent="0.15">
      <c r="A481" s="1" t="s">
        <v>1827</v>
      </c>
      <c r="C481" s="2" t="s">
        <v>1857</v>
      </c>
      <c r="F481" s="1" t="s">
        <v>1858</v>
      </c>
      <c r="AW481" s="1" t="s">
        <v>0</v>
      </c>
    </row>
    <row r="482" spans="1:49" x14ac:dyDescent="0.15">
      <c r="A482" s="1" t="s">
        <v>1827</v>
      </c>
      <c r="C482" s="1" t="s">
        <v>1857</v>
      </c>
      <c r="K482" s="1" t="s">
        <v>1859</v>
      </c>
    </row>
    <row r="483" spans="1:49" x14ac:dyDescent="0.15">
      <c r="A483" s="1" t="s">
        <v>1827</v>
      </c>
      <c r="C483" s="1" t="s">
        <v>1860</v>
      </c>
      <c r="E483" s="1" t="s">
        <v>1861</v>
      </c>
    </row>
    <row r="484" spans="1:49" x14ac:dyDescent="0.15">
      <c r="A484" s="1" t="s">
        <v>1827</v>
      </c>
      <c r="C484" s="1" t="s">
        <v>1862</v>
      </c>
      <c r="K484" s="1" t="s">
        <v>1863</v>
      </c>
    </row>
    <row r="485" spans="1:49" x14ac:dyDescent="0.15">
      <c r="A485" s="1" t="s">
        <v>1827</v>
      </c>
      <c r="C485" s="2" t="s">
        <v>1864</v>
      </c>
      <c r="F485" s="1" t="s">
        <v>1865</v>
      </c>
      <c r="AW485" s="1" t="s">
        <v>0</v>
      </c>
    </row>
    <row r="486" spans="1:49" x14ac:dyDescent="0.15">
      <c r="A486" s="1" t="s">
        <v>1827</v>
      </c>
      <c r="C486" s="1" t="s">
        <v>1864</v>
      </c>
      <c r="K486" s="1" t="s">
        <v>1866</v>
      </c>
    </row>
    <row r="487" spans="1:49" x14ac:dyDescent="0.15">
      <c r="A487" s="1" t="s">
        <v>1827</v>
      </c>
      <c r="C487" s="2" t="s">
        <v>1867</v>
      </c>
      <c r="F487" s="1" t="s">
        <v>1868</v>
      </c>
      <c r="AW487" s="1" t="s">
        <v>0</v>
      </c>
    </row>
    <row r="488" spans="1:49" x14ac:dyDescent="0.15">
      <c r="A488" s="1" t="s">
        <v>1827</v>
      </c>
      <c r="C488" s="1" t="s">
        <v>1867</v>
      </c>
      <c r="K488" s="1" t="s">
        <v>1869</v>
      </c>
    </row>
    <row r="489" spans="1:49" x14ac:dyDescent="0.15">
      <c r="A489" s="1" t="s">
        <v>1827</v>
      </c>
      <c r="C489" s="2" t="s">
        <v>1870</v>
      </c>
      <c r="F489" s="1" t="s">
        <v>1871</v>
      </c>
      <c r="AW489" s="1" t="s">
        <v>0</v>
      </c>
    </row>
    <row r="490" spans="1:49" x14ac:dyDescent="0.15">
      <c r="A490" s="1" t="s">
        <v>1827</v>
      </c>
      <c r="C490" s="1" t="s">
        <v>1872</v>
      </c>
      <c r="K490" s="1" t="s">
        <v>1873</v>
      </c>
    </row>
    <row r="491" spans="1:49" x14ac:dyDescent="0.15">
      <c r="A491" s="1" t="s">
        <v>1827</v>
      </c>
      <c r="C491" s="1" t="s">
        <v>1874</v>
      </c>
      <c r="F491" s="1" t="s">
        <v>1875</v>
      </c>
      <c r="AW491" s="1" t="s">
        <v>0</v>
      </c>
    </row>
    <row r="492" spans="1:49" x14ac:dyDescent="0.15">
      <c r="A492" s="1" t="s">
        <v>1827</v>
      </c>
      <c r="C492" s="1" t="s">
        <v>1876</v>
      </c>
      <c r="F492" s="1" t="s">
        <v>1877</v>
      </c>
      <c r="AW492" s="1" t="s">
        <v>0</v>
      </c>
    </row>
    <row r="493" spans="1:49" x14ac:dyDescent="0.15">
      <c r="A493" s="1" t="s">
        <v>1827</v>
      </c>
      <c r="C493" s="1" t="s">
        <v>1878</v>
      </c>
      <c r="E493" s="1" t="s">
        <v>1879</v>
      </c>
      <c r="F493" s="1" t="s">
        <v>1880</v>
      </c>
      <c r="AW493" s="1" t="s">
        <v>1881</v>
      </c>
    </row>
    <row r="494" spans="1:49" x14ac:dyDescent="0.15">
      <c r="A494" s="1" t="s">
        <v>1827</v>
      </c>
      <c r="C494" s="1" t="s">
        <v>1878</v>
      </c>
      <c r="F494" s="1" t="s">
        <v>1882</v>
      </c>
      <c r="AW494" s="1" t="s">
        <v>0</v>
      </c>
    </row>
    <row r="495" spans="1:49" x14ac:dyDescent="0.15">
      <c r="A495" s="1" t="s">
        <v>1827</v>
      </c>
      <c r="C495" s="2" t="s">
        <v>1883</v>
      </c>
      <c r="F495" s="1" t="s">
        <v>1884</v>
      </c>
      <c r="AW495" s="1" t="s">
        <v>0</v>
      </c>
    </row>
    <row r="496" spans="1:49" x14ac:dyDescent="0.15">
      <c r="A496" s="1" t="s">
        <v>1827</v>
      </c>
      <c r="C496" s="2" t="s">
        <v>1885</v>
      </c>
      <c r="F496" s="1" t="s">
        <v>1886</v>
      </c>
      <c r="AW496" s="1" t="s">
        <v>0</v>
      </c>
    </row>
    <row r="497" spans="1:49" x14ac:dyDescent="0.15">
      <c r="A497" s="1" t="s">
        <v>1827</v>
      </c>
      <c r="C497" s="1" t="s">
        <v>1885</v>
      </c>
      <c r="K497" s="1" t="s">
        <v>1887</v>
      </c>
    </row>
    <row r="498" spans="1:49" x14ac:dyDescent="0.15">
      <c r="A498" s="1" t="s">
        <v>1827</v>
      </c>
      <c r="C498" s="1" t="s">
        <v>28</v>
      </c>
      <c r="F498" s="1" t="s">
        <v>29</v>
      </c>
      <c r="AW498" s="1" t="s">
        <v>0</v>
      </c>
    </row>
    <row r="499" spans="1:49" x14ac:dyDescent="0.15">
      <c r="A499" s="1" t="s">
        <v>1827</v>
      </c>
      <c r="C499" s="1" t="s">
        <v>1888</v>
      </c>
      <c r="K499" s="1" t="s">
        <v>1889</v>
      </c>
    </row>
    <row r="500" spans="1:49" x14ac:dyDescent="0.15">
      <c r="A500" s="1" t="s">
        <v>1827</v>
      </c>
      <c r="C500" s="1" t="s">
        <v>1890</v>
      </c>
      <c r="F500" s="1" t="s">
        <v>1891</v>
      </c>
      <c r="AW500" s="1" t="s">
        <v>0</v>
      </c>
    </row>
    <row r="501" spans="1:49" x14ac:dyDescent="0.15">
      <c r="A501" s="1" t="s">
        <v>1827</v>
      </c>
      <c r="C501" s="1" t="s">
        <v>1892</v>
      </c>
      <c r="K501" s="1" t="s">
        <v>1893</v>
      </c>
    </row>
    <row r="502" spans="1:49" x14ac:dyDescent="0.15">
      <c r="A502" s="1" t="s">
        <v>1827</v>
      </c>
      <c r="C502" s="2" t="s">
        <v>1894</v>
      </c>
      <c r="F502" s="1" t="s">
        <v>1895</v>
      </c>
      <c r="AW502" s="1" t="s">
        <v>0</v>
      </c>
    </row>
    <row r="503" spans="1:49" x14ac:dyDescent="0.15">
      <c r="A503" s="1" t="s">
        <v>1827</v>
      </c>
      <c r="C503" s="1" t="s">
        <v>1896</v>
      </c>
      <c r="K503" s="1" t="s">
        <v>1897</v>
      </c>
    </row>
    <row r="504" spans="1:49" x14ac:dyDescent="0.15">
      <c r="A504" s="1" t="s">
        <v>1827</v>
      </c>
      <c r="C504" s="1" t="s">
        <v>1898</v>
      </c>
      <c r="K504" s="1" t="s">
        <v>1899</v>
      </c>
    </row>
    <row r="505" spans="1:49" x14ac:dyDescent="0.15">
      <c r="A505" s="1" t="s">
        <v>1827</v>
      </c>
      <c r="C505" s="1" t="s">
        <v>1900</v>
      </c>
      <c r="F505" s="1" t="s">
        <v>1901</v>
      </c>
      <c r="AW505" s="1" t="s">
        <v>0</v>
      </c>
    </row>
    <row r="506" spans="1:49" x14ac:dyDescent="0.15">
      <c r="A506" s="1" t="s">
        <v>1827</v>
      </c>
      <c r="C506" s="1" t="s">
        <v>1900</v>
      </c>
      <c r="K506" s="1" t="s">
        <v>1902</v>
      </c>
    </row>
    <row r="507" spans="1:49" x14ac:dyDescent="0.15">
      <c r="A507" s="1" t="s">
        <v>1827</v>
      </c>
      <c r="C507" s="1" t="s">
        <v>1903</v>
      </c>
      <c r="F507" s="1" t="s">
        <v>1904</v>
      </c>
      <c r="R507" s="1" t="s">
        <v>1905</v>
      </c>
      <c r="S507" s="1"/>
      <c r="T507" s="1"/>
      <c r="AW507" s="1" t="s">
        <v>1881</v>
      </c>
    </row>
    <row r="508" spans="1:49" x14ac:dyDescent="0.15">
      <c r="A508" s="1" t="s">
        <v>1827</v>
      </c>
      <c r="C508" s="1" t="s">
        <v>1903</v>
      </c>
      <c r="F508" s="1" t="s">
        <v>1906</v>
      </c>
      <c r="AW508" s="1" t="s">
        <v>0</v>
      </c>
    </row>
    <row r="509" spans="1:49" x14ac:dyDescent="0.15">
      <c r="A509" s="1" t="s">
        <v>1827</v>
      </c>
      <c r="C509" s="1" t="s">
        <v>1907</v>
      </c>
      <c r="K509" s="1" t="s">
        <v>1908</v>
      </c>
    </row>
    <row r="510" spans="1:49" x14ac:dyDescent="0.15">
      <c r="A510" s="1" t="s">
        <v>1827</v>
      </c>
      <c r="C510" s="1" t="s">
        <v>1909</v>
      </c>
      <c r="F510" s="1" t="s">
        <v>1910</v>
      </c>
      <c r="AW510" s="1" t="s">
        <v>0</v>
      </c>
    </row>
    <row r="511" spans="1:49" x14ac:dyDescent="0.15">
      <c r="A511" s="1" t="s">
        <v>1827</v>
      </c>
      <c r="C511" s="1" t="s">
        <v>1909</v>
      </c>
      <c r="K511" s="1" t="s">
        <v>1911</v>
      </c>
    </row>
    <row r="512" spans="1:49" x14ac:dyDescent="0.15">
      <c r="A512" s="1" t="s">
        <v>1827</v>
      </c>
      <c r="C512" s="2" t="s">
        <v>45</v>
      </c>
      <c r="F512" s="1" t="s">
        <v>1912</v>
      </c>
      <c r="AW512" s="1" t="s">
        <v>0</v>
      </c>
    </row>
    <row r="513" spans="1:49" x14ac:dyDescent="0.15">
      <c r="A513" s="1" t="s">
        <v>1827</v>
      </c>
      <c r="C513" s="1" t="s">
        <v>45</v>
      </c>
      <c r="E513" s="1" t="s">
        <v>1913</v>
      </c>
    </row>
    <row r="514" spans="1:49" x14ac:dyDescent="0.15">
      <c r="A514" s="1" t="s">
        <v>1827</v>
      </c>
      <c r="C514" s="1" t="s">
        <v>1914</v>
      </c>
      <c r="K514" s="1" t="s">
        <v>1915</v>
      </c>
    </row>
    <row r="515" spans="1:49" x14ac:dyDescent="0.15">
      <c r="A515" s="1" t="s">
        <v>1827</v>
      </c>
      <c r="C515" s="1" t="s">
        <v>1916</v>
      </c>
      <c r="AW515" s="1" t="s">
        <v>0</v>
      </c>
    </row>
    <row r="516" spans="1:49" x14ac:dyDescent="0.15">
      <c r="A516" s="1" t="s">
        <v>1827</v>
      </c>
      <c r="C516" s="2" t="s">
        <v>1917</v>
      </c>
      <c r="F516" s="1" t="s">
        <v>1918</v>
      </c>
      <c r="AW516" s="1" t="s">
        <v>0</v>
      </c>
    </row>
    <row r="517" spans="1:49" x14ac:dyDescent="0.15">
      <c r="A517" s="1" t="s">
        <v>1827</v>
      </c>
      <c r="C517" s="1" t="s">
        <v>1917</v>
      </c>
      <c r="K517" s="1" t="s">
        <v>1919</v>
      </c>
    </row>
    <row r="518" spans="1:49" x14ac:dyDescent="0.15">
      <c r="A518" s="1" t="s">
        <v>1827</v>
      </c>
      <c r="C518" s="1" t="s">
        <v>1920</v>
      </c>
      <c r="F518" s="1" t="s">
        <v>1921</v>
      </c>
      <c r="AW518" s="1" t="s">
        <v>0</v>
      </c>
    </row>
    <row r="519" spans="1:49" x14ac:dyDescent="0.15">
      <c r="A519" s="1" t="s">
        <v>1827</v>
      </c>
      <c r="C519" s="2" t="s">
        <v>1920</v>
      </c>
      <c r="K519" s="1" t="s">
        <v>1922</v>
      </c>
    </row>
    <row r="520" spans="1:49" x14ac:dyDescent="0.15">
      <c r="A520" s="1" t="s">
        <v>1827</v>
      </c>
      <c r="C520" s="2" t="s">
        <v>1923</v>
      </c>
      <c r="F520" s="1" t="s">
        <v>1924</v>
      </c>
      <c r="AW520" s="1" t="s">
        <v>0</v>
      </c>
    </row>
    <row r="521" spans="1:49" x14ac:dyDescent="0.15">
      <c r="A521" s="1" t="s">
        <v>1827</v>
      </c>
      <c r="C521" s="1" t="s">
        <v>1923</v>
      </c>
      <c r="K521" s="1" t="s">
        <v>1925</v>
      </c>
    </row>
    <row r="522" spans="1:49" x14ac:dyDescent="0.15">
      <c r="A522" s="1" t="s">
        <v>1827</v>
      </c>
      <c r="C522" s="1" t="s">
        <v>1926</v>
      </c>
      <c r="E522" s="1" t="s">
        <v>1927</v>
      </c>
    </row>
    <row r="523" spans="1:49" x14ac:dyDescent="0.15">
      <c r="A523" s="1" t="s">
        <v>1827</v>
      </c>
      <c r="C523" s="1" t="s">
        <v>1928</v>
      </c>
      <c r="F523" s="1" t="s">
        <v>1929</v>
      </c>
      <c r="AW523" s="1" t="s">
        <v>0</v>
      </c>
    </row>
    <row r="524" spans="1:49" x14ac:dyDescent="0.15">
      <c r="A524" s="1" t="s">
        <v>1827</v>
      </c>
      <c r="C524" s="1" t="s">
        <v>1928</v>
      </c>
      <c r="K524" s="1" t="s">
        <v>1930</v>
      </c>
    </row>
    <row r="525" spans="1:49" x14ac:dyDescent="0.15">
      <c r="A525" s="1" t="s">
        <v>1827</v>
      </c>
      <c r="C525" s="1" t="s">
        <v>1931</v>
      </c>
      <c r="F525" s="1" t="s">
        <v>1932</v>
      </c>
      <c r="AW525" s="1" t="s">
        <v>1881</v>
      </c>
    </row>
    <row r="526" spans="1:49" x14ac:dyDescent="0.15">
      <c r="A526" s="1" t="s">
        <v>1827</v>
      </c>
      <c r="C526" s="1" t="s">
        <v>1933</v>
      </c>
      <c r="K526" s="1" t="s">
        <v>1934</v>
      </c>
    </row>
    <row r="527" spans="1:49" x14ac:dyDescent="0.15">
      <c r="A527" s="1" t="s">
        <v>1827</v>
      </c>
      <c r="C527" s="1" t="s">
        <v>1943</v>
      </c>
      <c r="F527" s="1" t="s">
        <v>1944</v>
      </c>
      <c r="K527" s="1" t="s">
        <v>1945</v>
      </c>
      <c r="N527" s="1" t="s">
        <v>148</v>
      </c>
      <c r="O527" s="1" t="s">
        <v>149</v>
      </c>
      <c r="R527" s="1" t="s">
        <v>1945</v>
      </c>
      <c r="S527" s="1"/>
      <c r="T527" s="1"/>
      <c r="W527" s="1"/>
      <c r="X527" s="1" t="s">
        <v>1946</v>
      </c>
      <c r="AD527" s="1" t="s">
        <v>1947</v>
      </c>
      <c r="AW527" s="1" t="s">
        <v>1881</v>
      </c>
    </row>
    <row r="528" spans="1:49" x14ac:dyDescent="0.15">
      <c r="A528" s="1" t="s">
        <v>1827</v>
      </c>
      <c r="C528" s="1" t="s">
        <v>1943</v>
      </c>
      <c r="K528" s="1" t="s">
        <v>1948</v>
      </c>
    </row>
    <row r="529" spans="1:49" x14ac:dyDescent="0.15">
      <c r="A529" s="1" t="s">
        <v>1827</v>
      </c>
      <c r="C529" s="1" t="s">
        <v>1949</v>
      </c>
      <c r="F529" s="1" t="s">
        <v>1950</v>
      </c>
      <c r="AW529" s="1" t="s">
        <v>0</v>
      </c>
    </row>
    <row r="530" spans="1:49" x14ac:dyDescent="0.15">
      <c r="A530" s="1" t="s">
        <v>1827</v>
      </c>
      <c r="C530" s="1" t="s">
        <v>1981</v>
      </c>
      <c r="K530" s="1" t="s">
        <v>1982</v>
      </c>
    </row>
    <row r="531" spans="1:49" x14ac:dyDescent="0.15">
      <c r="A531" s="1" t="s">
        <v>1827</v>
      </c>
      <c r="C531" s="1" t="s">
        <v>1983</v>
      </c>
      <c r="K531" s="1" t="s">
        <v>1984</v>
      </c>
    </row>
    <row r="532" spans="1:49" x14ac:dyDescent="0.15">
      <c r="A532" s="1" t="s">
        <v>1827</v>
      </c>
      <c r="C532" s="1" t="s">
        <v>2007</v>
      </c>
      <c r="F532" s="1" t="s">
        <v>2008</v>
      </c>
      <c r="AW532" s="1" t="s">
        <v>2009</v>
      </c>
    </row>
    <row r="533" spans="1:49" x14ac:dyDescent="0.15">
      <c r="A533" s="1" t="s">
        <v>2012</v>
      </c>
      <c r="C533" s="2" t="s">
        <v>2013</v>
      </c>
      <c r="F533" s="1" t="s">
        <v>2014</v>
      </c>
      <c r="AW533" s="1" t="s">
        <v>155</v>
      </c>
    </row>
    <row r="534" spans="1:49" x14ac:dyDescent="0.15">
      <c r="A534" s="1" t="s">
        <v>2012</v>
      </c>
      <c r="C534" s="2" t="s">
        <v>2015</v>
      </c>
      <c r="F534" s="1" t="s">
        <v>2016</v>
      </c>
      <c r="AW534" s="1" t="s">
        <v>155</v>
      </c>
    </row>
    <row r="535" spans="1:49" x14ac:dyDescent="0.15">
      <c r="A535" s="1" t="s">
        <v>2012</v>
      </c>
      <c r="C535" s="2" t="s">
        <v>2017</v>
      </c>
      <c r="F535" s="1" t="s">
        <v>2018</v>
      </c>
      <c r="AW535" s="1" t="s">
        <v>155</v>
      </c>
    </row>
    <row r="536" spans="1:49" x14ac:dyDescent="0.15">
      <c r="A536" s="1" t="s">
        <v>2012</v>
      </c>
      <c r="C536" s="1" t="s">
        <v>2019</v>
      </c>
      <c r="F536" s="1" t="s">
        <v>2020</v>
      </c>
      <c r="AW536" s="1" t="s">
        <v>155</v>
      </c>
    </row>
    <row r="537" spans="1:49" x14ac:dyDescent="0.15">
      <c r="A537" s="1" t="s">
        <v>2012</v>
      </c>
      <c r="C537" s="1" t="s">
        <v>2021</v>
      </c>
      <c r="F537" s="1" t="s">
        <v>2022</v>
      </c>
      <c r="AW537" s="1" t="s">
        <v>155</v>
      </c>
    </row>
    <row r="538" spans="1:49" x14ac:dyDescent="0.15">
      <c r="A538" s="1" t="s">
        <v>2012</v>
      </c>
      <c r="C538" s="2" t="s">
        <v>2023</v>
      </c>
      <c r="F538" s="1" t="s">
        <v>2024</v>
      </c>
      <c r="AW538" s="1" t="s">
        <v>155</v>
      </c>
    </row>
    <row r="539" spans="1:49" x14ac:dyDescent="0.15">
      <c r="A539" s="1" t="s">
        <v>2012</v>
      </c>
      <c r="C539" s="2" t="s">
        <v>2025</v>
      </c>
      <c r="F539" s="1" t="s">
        <v>2026</v>
      </c>
      <c r="AW539" s="1" t="s">
        <v>155</v>
      </c>
    </row>
    <row r="540" spans="1:49" x14ac:dyDescent="0.15">
      <c r="A540" s="1" t="s">
        <v>2012</v>
      </c>
      <c r="C540" s="1" t="s">
        <v>2027</v>
      </c>
      <c r="F540" s="1" t="s">
        <v>2028</v>
      </c>
      <c r="AW540" s="1" t="s">
        <v>155</v>
      </c>
    </row>
    <row r="541" spans="1:49" x14ac:dyDescent="0.15">
      <c r="A541" s="1" t="s">
        <v>2012</v>
      </c>
      <c r="C541" s="1" t="s">
        <v>2029</v>
      </c>
      <c r="F541" s="1" t="s">
        <v>2030</v>
      </c>
      <c r="AW541" s="1" t="s">
        <v>155</v>
      </c>
    </row>
    <row r="542" spans="1:49" x14ac:dyDescent="0.15">
      <c r="A542" s="1" t="s">
        <v>2012</v>
      </c>
      <c r="C542" s="1" t="s">
        <v>2031</v>
      </c>
      <c r="F542" s="1" t="s">
        <v>2032</v>
      </c>
      <c r="AW542" s="1" t="s">
        <v>155</v>
      </c>
    </row>
    <row r="543" spans="1:49" x14ac:dyDescent="0.15">
      <c r="A543" s="1" t="s">
        <v>2012</v>
      </c>
      <c r="C543" s="1" t="s">
        <v>2033</v>
      </c>
      <c r="F543" s="1" t="s">
        <v>2034</v>
      </c>
      <c r="AW543" s="1" t="s">
        <v>155</v>
      </c>
    </row>
    <row r="544" spans="1:49" x14ac:dyDescent="0.15">
      <c r="A544" s="1" t="s">
        <v>2012</v>
      </c>
      <c r="C544" s="2" t="s">
        <v>2035</v>
      </c>
      <c r="F544" s="1" t="s">
        <v>2036</v>
      </c>
      <c r="AW544" s="1" t="s">
        <v>155</v>
      </c>
    </row>
    <row r="545" spans="1:49" x14ac:dyDescent="0.15">
      <c r="A545" s="1" t="s">
        <v>2012</v>
      </c>
      <c r="C545" s="1" t="s">
        <v>2035</v>
      </c>
      <c r="K545" s="1" t="s">
        <v>2037</v>
      </c>
    </row>
    <row r="546" spans="1:49" x14ac:dyDescent="0.15">
      <c r="A546" s="1" t="s">
        <v>2012</v>
      </c>
      <c r="C546" s="2" t="s">
        <v>2038</v>
      </c>
      <c r="F546" s="1" t="s">
        <v>2039</v>
      </c>
      <c r="AW546" s="1" t="s">
        <v>155</v>
      </c>
    </row>
    <row r="547" spans="1:49" x14ac:dyDescent="0.15">
      <c r="A547" s="1" t="s">
        <v>2012</v>
      </c>
      <c r="C547" s="1" t="s">
        <v>2038</v>
      </c>
      <c r="E547" s="1" t="s">
        <v>2040</v>
      </c>
    </row>
    <row r="548" spans="1:49" x14ac:dyDescent="0.15">
      <c r="A548" s="1" t="s">
        <v>2012</v>
      </c>
      <c r="C548" s="1" t="s">
        <v>2041</v>
      </c>
      <c r="F548" s="1" t="s">
        <v>2042</v>
      </c>
      <c r="AW548" s="1" t="s">
        <v>155</v>
      </c>
    </row>
    <row r="549" spans="1:49" x14ac:dyDescent="0.15">
      <c r="A549" s="1" t="s">
        <v>2012</v>
      </c>
      <c r="C549" s="2" t="s">
        <v>2043</v>
      </c>
      <c r="F549" s="1" t="s">
        <v>2044</v>
      </c>
      <c r="AW549" s="1" t="s">
        <v>155</v>
      </c>
    </row>
    <row r="550" spans="1:49" x14ac:dyDescent="0.15">
      <c r="A550" s="1" t="s">
        <v>2012</v>
      </c>
      <c r="C550" s="1" t="s">
        <v>2045</v>
      </c>
      <c r="F550" s="1" t="s">
        <v>2046</v>
      </c>
      <c r="AW550" s="1" t="s">
        <v>155</v>
      </c>
    </row>
    <row r="551" spans="1:49" x14ac:dyDescent="0.15">
      <c r="A551" s="1" t="s">
        <v>2012</v>
      </c>
      <c r="C551" s="1" t="s">
        <v>2047</v>
      </c>
      <c r="F551" s="1" t="s">
        <v>2048</v>
      </c>
      <c r="AW551" s="1" t="s">
        <v>155</v>
      </c>
    </row>
    <row r="552" spans="1:49" x14ac:dyDescent="0.15">
      <c r="A552" s="1" t="s">
        <v>2012</v>
      </c>
      <c r="C552" s="1" t="s">
        <v>2049</v>
      </c>
      <c r="F552" s="1" t="s">
        <v>2050</v>
      </c>
      <c r="AW552" s="1" t="s">
        <v>155</v>
      </c>
    </row>
    <row r="553" spans="1:49" x14ac:dyDescent="0.15">
      <c r="A553" s="1" t="s">
        <v>2012</v>
      </c>
      <c r="C553" s="1" t="s">
        <v>2051</v>
      </c>
      <c r="F553" s="1" t="s">
        <v>2052</v>
      </c>
      <c r="AW553" s="1" t="s">
        <v>155</v>
      </c>
    </row>
    <row r="554" spans="1:49" x14ac:dyDescent="0.15">
      <c r="A554" s="1" t="s">
        <v>2012</v>
      </c>
      <c r="C554" s="1" t="s">
        <v>2053</v>
      </c>
      <c r="F554" s="1" t="s">
        <v>2054</v>
      </c>
      <c r="AW554" s="1" t="s">
        <v>155</v>
      </c>
    </row>
    <row r="555" spans="1:49" x14ac:dyDescent="0.15">
      <c r="A555" s="1" t="s">
        <v>2012</v>
      </c>
      <c r="C555" s="2" t="s">
        <v>2055</v>
      </c>
      <c r="F555" s="1" t="s">
        <v>2056</v>
      </c>
      <c r="AW555" s="1" t="s">
        <v>155</v>
      </c>
    </row>
    <row r="556" spans="1:49" x14ac:dyDescent="0.15">
      <c r="A556" s="1" t="s">
        <v>2012</v>
      </c>
      <c r="C556" s="2" t="s">
        <v>2057</v>
      </c>
      <c r="F556" s="1" t="s">
        <v>2058</v>
      </c>
      <c r="AW556" s="1" t="s">
        <v>155</v>
      </c>
    </row>
    <row r="557" spans="1:49" x14ac:dyDescent="0.15">
      <c r="A557" s="1" t="s">
        <v>2012</v>
      </c>
      <c r="C557" s="1" t="s">
        <v>2059</v>
      </c>
      <c r="F557" s="1" t="s">
        <v>2060</v>
      </c>
      <c r="AW557" s="1" t="s">
        <v>155</v>
      </c>
    </row>
    <row r="558" spans="1:49" x14ac:dyDescent="0.15">
      <c r="A558" s="1" t="s">
        <v>2012</v>
      </c>
      <c r="C558" s="1" t="s">
        <v>2061</v>
      </c>
      <c r="F558" s="1" t="s">
        <v>2062</v>
      </c>
      <c r="AW558" s="1" t="s">
        <v>155</v>
      </c>
    </row>
    <row r="559" spans="1:49" x14ac:dyDescent="0.15">
      <c r="A559" s="1" t="s">
        <v>2012</v>
      </c>
      <c r="C559" s="2" t="s">
        <v>2063</v>
      </c>
      <c r="F559" s="1" t="s">
        <v>2064</v>
      </c>
      <c r="AW559" s="1" t="s">
        <v>155</v>
      </c>
    </row>
    <row r="560" spans="1:49" x14ac:dyDescent="0.15">
      <c r="A560" s="1" t="s">
        <v>2012</v>
      </c>
      <c r="C560" s="1" t="s">
        <v>2065</v>
      </c>
      <c r="F560" s="1" t="s">
        <v>2066</v>
      </c>
      <c r="AW560" s="1" t="s">
        <v>155</v>
      </c>
    </row>
    <row r="561" spans="1:49" x14ac:dyDescent="0.15">
      <c r="A561" s="1" t="s">
        <v>2012</v>
      </c>
      <c r="C561" s="2" t="s">
        <v>2065</v>
      </c>
      <c r="K561" s="1" t="s">
        <v>2067</v>
      </c>
    </row>
    <row r="562" spans="1:49" x14ac:dyDescent="0.15">
      <c r="A562" s="1" t="s">
        <v>2012</v>
      </c>
      <c r="C562" s="1" t="s">
        <v>2068</v>
      </c>
      <c r="F562" s="1" t="s">
        <v>2069</v>
      </c>
      <c r="AW562" s="1" t="s">
        <v>155</v>
      </c>
    </row>
    <row r="563" spans="1:49" x14ac:dyDescent="0.15">
      <c r="A563" s="1" t="s">
        <v>2012</v>
      </c>
      <c r="C563" s="1" t="s">
        <v>2070</v>
      </c>
      <c r="F563" s="1" t="s">
        <v>2071</v>
      </c>
      <c r="AW563" s="1" t="s">
        <v>155</v>
      </c>
    </row>
    <row r="564" spans="1:49" x14ac:dyDescent="0.15">
      <c r="A564" s="1" t="s">
        <v>2012</v>
      </c>
      <c r="C564" s="1" t="s">
        <v>2072</v>
      </c>
      <c r="F564" s="1" t="s">
        <v>2073</v>
      </c>
      <c r="AW564" s="1" t="s">
        <v>155</v>
      </c>
    </row>
    <row r="565" spans="1:49" x14ac:dyDescent="0.15">
      <c r="A565" s="1" t="s">
        <v>2012</v>
      </c>
      <c r="C565" s="2" t="s">
        <v>2074</v>
      </c>
      <c r="F565" s="1" t="s">
        <v>2075</v>
      </c>
      <c r="AW565" s="1" t="s">
        <v>155</v>
      </c>
    </row>
    <row r="566" spans="1:49" x14ac:dyDescent="0.15">
      <c r="A566" s="1" t="s">
        <v>2012</v>
      </c>
      <c r="C566" s="1" t="s">
        <v>2076</v>
      </c>
      <c r="F566" s="1" t="s">
        <v>2077</v>
      </c>
      <c r="AW566" s="1" t="s">
        <v>0</v>
      </c>
    </row>
    <row r="567" spans="1:49" x14ac:dyDescent="0.15">
      <c r="A567" s="1" t="s">
        <v>2012</v>
      </c>
      <c r="C567" s="1" t="s">
        <v>2078</v>
      </c>
      <c r="F567" s="1" t="s">
        <v>2079</v>
      </c>
      <c r="AW567" s="1" t="s">
        <v>0</v>
      </c>
    </row>
    <row r="568" spans="1:49" x14ac:dyDescent="0.15">
      <c r="A568" s="1" t="s">
        <v>2012</v>
      </c>
      <c r="C568" s="2" t="s">
        <v>2078</v>
      </c>
      <c r="K568" s="1" t="s">
        <v>2080</v>
      </c>
    </row>
    <row r="569" spans="1:49" x14ac:dyDescent="0.15">
      <c r="A569" s="1" t="s">
        <v>2012</v>
      </c>
      <c r="C569" s="1" t="s">
        <v>2081</v>
      </c>
      <c r="F569" s="1" t="s">
        <v>2082</v>
      </c>
      <c r="AW569" s="1" t="s">
        <v>0</v>
      </c>
    </row>
    <row r="570" spans="1:49" x14ac:dyDescent="0.15">
      <c r="A570" s="1" t="s">
        <v>2012</v>
      </c>
      <c r="C570" s="1" t="s">
        <v>2083</v>
      </c>
      <c r="F570" s="1" t="s">
        <v>2084</v>
      </c>
      <c r="AW570" s="1" t="s">
        <v>0</v>
      </c>
    </row>
    <row r="571" spans="1:49" x14ac:dyDescent="0.15">
      <c r="A571" s="1" t="s">
        <v>2012</v>
      </c>
      <c r="C571" s="1" t="s">
        <v>2083</v>
      </c>
      <c r="E571" s="1" t="s">
        <v>2085</v>
      </c>
    </row>
    <row r="572" spans="1:49" x14ac:dyDescent="0.15">
      <c r="A572" s="1" t="s">
        <v>2012</v>
      </c>
      <c r="C572" s="1" t="s">
        <v>2086</v>
      </c>
      <c r="F572" s="1" t="s">
        <v>2087</v>
      </c>
      <c r="AW572" s="1" t="s">
        <v>0</v>
      </c>
    </row>
    <row r="573" spans="1:49" x14ac:dyDescent="0.15">
      <c r="A573" s="1" t="s">
        <v>2012</v>
      </c>
      <c r="C573" s="2" t="s">
        <v>2088</v>
      </c>
      <c r="F573" s="1" t="s">
        <v>2089</v>
      </c>
      <c r="AW573" s="1" t="s">
        <v>0</v>
      </c>
    </row>
    <row r="574" spans="1:49" x14ac:dyDescent="0.15">
      <c r="A574" s="1" t="s">
        <v>2012</v>
      </c>
      <c r="C574" s="2" t="s">
        <v>3</v>
      </c>
      <c r="K574" s="1" t="s">
        <v>2090</v>
      </c>
    </row>
    <row r="575" spans="1:49" x14ac:dyDescent="0.15">
      <c r="A575" s="1" t="s">
        <v>2012</v>
      </c>
      <c r="C575" s="1" t="s">
        <v>2091</v>
      </c>
      <c r="F575" s="1" t="s">
        <v>2092</v>
      </c>
      <c r="AW575" s="1" t="s">
        <v>0</v>
      </c>
    </row>
    <row r="576" spans="1:49" x14ac:dyDescent="0.15">
      <c r="A576" s="1" t="s">
        <v>2012</v>
      </c>
      <c r="C576" s="2" t="s">
        <v>2093</v>
      </c>
      <c r="F576" s="1" t="s">
        <v>2094</v>
      </c>
      <c r="AW576" s="1" t="s">
        <v>0</v>
      </c>
    </row>
    <row r="577" spans="1:49" x14ac:dyDescent="0.15">
      <c r="A577" s="1" t="s">
        <v>2012</v>
      </c>
      <c r="C577" s="1" t="s">
        <v>2093</v>
      </c>
      <c r="K577" s="1" t="s">
        <v>2095</v>
      </c>
    </row>
    <row r="578" spans="1:49" x14ac:dyDescent="0.15">
      <c r="A578" s="1" t="s">
        <v>2012</v>
      </c>
      <c r="C578" s="1" t="s">
        <v>2096</v>
      </c>
      <c r="F578" s="1" t="s">
        <v>2097</v>
      </c>
      <c r="AW578" s="1" t="s">
        <v>0</v>
      </c>
    </row>
    <row r="579" spans="1:49" x14ac:dyDescent="0.15">
      <c r="A579" s="1" t="s">
        <v>2012</v>
      </c>
      <c r="C579" s="1" t="s">
        <v>2098</v>
      </c>
      <c r="F579" s="1" t="s">
        <v>2099</v>
      </c>
      <c r="AW579" s="1" t="s">
        <v>80</v>
      </c>
    </row>
    <row r="580" spans="1:49" x14ac:dyDescent="0.15">
      <c r="A580" s="1" t="s">
        <v>2012</v>
      </c>
      <c r="C580" s="1" t="s">
        <v>2100</v>
      </c>
      <c r="F580" s="1" t="s">
        <v>2101</v>
      </c>
      <c r="AW580" s="1" t="s">
        <v>0</v>
      </c>
    </row>
    <row r="581" spans="1:49" x14ac:dyDescent="0.15">
      <c r="A581" s="1" t="s">
        <v>2012</v>
      </c>
      <c r="C581" s="2" t="s">
        <v>2102</v>
      </c>
      <c r="F581" s="1" t="s">
        <v>2103</v>
      </c>
      <c r="AW581" s="1" t="s">
        <v>0</v>
      </c>
    </row>
    <row r="582" spans="1:49" x14ac:dyDescent="0.15">
      <c r="A582" s="1" t="s">
        <v>2012</v>
      </c>
      <c r="C582" s="2" t="s">
        <v>2104</v>
      </c>
      <c r="F582" s="1" t="s">
        <v>2105</v>
      </c>
      <c r="AW582" s="1" t="s">
        <v>0</v>
      </c>
    </row>
    <row r="583" spans="1:49" x14ac:dyDescent="0.15">
      <c r="A583" s="1" t="s">
        <v>2012</v>
      </c>
      <c r="C583" s="1" t="s">
        <v>2104</v>
      </c>
      <c r="K583" s="1" t="s">
        <v>2106</v>
      </c>
    </row>
    <row r="584" spans="1:49" x14ac:dyDescent="0.15">
      <c r="A584" s="1" t="s">
        <v>2012</v>
      </c>
      <c r="C584" s="1" t="s">
        <v>2107</v>
      </c>
      <c r="F584" s="1" t="s">
        <v>2108</v>
      </c>
      <c r="AW584" s="1" t="s">
        <v>0</v>
      </c>
    </row>
    <row r="585" spans="1:49" x14ac:dyDescent="0.15">
      <c r="A585" s="1" t="s">
        <v>2012</v>
      </c>
      <c r="C585" s="2" t="s">
        <v>2107</v>
      </c>
      <c r="E585" s="1" t="s">
        <v>2109</v>
      </c>
    </row>
    <row r="586" spans="1:49" x14ac:dyDescent="0.15">
      <c r="A586" s="1" t="s">
        <v>2012</v>
      </c>
      <c r="C586" s="1" t="s">
        <v>2110</v>
      </c>
      <c r="E586" s="1" t="s">
        <v>2111</v>
      </c>
    </row>
    <row r="587" spans="1:49" x14ac:dyDescent="0.15">
      <c r="A587" s="1" t="s">
        <v>2012</v>
      </c>
      <c r="C587" s="2" t="s">
        <v>2112</v>
      </c>
      <c r="F587" s="1" t="s">
        <v>2113</v>
      </c>
      <c r="AW587" s="1" t="s">
        <v>0</v>
      </c>
    </row>
    <row r="588" spans="1:49" x14ac:dyDescent="0.15">
      <c r="A588" s="1" t="s">
        <v>2012</v>
      </c>
      <c r="C588" s="2" t="s">
        <v>2114</v>
      </c>
      <c r="F588" s="1" t="s">
        <v>2115</v>
      </c>
      <c r="AW588" s="1" t="s">
        <v>0</v>
      </c>
    </row>
    <row r="589" spans="1:49" x14ac:dyDescent="0.15">
      <c r="A589" s="1" t="s">
        <v>2012</v>
      </c>
      <c r="C589" s="1" t="s">
        <v>2116</v>
      </c>
      <c r="F589" s="1" t="s">
        <v>2117</v>
      </c>
      <c r="AW589" s="1" t="s">
        <v>0</v>
      </c>
    </row>
    <row r="590" spans="1:49" x14ac:dyDescent="0.15">
      <c r="A590" s="1" t="s">
        <v>2012</v>
      </c>
      <c r="C590" s="1" t="s">
        <v>2118</v>
      </c>
      <c r="F590" s="1" t="s">
        <v>2119</v>
      </c>
      <c r="AW590" s="1" t="s">
        <v>0</v>
      </c>
    </row>
    <row r="591" spans="1:49" x14ac:dyDescent="0.15">
      <c r="A591" s="1" t="s">
        <v>2012</v>
      </c>
      <c r="C591" s="2" t="s">
        <v>2120</v>
      </c>
      <c r="F591" s="1" t="s">
        <v>2121</v>
      </c>
      <c r="AW591" s="1" t="s">
        <v>0</v>
      </c>
    </row>
    <row r="592" spans="1:49" x14ac:dyDescent="0.15">
      <c r="A592" s="1" t="s">
        <v>2012</v>
      </c>
      <c r="C592" s="1" t="s">
        <v>2122</v>
      </c>
      <c r="F592" s="1" t="s">
        <v>2123</v>
      </c>
      <c r="AW592" s="1" t="s">
        <v>0</v>
      </c>
    </row>
    <row r="593" spans="1:49" x14ac:dyDescent="0.15">
      <c r="A593" s="1" t="s">
        <v>2012</v>
      </c>
      <c r="C593" s="1" t="s">
        <v>2122</v>
      </c>
      <c r="E593" s="1" t="s">
        <v>2124</v>
      </c>
    </row>
    <row r="594" spans="1:49" x14ac:dyDescent="0.15">
      <c r="A594" s="1" t="s">
        <v>2012</v>
      </c>
      <c r="C594" s="1" t="s">
        <v>2125</v>
      </c>
      <c r="F594" s="1" t="s">
        <v>2126</v>
      </c>
      <c r="AW594" s="1" t="s">
        <v>0</v>
      </c>
    </row>
    <row r="595" spans="1:49" x14ac:dyDescent="0.15">
      <c r="A595" s="1" t="s">
        <v>2012</v>
      </c>
      <c r="C595" s="2" t="s">
        <v>2127</v>
      </c>
      <c r="F595" s="1" t="s">
        <v>2128</v>
      </c>
      <c r="AW595" s="1" t="s">
        <v>0</v>
      </c>
    </row>
    <row r="596" spans="1:49" x14ac:dyDescent="0.15">
      <c r="A596" s="1" t="s">
        <v>2012</v>
      </c>
      <c r="C596" s="1" t="s">
        <v>2127</v>
      </c>
      <c r="K596" s="1" t="s">
        <v>2129</v>
      </c>
    </row>
    <row r="597" spans="1:49" x14ac:dyDescent="0.15">
      <c r="A597" s="1" t="s">
        <v>2012</v>
      </c>
      <c r="C597" s="1" t="s">
        <v>2127</v>
      </c>
      <c r="E597" s="1" t="s">
        <v>2130</v>
      </c>
    </row>
    <row r="598" spans="1:49" x14ac:dyDescent="0.15">
      <c r="A598" s="1" t="s">
        <v>2012</v>
      </c>
      <c r="C598" s="1" t="s">
        <v>2131</v>
      </c>
      <c r="K598" s="1" t="s">
        <v>2132</v>
      </c>
    </row>
    <row r="599" spans="1:49" x14ac:dyDescent="0.15">
      <c r="A599" s="1" t="s">
        <v>2012</v>
      </c>
      <c r="C599" s="1" t="s">
        <v>2133</v>
      </c>
      <c r="F599" s="1" t="s">
        <v>2134</v>
      </c>
      <c r="AW599" s="1" t="s">
        <v>0</v>
      </c>
    </row>
    <row r="600" spans="1:49" x14ac:dyDescent="0.15">
      <c r="A600" s="1" t="s">
        <v>2012</v>
      </c>
      <c r="C600" s="2" t="s">
        <v>2135</v>
      </c>
      <c r="F600" s="1" t="s">
        <v>2136</v>
      </c>
      <c r="AW600" s="1" t="s">
        <v>0</v>
      </c>
    </row>
    <row r="601" spans="1:49" x14ac:dyDescent="0.15">
      <c r="A601" s="1" t="s">
        <v>2012</v>
      </c>
      <c r="C601" s="2" t="s">
        <v>2137</v>
      </c>
      <c r="F601" s="1" t="s">
        <v>2138</v>
      </c>
      <c r="AW601" s="1" t="s">
        <v>0</v>
      </c>
    </row>
    <row r="602" spans="1:49" x14ac:dyDescent="0.15">
      <c r="A602" s="1" t="s">
        <v>2012</v>
      </c>
      <c r="C602" s="2" t="s">
        <v>2139</v>
      </c>
      <c r="F602" s="1" t="s">
        <v>2140</v>
      </c>
      <c r="AW602" s="1" t="s">
        <v>0</v>
      </c>
    </row>
    <row r="603" spans="1:49" x14ac:dyDescent="0.15">
      <c r="A603" s="1" t="s">
        <v>2012</v>
      </c>
      <c r="C603" s="1" t="s">
        <v>2139</v>
      </c>
      <c r="E603" s="1" t="s">
        <v>2141</v>
      </c>
    </row>
    <row r="604" spans="1:49" x14ac:dyDescent="0.15">
      <c r="A604" s="1" t="s">
        <v>2012</v>
      </c>
      <c r="C604" s="1" t="s">
        <v>2142</v>
      </c>
      <c r="F604" s="1" t="s">
        <v>2143</v>
      </c>
      <c r="AW604" s="1" t="s">
        <v>0</v>
      </c>
    </row>
    <row r="605" spans="1:49" x14ac:dyDescent="0.15">
      <c r="A605" s="1" t="s">
        <v>2012</v>
      </c>
      <c r="C605" s="2" t="s">
        <v>2144</v>
      </c>
      <c r="F605" s="1" t="s">
        <v>2145</v>
      </c>
      <c r="AW605" s="1" t="s">
        <v>0</v>
      </c>
    </row>
    <row r="606" spans="1:49" x14ac:dyDescent="0.15">
      <c r="A606" s="1" t="s">
        <v>2012</v>
      </c>
      <c r="C606" s="2" t="s">
        <v>2146</v>
      </c>
      <c r="F606" s="1" t="s">
        <v>2147</v>
      </c>
      <c r="AW606" s="1" t="s">
        <v>0</v>
      </c>
    </row>
    <row r="607" spans="1:49" x14ac:dyDescent="0.15">
      <c r="A607" s="1" t="s">
        <v>2012</v>
      </c>
      <c r="C607" s="1" t="s">
        <v>2146</v>
      </c>
      <c r="E607" s="1" t="s">
        <v>2148</v>
      </c>
    </row>
    <row r="608" spans="1:49" x14ac:dyDescent="0.15">
      <c r="A608" s="1" t="s">
        <v>2012</v>
      </c>
      <c r="C608" s="2" t="s">
        <v>2149</v>
      </c>
      <c r="F608" s="1" t="s">
        <v>2150</v>
      </c>
      <c r="AW608" s="1" t="s">
        <v>0</v>
      </c>
    </row>
    <row r="609" spans="1:49" x14ac:dyDescent="0.15">
      <c r="A609" s="1" t="s">
        <v>2012</v>
      </c>
      <c r="C609" s="1" t="s">
        <v>2149</v>
      </c>
      <c r="E609" s="1" t="s">
        <v>2151</v>
      </c>
    </row>
    <row r="610" spans="1:49" x14ac:dyDescent="0.15">
      <c r="A610" s="1" t="s">
        <v>2012</v>
      </c>
      <c r="C610" s="1" t="s">
        <v>2152</v>
      </c>
      <c r="F610" s="1" t="s">
        <v>2153</v>
      </c>
      <c r="AW610" s="1" t="s">
        <v>0</v>
      </c>
    </row>
    <row r="611" spans="1:49" x14ac:dyDescent="0.15">
      <c r="A611" s="1" t="s">
        <v>2012</v>
      </c>
      <c r="C611" s="1" t="s">
        <v>2154</v>
      </c>
      <c r="F611" s="1" t="s">
        <v>2155</v>
      </c>
      <c r="AW611" s="1" t="s">
        <v>0</v>
      </c>
    </row>
    <row r="612" spans="1:49" x14ac:dyDescent="0.15">
      <c r="A612" s="1" t="s">
        <v>2012</v>
      </c>
      <c r="C612" s="1" t="s">
        <v>2156</v>
      </c>
      <c r="F612" s="1" t="s">
        <v>2157</v>
      </c>
      <c r="AW612" s="1" t="s">
        <v>0</v>
      </c>
    </row>
    <row r="613" spans="1:49" x14ac:dyDescent="0.15">
      <c r="A613" s="1" t="s">
        <v>2012</v>
      </c>
      <c r="C613" s="2" t="s">
        <v>2158</v>
      </c>
      <c r="F613" s="1" t="s">
        <v>2159</v>
      </c>
      <c r="AW613" s="1" t="s">
        <v>0</v>
      </c>
    </row>
    <row r="614" spans="1:49" x14ac:dyDescent="0.15">
      <c r="A614" s="1" t="s">
        <v>2012</v>
      </c>
      <c r="C614" s="1" t="s">
        <v>2158</v>
      </c>
      <c r="K614" s="1" t="s">
        <v>2160</v>
      </c>
    </row>
    <row r="615" spans="1:49" x14ac:dyDescent="0.15">
      <c r="A615" s="1" t="s">
        <v>2012</v>
      </c>
      <c r="C615" s="2" t="s">
        <v>2161</v>
      </c>
      <c r="F615" s="1" t="s">
        <v>2162</v>
      </c>
      <c r="AW615" s="1" t="s">
        <v>0</v>
      </c>
    </row>
    <row r="616" spans="1:49" x14ac:dyDescent="0.15">
      <c r="A616" s="1" t="s">
        <v>2012</v>
      </c>
      <c r="C616" s="2" t="s">
        <v>2163</v>
      </c>
      <c r="F616" s="1" t="s">
        <v>2164</v>
      </c>
      <c r="AW616" s="1" t="s">
        <v>0</v>
      </c>
    </row>
    <row r="617" spans="1:49" x14ac:dyDescent="0.15">
      <c r="A617" s="1" t="s">
        <v>2012</v>
      </c>
      <c r="C617" s="1" t="s">
        <v>2165</v>
      </c>
      <c r="F617" s="1" t="s">
        <v>2166</v>
      </c>
      <c r="AW617" s="1" t="s">
        <v>0</v>
      </c>
    </row>
    <row r="618" spans="1:49" x14ac:dyDescent="0.15">
      <c r="A618" s="1" t="s">
        <v>2012</v>
      </c>
      <c r="C618" s="2" t="s">
        <v>2167</v>
      </c>
      <c r="F618" s="1" t="s">
        <v>2168</v>
      </c>
      <c r="AW618" s="1" t="s">
        <v>0</v>
      </c>
    </row>
    <row r="619" spans="1:49" x14ac:dyDescent="0.15">
      <c r="A619" s="1" t="s">
        <v>2012</v>
      </c>
      <c r="C619" s="1" t="s">
        <v>2169</v>
      </c>
      <c r="F619" s="1" t="s">
        <v>2170</v>
      </c>
      <c r="AW619" s="1" t="s">
        <v>0</v>
      </c>
    </row>
    <row r="620" spans="1:49" x14ac:dyDescent="0.15">
      <c r="A620" s="1" t="s">
        <v>2012</v>
      </c>
      <c r="C620" s="1" t="s">
        <v>2171</v>
      </c>
      <c r="F620" s="1" t="s">
        <v>2172</v>
      </c>
      <c r="AW620" s="1" t="s">
        <v>0</v>
      </c>
    </row>
    <row r="621" spans="1:49" x14ac:dyDescent="0.15">
      <c r="A621" s="1" t="s">
        <v>2012</v>
      </c>
      <c r="C621" s="2" t="s">
        <v>2173</v>
      </c>
      <c r="F621" s="1" t="s">
        <v>2174</v>
      </c>
      <c r="AW621" s="1" t="s">
        <v>0</v>
      </c>
    </row>
    <row r="622" spans="1:49" x14ac:dyDescent="0.15">
      <c r="A622" s="1" t="s">
        <v>2012</v>
      </c>
      <c r="C622" s="1" t="s">
        <v>2173</v>
      </c>
      <c r="E622" s="1" t="s">
        <v>2175</v>
      </c>
    </row>
    <row r="623" spans="1:49" x14ac:dyDescent="0.15">
      <c r="A623" s="1" t="s">
        <v>2012</v>
      </c>
      <c r="C623" s="2" t="s">
        <v>2176</v>
      </c>
      <c r="F623" s="1" t="s">
        <v>2177</v>
      </c>
      <c r="AW623" s="1" t="s">
        <v>0</v>
      </c>
    </row>
    <row r="624" spans="1:49" x14ac:dyDescent="0.15">
      <c r="A624" s="1" t="s">
        <v>2012</v>
      </c>
      <c r="C624" s="1" t="s">
        <v>2178</v>
      </c>
      <c r="F624" s="1" t="s">
        <v>2179</v>
      </c>
      <c r="AW624" s="1" t="s">
        <v>0</v>
      </c>
    </row>
    <row r="625" spans="1:49" x14ac:dyDescent="0.15">
      <c r="A625" s="1" t="s">
        <v>2012</v>
      </c>
      <c r="C625" s="2" t="s">
        <v>2180</v>
      </c>
      <c r="F625" s="1" t="s">
        <v>2181</v>
      </c>
      <c r="AW625" s="1" t="s">
        <v>0</v>
      </c>
    </row>
    <row r="626" spans="1:49" x14ac:dyDescent="0.15">
      <c r="A626" s="1" t="s">
        <v>2012</v>
      </c>
      <c r="C626" s="2" t="s">
        <v>2182</v>
      </c>
      <c r="F626" s="1" t="s">
        <v>2183</v>
      </c>
      <c r="AW626" s="1" t="s">
        <v>0</v>
      </c>
    </row>
    <row r="627" spans="1:49" x14ac:dyDescent="0.15">
      <c r="A627" s="1" t="s">
        <v>2012</v>
      </c>
      <c r="C627" s="1" t="s">
        <v>2184</v>
      </c>
      <c r="F627" s="1" t="s">
        <v>2185</v>
      </c>
      <c r="AW627" s="1" t="s">
        <v>0</v>
      </c>
    </row>
    <row r="628" spans="1:49" x14ac:dyDescent="0.15">
      <c r="A628" s="1" t="s">
        <v>2012</v>
      </c>
      <c r="C628" s="2" t="s">
        <v>2186</v>
      </c>
      <c r="E628" s="1" t="s">
        <v>2187</v>
      </c>
      <c r="F628" s="1" t="s">
        <v>18</v>
      </c>
      <c r="AG628" s="1" t="s">
        <v>2188</v>
      </c>
    </row>
    <row r="629" spans="1:49" x14ac:dyDescent="0.15">
      <c r="A629" s="1" t="s">
        <v>2012</v>
      </c>
      <c r="C629" s="2" t="s">
        <v>2189</v>
      </c>
      <c r="F629" s="1" t="s">
        <v>2190</v>
      </c>
      <c r="AW629" s="1" t="s">
        <v>0</v>
      </c>
    </row>
    <row r="630" spans="1:49" x14ac:dyDescent="0.15">
      <c r="A630" s="1" t="s">
        <v>2012</v>
      </c>
      <c r="C630" s="2" t="s">
        <v>2191</v>
      </c>
      <c r="F630" s="1" t="s">
        <v>2192</v>
      </c>
      <c r="AW630" s="1" t="s">
        <v>0</v>
      </c>
    </row>
    <row r="631" spans="1:49" x14ac:dyDescent="0.15">
      <c r="A631" s="1" t="s">
        <v>2012</v>
      </c>
      <c r="C631" s="1" t="s">
        <v>2193</v>
      </c>
      <c r="F631" s="1" t="s">
        <v>2194</v>
      </c>
      <c r="AW631" s="1" t="s">
        <v>0</v>
      </c>
    </row>
    <row r="632" spans="1:49" x14ac:dyDescent="0.15">
      <c r="A632" s="1" t="s">
        <v>2012</v>
      </c>
      <c r="C632" s="1" t="s">
        <v>2195</v>
      </c>
      <c r="F632" s="1" t="s">
        <v>2196</v>
      </c>
      <c r="AW632" s="1" t="s">
        <v>0</v>
      </c>
    </row>
    <row r="633" spans="1:49" x14ac:dyDescent="0.15">
      <c r="A633" s="1" t="s">
        <v>2012</v>
      </c>
      <c r="C633" s="1" t="s">
        <v>2197</v>
      </c>
      <c r="F633" s="1" t="s">
        <v>2198</v>
      </c>
      <c r="AW633" s="1" t="s">
        <v>0</v>
      </c>
    </row>
    <row r="634" spans="1:49" x14ac:dyDescent="0.15">
      <c r="A634" s="1" t="s">
        <v>2012</v>
      </c>
      <c r="C634" s="2" t="s">
        <v>2199</v>
      </c>
      <c r="F634" s="1" t="s">
        <v>2200</v>
      </c>
      <c r="AW634" s="1" t="s">
        <v>0</v>
      </c>
    </row>
    <row r="635" spans="1:49" x14ac:dyDescent="0.15">
      <c r="A635" s="1" t="s">
        <v>2012</v>
      </c>
      <c r="C635" s="1" t="s">
        <v>2201</v>
      </c>
      <c r="F635" s="1" t="s">
        <v>2202</v>
      </c>
      <c r="AW635" s="1" t="s">
        <v>0</v>
      </c>
    </row>
    <row r="636" spans="1:49" x14ac:dyDescent="0.15">
      <c r="A636" s="1" t="s">
        <v>2012</v>
      </c>
      <c r="C636" s="2" t="s">
        <v>2203</v>
      </c>
      <c r="F636" s="1" t="s">
        <v>2204</v>
      </c>
      <c r="AW636" s="1" t="s">
        <v>0</v>
      </c>
    </row>
    <row r="637" spans="1:49" x14ac:dyDescent="0.15">
      <c r="A637" s="1" t="s">
        <v>2012</v>
      </c>
      <c r="C637" s="1" t="s">
        <v>2205</v>
      </c>
      <c r="F637" s="1" t="s">
        <v>2206</v>
      </c>
      <c r="AW637" s="1" t="s">
        <v>0</v>
      </c>
    </row>
    <row r="638" spans="1:49" x14ac:dyDescent="0.15">
      <c r="A638" s="1" t="s">
        <v>2012</v>
      </c>
      <c r="C638" s="1" t="s">
        <v>19</v>
      </c>
      <c r="AW638" s="1" t="s">
        <v>0</v>
      </c>
    </row>
    <row r="639" spans="1:49" x14ac:dyDescent="0.15">
      <c r="A639" s="1" t="s">
        <v>2012</v>
      </c>
      <c r="C639" s="1" t="s">
        <v>2207</v>
      </c>
      <c r="F639" s="1" t="s">
        <v>2208</v>
      </c>
      <c r="AW639" s="1" t="s">
        <v>0</v>
      </c>
    </row>
    <row r="640" spans="1:49" x14ac:dyDescent="0.15">
      <c r="A640" s="1" t="s">
        <v>2012</v>
      </c>
      <c r="C640" s="1" t="s">
        <v>2209</v>
      </c>
      <c r="F640" s="1" t="s">
        <v>2210</v>
      </c>
      <c r="AW640" s="1" t="s">
        <v>0</v>
      </c>
    </row>
    <row r="641" spans="1:49" x14ac:dyDescent="0.15">
      <c r="A641" s="1" t="s">
        <v>2012</v>
      </c>
      <c r="C641" s="1" t="s">
        <v>2211</v>
      </c>
      <c r="F641" s="1" t="s">
        <v>2212</v>
      </c>
      <c r="AW641" s="1" t="s">
        <v>0</v>
      </c>
    </row>
    <row r="642" spans="1:49" x14ac:dyDescent="0.15">
      <c r="A642" s="1" t="s">
        <v>2012</v>
      </c>
      <c r="C642" s="2" t="s">
        <v>2213</v>
      </c>
      <c r="F642" s="1" t="s">
        <v>2214</v>
      </c>
      <c r="AW642" s="1" t="s">
        <v>0</v>
      </c>
    </row>
    <row r="643" spans="1:49" x14ac:dyDescent="0.15">
      <c r="A643" s="1" t="s">
        <v>2012</v>
      </c>
      <c r="C643" s="1" t="s">
        <v>2215</v>
      </c>
      <c r="F643" s="1" t="s">
        <v>2216</v>
      </c>
      <c r="AW643" s="1" t="s">
        <v>0</v>
      </c>
    </row>
    <row r="644" spans="1:49" x14ac:dyDescent="0.15">
      <c r="A644" s="1" t="s">
        <v>2012</v>
      </c>
      <c r="C644" s="1" t="s">
        <v>2217</v>
      </c>
      <c r="F644" s="1" t="s">
        <v>2218</v>
      </c>
      <c r="AW644" s="1" t="s">
        <v>80</v>
      </c>
    </row>
    <row r="645" spans="1:49" x14ac:dyDescent="0.15">
      <c r="A645" s="1" t="s">
        <v>2012</v>
      </c>
      <c r="C645" s="1" t="s">
        <v>2219</v>
      </c>
      <c r="F645" s="1" t="s">
        <v>2220</v>
      </c>
      <c r="AW645" s="1" t="s">
        <v>0</v>
      </c>
    </row>
    <row r="646" spans="1:49" x14ac:dyDescent="0.15">
      <c r="A646" s="1" t="s">
        <v>2012</v>
      </c>
      <c r="C646" s="2" t="s">
        <v>2221</v>
      </c>
      <c r="F646" s="1" t="s">
        <v>2222</v>
      </c>
      <c r="AW646" s="1" t="s">
        <v>0</v>
      </c>
    </row>
    <row r="647" spans="1:49" x14ac:dyDescent="0.15">
      <c r="A647" s="1" t="s">
        <v>2012</v>
      </c>
      <c r="C647" s="1" t="s">
        <v>2221</v>
      </c>
      <c r="E647" s="1" t="s">
        <v>2223</v>
      </c>
    </row>
    <row r="648" spans="1:49" x14ac:dyDescent="0.15">
      <c r="A648" s="1" t="s">
        <v>2012</v>
      </c>
      <c r="C648" s="1" t="s">
        <v>2224</v>
      </c>
      <c r="F648" s="1" t="s">
        <v>2225</v>
      </c>
      <c r="AW648" s="1" t="s">
        <v>0</v>
      </c>
    </row>
    <row r="649" spans="1:49" x14ac:dyDescent="0.15">
      <c r="A649" s="1" t="s">
        <v>2012</v>
      </c>
      <c r="C649" s="2" t="s">
        <v>2226</v>
      </c>
      <c r="F649" s="1" t="s">
        <v>2227</v>
      </c>
      <c r="AW649" s="1" t="s">
        <v>0</v>
      </c>
    </row>
    <row r="650" spans="1:49" x14ac:dyDescent="0.15">
      <c r="A650" s="1" t="s">
        <v>2012</v>
      </c>
      <c r="C650" s="2" t="s">
        <v>2228</v>
      </c>
      <c r="F650" s="1" t="s">
        <v>2229</v>
      </c>
      <c r="AW650" s="1" t="s">
        <v>0</v>
      </c>
    </row>
    <row r="651" spans="1:49" x14ac:dyDescent="0.15">
      <c r="A651" s="1" t="s">
        <v>2012</v>
      </c>
      <c r="C651" s="2" t="s">
        <v>2230</v>
      </c>
      <c r="F651" s="1" t="s">
        <v>2231</v>
      </c>
      <c r="AW651" s="1" t="s">
        <v>0</v>
      </c>
    </row>
    <row r="652" spans="1:49" x14ac:dyDescent="0.15">
      <c r="A652" s="1" t="s">
        <v>2012</v>
      </c>
      <c r="C652" s="1" t="s">
        <v>2232</v>
      </c>
      <c r="F652" s="1" t="s">
        <v>2233</v>
      </c>
      <c r="AW652" s="1" t="s">
        <v>0</v>
      </c>
    </row>
    <row r="653" spans="1:49" x14ac:dyDescent="0.15">
      <c r="A653" s="1" t="s">
        <v>2012</v>
      </c>
      <c r="C653" s="1" t="s">
        <v>2234</v>
      </c>
      <c r="F653" s="1" t="s">
        <v>2235</v>
      </c>
      <c r="AW653" s="1" t="s">
        <v>0</v>
      </c>
    </row>
    <row r="654" spans="1:49" x14ac:dyDescent="0.15">
      <c r="A654" s="1" t="s">
        <v>2012</v>
      </c>
      <c r="C654" s="2" t="s">
        <v>2236</v>
      </c>
      <c r="F654" s="1" t="s">
        <v>2237</v>
      </c>
      <c r="AW654" s="1" t="s">
        <v>0</v>
      </c>
    </row>
    <row r="655" spans="1:49" x14ac:dyDescent="0.15">
      <c r="A655" s="1" t="s">
        <v>2012</v>
      </c>
      <c r="C655" s="1" t="s">
        <v>2238</v>
      </c>
      <c r="F655" s="1" t="s">
        <v>2239</v>
      </c>
      <c r="AW655" s="1" t="s">
        <v>0</v>
      </c>
    </row>
    <row r="656" spans="1:49" x14ac:dyDescent="0.15">
      <c r="A656" s="1" t="s">
        <v>2012</v>
      </c>
      <c r="C656" s="2" t="s">
        <v>2240</v>
      </c>
      <c r="F656" s="1" t="s">
        <v>2241</v>
      </c>
      <c r="AW656" s="1" t="s">
        <v>0</v>
      </c>
    </row>
    <row r="657" spans="1:49" x14ac:dyDescent="0.15">
      <c r="A657" s="1" t="s">
        <v>2012</v>
      </c>
      <c r="C657" s="1" t="s">
        <v>2240</v>
      </c>
      <c r="E657" s="1" t="s">
        <v>2242</v>
      </c>
    </row>
    <row r="658" spans="1:49" x14ac:dyDescent="0.15">
      <c r="A658" s="1" t="s">
        <v>2012</v>
      </c>
      <c r="C658" s="1" t="s">
        <v>2243</v>
      </c>
      <c r="F658" s="1" t="s">
        <v>2244</v>
      </c>
      <c r="AW658" s="1" t="s">
        <v>0</v>
      </c>
    </row>
    <row r="659" spans="1:49" x14ac:dyDescent="0.15">
      <c r="A659" s="1" t="s">
        <v>2012</v>
      </c>
      <c r="C659" s="1" t="s">
        <v>2245</v>
      </c>
      <c r="F659" s="1" t="s">
        <v>2246</v>
      </c>
      <c r="AW659" s="1" t="s">
        <v>0</v>
      </c>
    </row>
    <row r="660" spans="1:49" x14ac:dyDescent="0.15">
      <c r="A660" s="1" t="s">
        <v>2012</v>
      </c>
      <c r="C660" s="2" t="s">
        <v>2247</v>
      </c>
      <c r="F660" s="1" t="s">
        <v>2248</v>
      </c>
      <c r="AW660" s="1" t="s">
        <v>0</v>
      </c>
    </row>
    <row r="661" spans="1:49" x14ac:dyDescent="0.15">
      <c r="A661" s="1" t="s">
        <v>2012</v>
      </c>
      <c r="C661" s="1" t="s">
        <v>2249</v>
      </c>
      <c r="F661" s="1" t="s">
        <v>2250</v>
      </c>
      <c r="AW661" s="1" t="s">
        <v>0</v>
      </c>
    </row>
    <row r="662" spans="1:49" x14ac:dyDescent="0.15">
      <c r="A662" s="1" t="s">
        <v>2012</v>
      </c>
      <c r="C662" s="1" t="s">
        <v>2251</v>
      </c>
      <c r="F662" s="1" t="s">
        <v>2252</v>
      </c>
      <c r="AW662" s="1" t="s">
        <v>0</v>
      </c>
    </row>
    <row r="663" spans="1:49" x14ac:dyDescent="0.15">
      <c r="A663" s="1" t="s">
        <v>2012</v>
      </c>
      <c r="C663" s="2" t="s">
        <v>2253</v>
      </c>
      <c r="F663" s="1" t="s">
        <v>2254</v>
      </c>
      <c r="AW663" s="1" t="s">
        <v>0</v>
      </c>
    </row>
    <row r="664" spans="1:49" x14ac:dyDescent="0.15">
      <c r="A664" s="1" t="s">
        <v>2012</v>
      </c>
      <c r="C664" s="1" t="s">
        <v>2253</v>
      </c>
      <c r="E664" s="1" t="s">
        <v>2255</v>
      </c>
    </row>
    <row r="665" spans="1:49" x14ac:dyDescent="0.15">
      <c r="A665" s="1" t="s">
        <v>2012</v>
      </c>
      <c r="C665" s="1" t="s">
        <v>2256</v>
      </c>
      <c r="F665" s="1" t="s">
        <v>2257</v>
      </c>
      <c r="AW665" s="1" t="s">
        <v>0</v>
      </c>
    </row>
    <row r="666" spans="1:49" x14ac:dyDescent="0.15">
      <c r="A666" s="1" t="s">
        <v>2012</v>
      </c>
      <c r="C666" s="2" t="s">
        <v>2258</v>
      </c>
      <c r="F666" s="1" t="s">
        <v>2259</v>
      </c>
      <c r="AW666" s="1" t="s">
        <v>0</v>
      </c>
    </row>
    <row r="667" spans="1:49" x14ac:dyDescent="0.15">
      <c r="A667" s="1" t="s">
        <v>2012</v>
      </c>
      <c r="C667" s="1" t="s">
        <v>2260</v>
      </c>
      <c r="F667" s="1" t="s">
        <v>2261</v>
      </c>
      <c r="AW667" s="1" t="s">
        <v>0</v>
      </c>
    </row>
    <row r="668" spans="1:49" x14ac:dyDescent="0.15">
      <c r="A668" s="1" t="s">
        <v>2012</v>
      </c>
      <c r="C668" s="1" t="s">
        <v>2260</v>
      </c>
      <c r="K668" s="1" t="s">
        <v>2262</v>
      </c>
    </row>
    <row r="669" spans="1:49" x14ac:dyDescent="0.15">
      <c r="A669" s="1" t="s">
        <v>2012</v>
      </c>
      <c r="C669" s="2" t="s">
        <v>2263</v>
      </c>
      <c r="F669" s="1" t="s">
        <v>2264</v>
      </c>
      <c r="AW669" s="1" t="s">
        <v>0</v>
      </c>
    </row>
    <row r="670" spans="1:49" x14ac:dyDescent="0.15">
      <c r="A670" s="1" t="s">
        <v>2012</v>
      </c>
      <c r="C670" s="1" t="s">
        <v>2263</v>
      </c>
      <c r="E670" s="1" t="s">
        <v>2265</v>
      </c>
    </row>
    <row r="671" spans="1:49" x14ac:dyDescent="0.15">
      <c r="A671" s="1" t="s">
        <v>2012</v>
      </c>
      <c r="C671" s="1" t="s">
        <v>2263</v>
      </c>
      <c r="K671" s="1" t="s">
        <v>2266</v>
      </c>
    </row>
    <row r="672" spans="1:49" x14ac:dyDescent="0.15">
      <c r="A672" s="1" t="s">
        <v>2012</v>
      </c>
      <c r="C672" s="2" t="s">
        <v>2267</v>
      </c>
      <c r="F672" s="1" t="s">
        <v>2268</v>
      </c>
      <c r="AW672" s="1" t="s">
        <v>0</v>
      </c>
    </row>
    <row r="673" spans="1:49" x14ac:dyDescent="0.15">
      <c r="A673" s="1" t="s">
        <v>2012</v>
      </c>
      <c r="C673" s="1" t="s">
        <v>2269</v>
      </c>
      <c r="F673" s="1" t="s">
        <v>2270</v>
      </c>
      <c r="AW673" s="1" t="s">
        <v>0</v>
      </c>
    </row>
    <row r="674" spans="1:49" x14ac:dyDescent="0.15">
      <c r="A674" s="1" t="s">
        <v>2012</v>
      </c>
      <c r="C674" s="1" t="s">
        <v>2269</v>
      </c>
      <c r="K674" s="1" t="s">
        <v>2271</v>
      </c>
    </row>
    <row r="675" spans="1:49" x14ac:dyDescent="0.15">
      <c r="A675" s="1" t="s">
        <v>2012</v>
      </c>
      <c r="C675" s="1" t="s">
        <v>2272</v>
      </c>
      <c r="F675" s="1" t="s">
        <v>2273</v>
      </c>
      <c r="AW675" s="1" t="s">
        <v>0</v>
      </c>
    </row>
    <row r="676" spans="1:49" x14ac:dyDescent="0.15">
      <c r="A676" s="1" t="s">
        <v>2012</v>
      </c>
      <c r="C676" s="1" t="s">
        <v>2274</v>
      </c>
      <c r="F676" s="1" t="s">
        <v>2275</v>
      </c>
      <c r="AW676" s="1" t="s">
        <v>0</v>
      </c>
    </row>
    <row r="677" spans="1:49" x14ac:dyDescent="0.15">
      <c r="A677" s="1" t="s">
        <v>2012</v>
      </c>
      <c r="C677" s="1" t="s">
        <v>2276</v>
      </c>
      <c r="F677" s="1" t="s">
        <v>2277</v>
      </c>
      <c r="AW677" s="1" t="s">
        <v>0</v>
      </c>
    </row>
    <row r="678" spans="1:49" x14ac:dyDescent="0.15">
      <c r="A678" s="1" t="s">
        <v>2012</v>
      </c>
      <c r="C678" s="2" t="s">
        <v>2278</v>
      </c>
      <c r="F678" s="1" t="s">
        <v>2279</v>
      </c>
      <c r="AW678" s="1" t="s">
        <v>0</v>
      </c>
    </row>
    <row r="679" spans="1:49" x14ac:dyDescent="0.15">
      <c r="A679" s="1" t="s">
        <v>2012</v>
      </c>
      <c r="C679" s="2" t="s">
        <v>2280</v>
      </c>
      <c r="F679" s="1" t="s">
        <v>2281</v>
      </c>
      <c r="AW679" s="1" t="s">
        <v>0</v>
      </c>
    </row>
    <row r="680" spans="1:49" x14ac:dyDescent="0.15">
      <c r="A680" s="1" t="s">
        <v>2012</v>
      </c>
      <c r="C680" s="1" t="s">
        <v>2280</v>
      </c>
      <c r="K680" s="1" t="s">
        <v>2282</v>
      </c>
    </row>
    <row r="681" spans="1:49" x14ac:dyDescent="0.15">
      <c r="A681" s="1" t="s">
        <v>2012</v>
      </c>
      <c r="C681" s="1" t="s">
        <v>2280</v>
      </c>
      <c r="E681" s="1" t="s">
        <v>2283</v>
      </c>
    </row>
    <row r="682" spans="1:49" x14ac:dyDescent="0.15">
      <c r="A682" s="1" t="s">
        <v>2012</v>
      </c>
      <c r="C682" s="1" t="s">
        <v>2284</v>
      </c>
      <c r="F682" s="1" t="s">
        <v>2285</v>
      </c>
      <c r="AW682" s="1" t="s">
        <v>0</v>
      </c>
    </row>
    <row r="683" spans="1:49" x14ac:dyDescent="0.15">
      <c r="A683" s="1" t="s">
        <v>2012</v>
      </c>
      <c r="C683" s="1" t="s">
        <v>2286</v>
      </c>
      <c r="K683" s="1" t="s">
        <v>2287</v>
      </c>
    </row>
    <row r="684" spans="1:49" x14ac:dyDescent="0.15">
      <c r="A684" s="1" t="s">
        <v>2012</v>
      </c>
      <c r="C684" s="2" t="s">
        <v>2288</v>
      </c>
      <c r="F684" s="1" t="s">
        <v>2289</v>
      </c>
      <c r="AW684" s="1" t="s">
        <v>0</v>
      </c>
    </row>
    <row r="685" spans="1:49" x14ac:dyDescent="0.15">
      <c r="A685" s="1" t="s">
        <v>2012</v>
      </c>
      <c r="C685" s="1" t="s">
        <v>2290</v>
      </c>
      <c r="K685" s="1" t="s">
        <v>2291</v>
      </c>
    </row>
    <row r="686" spans="1:49" x14ac:dyDescent="0.15">
      <c r="A686" s="1" t="s">
        <v>2012</v>
      </c>
      <c r="C686" s="1" t="s">
        <v>2292</v>
      </c>
      <c r="F686" s="1" t="s">
        <v>2293</v>
      </c>
      <c r="AW686" s="1" t="s">
        <v>0</v>
      </c>
    </row>
    <row r="687" spans="1:49" x14ac:dyDescent="0.15">
      <c r="A687" s="1" t="s">
        <v>2012</v>
      </c>
      <c r="C687" s="1" t="s">
        <v>2294</v>
      </c>
      <c r="F687" s="1" t="s">
        <v>2295</v>
      </c>
      <c r="AW687" s="1" t="s">
        <v>0</v>
      </c>
    </row>
    <row r="688" spans="1:49" x14ac:dyDescent="0.15">
      <c r="A688" s="1" t="s">
        <v>2012</v>
      </c>
      <c r="C688" s="1" t="s">
        <v>2296</v>
      </c>
      <c r="F688" s="1" t="s">
        <v>2297</v>
      </c>
      <c r="AW688" s="1" t="s">
        <v>0</v>
      </c>
    </row>
    <row r="689" spans="1:49" x14ac:dyDescent="0.15">
      <c r="A689" s="1" t="s">
        <v>2012</v>
      </c>
      <c r="C689" s="2" t="s">
        <v>2298</v>
      </c>
      <c r="F689" s="1" t="s">
        <v>2299</v>
      </c>
      <c r="AW689" s="1" t="s">
        <v>0</v>
      </c>
    </row>
    <row r="690" spans="1:49" x14ac:dyDescent="0.15">
      <c r="A690" s="1" t="s">
        <v>2012</v>
      </c>
      <c r="C690" s="1" t="s">
        <v>2298</v>
      </c>
      <c r="K690" s="1" t="s">
        <v>2300</v>
      </c>
    </row>
    <row r="691" spans="1:49" x14ac:dyDescent="0.15">
      <c r="A691" s="1" t="s">
        <v>2012</v>
      </c>
      <c r="C691" s="1" t="s">
        <v>2301</v>
      </c>
      <c r="F691" s="1" t="s">
        <v>2302</v>
      </c>
      <c r="AW691" s="1" t="s">
        <v>0</v>
      </c>
    </row>
    <row r="692" spans="1:49" x14ac:dyDescent="0.15">
      <c r="A692" s="1" t="s">
        <v>2012</v>
      </c>
      <c r="C692" s="1" t="s">
        <v>2303</v>
      </c>
      <c r="F692" s="1" t="s">
        <v>2304</v>
      </c>
      <c r="AW692" s="1" t="s">
        <v>0</v>
      </c>
    </row>
    <row r="693" spans="1:49" x14ac:dyDescent="0.15">
      <c r="A693" s="1" t="s">
        <v>2012</v>
      </c>
      <c r="C693" s="1" t="s">
        <v>2305</v>
      </c>
      <c r="F693" s="1" t="s">
        <v>2306</v>
      </c>
      <c r="AW693" s="1" t="s">
        <v>0</v>
      </c>
    </row>
    <row r="694" spans="1:49" x14ac:dyDescent="0.15">
      <c r="A694" s="1" t="s">
        <v>2012</v>
      </c>
      <c r="C694" s="1" t="s">
        <v>2307</v>
      </c>
      <c r="F694" s="1" t="s">
        <v>2308</v>
      </c>
      <c r="AW694" s="1" t="s">
        <v>0</v>
      </c>
    </row>
    <row r="695" spans="1:49" x14ac:dyDescent="0.15">
      <c r="A695" s="1" t="s">
        <v>2012</v>
      </c>
      <c r="C695" s="1" t="s">
        <v>2309</v>
      </c>
      <c r="F695" s="1" t="s">
        <v>2310</v>
      </c>
      <c r="AW695" s="1" t="s">
        <v>0</v>
      </c>
    </row>
    <row r="696" spans="1:49" x14ac:dyDescent="0.15">
      <c r="A696" s="1" t="s">
        <v>2012</v>
      </c>
      <c r="C696" s="2" t="s">
        <v>2311</v>
      </c>
      <c r="F696" s="1" t="s">
        <v>2312</v>
      </c>
      <c r="AW696" s="1" t="s">
        <v>0</v>
      </c>
    </row>
    <row r="697" spans="1:49" x14ac:dyDescent="0.15">
      <c r="A697" s="1" t="s">
        <v>2012</v>
      </c>
      <c r="C697" s="2" t="s">
        <v>2313</v>
      </c>
      <c r="F697" s="1" t="s">
        <v>2314</v>
      </c>
      <c r="AW697" s="1" t="s">
        <v>0</v>
      </c>
    </row>
    <row r="698" spans="1:49" x14ac:dyDescent="0.15">
      <c r="A698" s="1" t="s">
        <v>2012</v>
      </c>
      <c r="C698" s="1" t="s">
        <v>2315</v>
      </c>
      <c r="F698" s="1" t="s">
        <v>2316</v>
      </c>
      <c r="AW698" s="1" t="s">
        <v>0</v>
      </c>
    </row>
    <row r="699" spans="1:49" x14ac:dyDescent="0.15">
      <c r="A699" s="1" t="s">
        <v>2012</v>
      </c>
      <c r="C699" s="2" t="s">
        <v>2317</v>
      </c>
      <c r="F699" s="1" t="s">
        <v>2318</v>
      </c>
      <c r="AW699" s="1" t="s">
        <v>0</v>
      </c>
    </row>
    <row r="700" spans="1:49" x14ac:dyDescent="0.15">
      <c r="A700" s="1" t="s">
        <v>2012</v>
      </c>
      <c r="C700" s="1" t="s">
        <v>2319</v>
      </c>
      <c r="F700" s="1" t="s">
        <v>2320</v>
      </c>
      <c r="AW700" s="1" t="s">
        <v>0</v>
      </c>
    </row>
    <row r="701" spans="1:49" x14ac:dyDescent="0.15">
      <c r="A701" s="1" t="s">
        <v>2012</v>
      </c>
      <c r="C701" s="2" t="s">
        <v>2321</v>
      </c>
      <c r="AW701" s="1" t="s">
        <v>0</v>
      </c>
    </row>
    <row r="702" spans="1:49" x14ac:dyDescent="0.15">
      <c r="A702" s="1" t="s">
        <v>2012</v>
      </c>
      <c r="C702" s="2" t="s">
        <v>2322</v>
      </c>
      <c r="F702" s="1" t="s">
        <v>2323</v>
      </c>
      <c r="AW702" s="1" t="s">
        <v>0</v>
      </c>
    </row>
    <row r="703" spans="1:49" x14ac:dyDescent="0.15">
      <c r="A703" s="1" t="s">
        <v>2012</v>
      </c>
      <c r="C703" s="2" t="s">
        <v>2324</v>
      </c>
      <c r="F703" s="1" t="s">
        <v>2325</v>
      </c>
      <c r="AW703" s="1" t="s">
        <v>0</v>
      </c>
    </row>
    <row r="704" spans="1:49" x14ac:dyDescent="0.15">
      <c r="A704" s="1" t="s">
        <v>2012</v>
      </c>
      <c r="C704" s="2" t="s">
        <v>2326</v>
      </c>
      <c r="F704" s="1" t="s">
        <v>2327</v>
      </c>
      <c r="AW704" s="1" t="s">
        <v>141</v>
      </c>
    </row>
    <row r="705" spans="1:49" x14ac:dyDescent="0.15">
      <c r="A705" s="1" t="s">
        <v>2012</v>
      </c>
      <c r="C705" s="1" t="s">
        <v>2328</v>
      </c>
      <c r="F705" s="1" t="s">
        <v>2329</v>
      </c>
      <c r="AW705" s="1" t="s">
        <v>0</v>
      </c>
    </row>
    <row r="706" spans="1:49" x14ac:dyDescent="0.15">
      <c r="A706" s="1" t="s">
        <v>2012</v>
      </c>
      <c r="C706" s="2" t="s">
        <v>2330</v>
      </c>
      <c r="F706" s="1" t="s">
        <v>2331</v>
      </c>
      <c r="AW706" s="1" t="s">
        <v>0</v>
      </c>
    </row>
    <row r="707" spans="1:49" x14ac:dyDescent="0.15">
      <c r="A707" s="1" t="s">
        <v>2012</v>
      </c>
      <c r="C707" s="1" t="s">
        <v>2332</v>
      </c>
      <c r="F707" s="1" t="s">
        <v>2333</v>
      </c>
      <c r="AW707" s="1" t="s">
        <v>0</v>
      </c>
    </row>
    <row r="708" spans="1:49" x14ac:dyDescent="0.15">
      <c r="A708" s="1" t="s">
        <v>2012</v>
      </c>
      <c r="C708" s="2" t="s">
        <v>2334</v>
      </c>
      <c r="F708" s="1" t="s">
        <v>2335</v>
      </c>
      <c r="AW708" s="1" t="s">
        <v>0</v>
      </c>
    </row>
    <row r="709" spans="1:49" x14ac:dyDescent="0.15">
      <c r="A709" s="1" t="s">
        <v>2012</v>
      </c>
      <c r="C709" s="1" t="s">
        <v>2334</v>
      </c>
      <c r="E709" s="1" t="s">
        <v>2336</v>
      </c>
    </row>
    <row r="710" spans="1:49" x14ac:dyDescent="0.15">
      <c r="A710" s="1" t="s">
        <v>2012</v>
      </c>
      <c r="C710" s="1" t="s">
        <v>2334</v>
      </c>
      <c r="E710" s="1" t="s">
        <v>2337</v>
      </c>
    </row>
    <row r="711" spans="1:49" x14ac:dyDescent="0.15">
      <c r="A711" s="1" t="s">
        <v>2012</v>
      </c>
      <c r="C711" s="1" t="s">
        <v>2338</v>
      </c>
      <c r="F711" s="1" t="s">
        <v>2339</v>
      </c>
      <c r="AW711" s="1" t="s">
        <v>0</v>
      </c>
    </row>
    <row r="712" spans="1:49" x14ac:dyDescent="0.15">
      <c r="A712" s="1" t="s">
        <v>2012</v>
      </c>
      <c r="C712" s="2" t="s">
        <v>2340</v>
      </c>
      <c r="F712" s="1" t="s">
        <v>2341</v>
      </c>
      <c r="AW712" s="1" t="s">
        <v>0</v>
      </c>
    </row>
    <row r="713" spans="1:49" x14ac:dyDescent="0.15">
      <c r="A713" s="1" t="s">
        <v>2012</v>
      </c>
      <c r="C713" s="2" t="s">
        <v>2342</v>
      </c>
      <c r="F713" s="1" t="s">
        <v>2343</v>
      </c>
      <c r="AW713" s="1" t="s">
        <v>0</v>
      </c>
    </row>
    <row r="714" spans="1:49" x14ac:dyDescent="0.15">
      <c r="A714" s="1" t="s">
        <v>2012</v>
      </c>
      <c r="C714" s="1" t="s">
        <v>2344</v>
      </c>
      <c r="F714" s="1" t="s">
        <v>2345</v>
      </c>
      <c r="AW714" s="1" t="s">
        <v>0</v>
      </c>
    </row>
    <row r="715" spans="1:49" x14ac:dyDescent="0.15">
      <c r="A715" s="1" t="s">
        <v>2012</v>
      </c>
      <c r="C715" s="2" t="s">
        <v>2344</v>
      </c>
      <c r="E715" s="1" t="s">
        <v>2346</v>
      </c>
    </row>
    <row r="716" spans="1:49" x14ac:dyDescent="0.15">
      <c r="A716" s="1" t="s">
        <v>2012</v>
      </c>
      <c r="C716" s="1" t="s">
        <v>2347</v>
      </c>
      <c r="F716" s="1" t="s">
        <v>2348</v>
      </c>
      <c r="AW716" s="1" t="s">
        <v>0</v>
      </c>
    </row>
    <row r="717" spans="1:49" x14ac:dyDescent="0.15">
      <c r="A717" s="1" t="s">
        <v>2012</v>
      </c>
      <c r="C717" s="1" t="s">
        <v>2349</v>
      </c>
      <c r="F717" s="1" t="s">
        <v>2350</v>
      </c>
      <c r="AW717" s="1" t="s">
        <v>0</v>
      </c>
    </row>
    <row r="718" spans="1:49" x14ac:dyDescent="0.15">
      <c r="A718" s="1" t="s">
        <v>2012</v>
      </c>
      <c r="C718" s="1" t="s">
        <v>2351</v>
      </c>
      <c r="F718" s="1" t="s">
        <v>2352</v>
      </c>
      <c r="AW718" s="1" t="s">
        <v>0</v>
      </c>
    </row>
    <row r="719" spans="1:49" x14ac:dyDescent="0.15">
      <c r="A719" s="1" t="s">
        <v>2012</v>
      </c>
      <c r="C719" s="1" t="s">
        <v>2353</v>
      </c>
      <c r="F719" s="1" t="s">
        <v>2354</v>
      </c>
      <c r="AW719" s="1" t="s">
        <v>0</v>
      </c>
    </row>
    <row r="720" spans="1:49" x14ac:dyDescent="0.15">
      <c r="A720" s="1" t="s">
        <v>2012</v>
      </c>
      <c r="C720" s="1" t="s">
        <v>2353</v>
      </c>
      <c r="K720" s="1" t="s">
        <v>2355</v>
      </c>
    </row>
    <row r="721" spans="1:49" x14ac:dyDescent="0.15">
      <c r="A721" s="1" t="s">
        <v>2012</v>
      </c>
      <c r="C721" s="1" t="s">
        <v>2356</v>
      </c>
      <c r="F721" s="1" t="s">
        <v>2357</v>
      </c>
      <c r="AW721" s="1" t="s">
        <v>0</v>
      </c>
    </row>
    <row r="722" spans="1:49" x14ac:dyDescent="0.15">
      <c r="A722" s="1" t="s">
        <v>2012</v>
      </c>
      <c r="C722" s="1" t="s">
        <v>2358</v>
      </c>
      <c r="F722" s="1" t="s">
        <v>2359</v>
      </c>
      <c r="AW722" s="1" t="s">
        <v>0</v>
      </c>
    </row>
    <row r="723" spans="1:49" x14ac:dyDescent="0.15">
      <c r="A723" s="1" t="s">
        <v>2012</v>
      </c>
      <c r="C723" s="1" t="s">
        <v>2360</v>
      </c>
      <c r="F723" s="1" t="s">
        <v>2361</v>
      </c>
      <c r="AW723" s="1" t="s">
        <v>0</v>
      </c>
    </row>
    <row r="724" spans="1:49" x14ac:dyDescent="0.15">
      <c r="A724" s="1" t="s">
        <v>2012</v>
      </c>
      <c r="C724" s="1" t="s">
        <v>2362</v>
      </c>
      <c r="F724" s="1" t="s">
        <v>2363</v>
      </c>
      <c r="AW724" s="1" t="s">
        <v>0</v>
      </c>
    </row>
    <row r="725" spans="1:49" x14ac:dyDescent="0.15">
      <c r="A725" s="1" t="s">
        <v>2012</v>
      </c>
      <c r="C725" s="2" t="s">
        <v>2364</v>
      </c>
      <c r="F725" s="1" t="s">
        <v>2365</v>
      </c>
      <c r="AW725" s="1" t="s">
        <v>0</v>
      </c>
    </row>
    <row r="726" spans="1:49" x14ac:dyDescent="0.15">
      <c r="A726" s="1" t="s">
        <v>2012</v>
      </c>
      <c r="C726" s="2" t="s">
        <v>2366</v>
      </c>
      <c r="F726" s="1" t="s">
        <v>2367</v>
      </c>
      <c r="AW726" s="1" t="s">
        <v>0</v>
      </c>
    </row>
    <row r="727" spans="1:49" x14ac:dyDescent="0.15">
      <c r="A727" s="1" t="s">
        <v>2012</v>
      </c>
      <c r="C727" s="1" t="s">
        <v>2368</v>
      </c>
      <c r="F727" s="1" t="s">
        <v>2369</v>
      </c>
      <c r="AW727" s="1" t="s">
        <v>0</v>
      </c>
    </row>
    <row r="728" spans="1:49" x14ac:dyDescent="0.15">
      <c r="A728" s="1" t="s">
        <v>2012</v>
      </c>
      <c r="C728" s="1" t="s">
        <v>2370</v>
      </c>
      <c r="F728" s="1" t="s">
        <v>2371</v>
      </c>
      <c r="AW728" s="1" t="s">
        <v>0</v>
      </c>
    </row>
    <row r="729" spans="1:49" x14ac:dyDescent="0.15">
      <c r="A729" s="1" t="s">
        <v>2012</v>
      </c>
      <c r="C729" s="1" t="s">
        <v>2372</v>
      </c>
      <c r="F729" s="1" t="s">
        <v>2373</v>
      </c>
      <c r="AW729" s="1" t="s">
        <v>0</v>
      </c>
    </row>
    <row r="730" spans="1:49" x14ac:dyDescent="0.15">
      <c r="A730" s="1" t="s">
        <v>2012</v>
      </c>
      <c r="C730" s="1" t="s">
        <v>2374</v>
      </c>
      <c r="F730" s="1" t="s">
        <v>2375</v>
      </c>
      <c r="AW730" s="1" t="s">
        <v>0</v>
      </c>
    </row>
    <row r="731" spans="1:49" x14ac:dyDescent="0.15">
      <c r="A731" s="1" t="s">
        <v>2012</v>
      </c>
      <c r="C731" s="1" t="s">
        <v>2376</v>
      </c>
      <c r="F731" s="1" t="s">
        <v>2377</v>
      </c>
      <c r="AW731" s="1" t="s">
        <v>0</v>
      </c>
    </row>
    <row r="732" spans="1:49" x14ac:dyDescent="0.15">
      <c r="A732" s="1" t="s">
        <v>2012</v>
      </c>
      <c r="C732" s="2" t="s">
        <v>2378</v>
      </c>
      <c r="F732" s="1" t="s">
        <v>2379</v>
      </c>
      <c r="AW732" s="1" t="s">
        <v>0</v>
      </c>
    </row>
    <row r="733" spans="1:49" x14ac:dyDescent="0.15">
      <c r="A733" s="1" t="s">
        <v>2012</v>
      </c>
      <c r="C733" s="2" t="s">
        <v>2380</v>
      </c>
      <c r="F733" s="1" t="s">
        <v>2381</v>
      </c>
      <c r="AW733" s="1" t="s">
        <v>0</v>
      </c>
    </row>
    <row r="734" spans="1:49" x14ac:dyDescent="0.15">
      <c r="A734" s="1" t="s">
        <v>2012</v>
      </c>
      <c r="C734" s="1" t="s">
        <v>2380</v>
      </c>
      <c r="K734" s="1" t="s">
        <v>2382</v>
      </c>
    </row>
    <row r="735" spans="1:49" x14ac:dyDescent="0.15">
      <c r="A735" s="1" t="s">
        <v>2012</v>
      </c>
      <c r="C735" s="1" t="s">
        <v>2383</v>
      </c>
      <c r="F735" s="1" t="s">
        <v>2384</v>
      </c>
      <c r="AW735" s="1" t="s">
        <v>0</v>
      </c>
    </row>
    <row r="736" spans="1:49" x14ac:dyDescent="0.15">
      <c r="A736" s="1" t="s">
        <v>2012</v>
      </c>
      <c r="C736" s="1" t="s">
        <v>2385</v>
      </c>
      <c r="F736" s="1" t="s">
        <v>2386</v>
      </c>
      <c r="AW736" s="1" t="s">
        <v>0</v>
      </c>
    </row>
    <row r="737" spans="1:49" x14ac:dyDescent="0.15">
      <c r="A737" s="1" t="s">
        <v>2012</v>
      </c>
      <c r="C737" s="1" t="s">
        <v>2385</v>
      </c>
      <c r="K737" s="1" t="s">
        <v>2387</v>
      </c>
    </row>
    <row r="738" spans="1:49" x14ac:dyDescent="0.15">
      <c r="A738" s="1" t="s">
        <v>2012</v>
      </c>
      <c r="C738" s="1" t="s">
        <v>2385</v>
      </c>
      <c r="K738" s="1" t="s">
        <v>2388</v>
      </c>
    </row>
    <row r="739" spans="1:49" x14ac:dyDescent="0.15">
      <c r="A739" s="1" t="s">
        <v>2012</v>
      </c>
      <c r="C739" s="1" t="s">
        <v>2389</v>
      </c>
      <c r="F739" s="1" t="s">
        <v>2390</v>
      </c>
      <c r="AW739" s="1" t="s">
        <v>0</v>
      </c>
    </row>
    <row r="740" spans="1:49" x14ac:dyDescent="0.15">
      <c r="A740" s="1" t="s">
        <v>2012</v>
      </c>
      <c r="C740" s="1" t="s">
        <v>2391</v>
      </c>
      <c r="F740" s="1" t="s">
        <v>2392</v>
      </c>
      <c r="AW740" s="1" t="s">
        <v>0</v>
      </c>
    </row>
    <row r="741" spans="1:49" x14ac:dyDescent="0.15">
      <c r="A741" s="1" t="s">
        <v>2012</v>
      </c>
      <c r="C741" s="2" t="s">
        <v>2393</v>
      </c>
      <c r="F741" s="1" t="s">
        <v>2394</v>
      </c>
      <c r="AW741" s="1" t="s">
        <v>0</v>
      </c>
    </row>
    <row r="742" spans="1:49" x14ac:dyDescent="0.15">
      <c r="A742" s="1" t="s">
        <v>2012</v>
      </c>
      <c r="C742" s="1" t="s">
        <v>2395</v>
      </c>
      <c r="F742" s="1" t="s">
        <v>2396</v>
      </c>
      <c r="AW742" s="1" t="s">
        <v>0</v>
      </c>
    </row>
    <row r="743" spans="1:49" x14ac:dyDescent="0.15">
      <c r="A743" s="1" t="s">
        <v>2012</v>
      </c>
      <c r="C743" s="2" t="s">
        <v>2397</v>
      </c>
      <c r="F743" s="1" t="s">
        <v>2398</v>
      </c>
      <c r="AW743" s="1" t="s">
        <v>0</v>
      </c>
    </row>
    <row r="744" spans="1:49" x14ac:dyDescent="0.15">
      <c r="A744" s="1" t="s">
        <v>2012</v>
      </c>
      <c r="C744" s="1" t="s">
        <v>2397</v>
      </c>
      <c r="K744" s="1" t="s">
        <v>2399</v>
      </c>
    </row>
    <row r="745" spans="1:49" x14ac:dyDescent="0.15">
      <c r="A745" s="1" t="s">
        <v>2012</v>
      </c>
      <c r="C745" s="2" t="s">
        <v>2400</v>
      </c>
      <c r="F745" s="1" t="s">
        <v>2401</v>
      </c>
      <c r="AW745" s="1" t="s">
        <v>0</v>
      </c>
    </row>
    <row r="746" spans="1:49" x14ac:dyDescent="0.15">
      <c r="A746" s="1" t="s">
        <v>2012</v>
      </c>
      <c r="C746" s="1" t="s">
        <v>2400</v>
      </c>
      <c r="E746" s="1" t="s">
        <v>2402</v>
      </c>
    </row>
    <row r="747" spans="1:49" x14ac:dyDescent="0.15">
      <c r="A747" s="1" t="s">
        <v>2012</v>
      </c>
      <c r="C747" s="1" t="s">
        <v>2403</v>
      </c>
      <c r="F747" s="1" t="s">
        <v>2404</v>
      </c>
      <c r="AW747" s="1" t="s">
        <v>0</v>
      </c>
    </row>
    <row r="748" spans="1:49" x14ac:dyDescent="0.15">
      <c r="A748" s="1" t="s">
        <v>2012</v>
      </c>
      <c r="C748" s="2" t="s">
        <v>2405</v>
      </c>
      <c r="F748" s="1" t="s">
        <v>2406</v>
      </c>
      <c r="AW748" s="1" t="s">
        <v>0</v>
      </c>
    </row>
    <row r="749" spans="1:49" x14ac:dyDescent="0.15">
      <c r="A749" s="1" t="s">
        <v>2012</v>
      </c>
      <c r="C749" s="1" t="s">
        <v>2405</v>
      </c>
      <c r="E749" s="1" t="s">
        <v>2407</v>
      </c>
    </row>
    <row r="750" spans="1:49" x14ac:dyDescent="0.15">
      <c r="A750" s="1" t="s">
        <v>2012</v>
      </c>
      <c r="C750" s="2" t="s">
        <v>2408</v>
      </c>
      <c r="F750" s="1" t="s">
        <v>2409</v>
      </c>
      <c r="AW750" s="1" t="s">
        <v>0</v>
      </c>
    </row>
    <row r="751" spans="1:49" x14ac:dyDescent="0.15">
      <c r="A751" s="1" t="s">
        <v>2012</v>
      </c>
      <c r="C751" s="1" t="s">
        <v>2408</v>
      </c>
      <c r="E751" s="1" t="s">
        <v>2410</v>
      </c>
    </row>
    <row r="752" spans="1:49" x14ac:dyDescent="0.15">
      <c r="A752" s="1" t="s">
        <v>2012</v>
      </c>
      <c r="C752" s="1" t="s">
        <v>2408</v>
      </c>
      <c r="E752" s="1" t="s">
        <v>2411</v>
      </c>
    </row>
    <row r="753" spans="1:49" x14ac:dyDescent="0.15">
      <c r="A753" s="1" t="s">
        <v>2012</v>
      </c>
      <c r="C753" s="1" t="s">
        <v>2412</v>
      </c>
      <c r="F753" s="1" t="s">
        <v>2413</v>
      </c>
      <c r="AW753" s="1" t="s">
        <v>0</v>
      </c>
    </row>
    <row r="754" spans="1:49" x14ac:dyDescent="0.15">
      <c r="A754" s="1" t="s">
        <v>2012</v>
      </c>
      <c r="C754" s="1" t="s">
        <v>2414</v>
      </c>
      <c r="F754" s="1" t="s">
        <v>2415</v>
      </c>
      <c r="AW754" s="1" t="s">
        <v>0</v>
      </c>
    </row>
    <row r="755" spans="1:49" x14ac:dyDescent="0.15">
      <c r="A755" s="1" t="s">
        <v>2012</v>
      </c>
      <c r="C755" s="2" t="s">
        <v>2416</v>
      </c>
      <c r="K755" s="1" t="s">
        <v>2417</v>
      </c>
    </row>
    <row r="756" spans="1:49" x14ac:dyDescent="0.15">
      <c r="A756" s="1" t="s">
        <v>2012</v>
      </c>
      <c r="C756" s="1" t="s">
        <v>2418</v>
      </c>
      <c r="F756" s="1" t="s">
        <v>2419</v>
      </c>
      <c r="AW756" s="1" t="s">
        <v>0</v>
      </c>
    </row>
    <row r="757" spans="1:49" x14ac:dyDescent="0.15">
      <c r="A757" s="1" t="s">
        <v>2012</v>
      </c>
      <c r="C757" s="2" t="s">
        <v>2420</v>
      </c>
      <c r="F757" s="1" t="s">
        <v>2421</v>
      </c>
      <c r="AW757" s="1" t="s">
        <v>0</v>
      </c>
    </row>
    <row r="758" spans="1:49" x14ac:dyDescent="0.15">
      <c r="A758" s="1" t="s">
        <v>2012</v>
      </c>
      <c r="C758" s="1" t="s">
        <v>2422</v>
      </c>
      <c r="F758" s="1" t="s">
        <v>2423</v>
      </c>
      <c r="AW758" s="1" t="s">
        <v>0</v>
      </c>
    </row>
    <row r="759" spans="1:49" x14ac:dyDescent="0.15">
      <c r="A759" s="1" t="s">
        <v>2012</v>
      </c>
      <c r="C759" s="1" t="s">
        <v>2424</v>
      </c>
      <c r="F759" s="1" t="s">
        <v>2425</v>
      </c>
      <c r="AW759" s="1" t="s">
        <v>0</v>
      </c>
    </row>
    <row r="760" spans="1:49" x14ac:dyDescent="0.15">
      <c r="A760" s="1" t="s">
        <v>2012</v>
      </c>
      <c r="C760" s="1" t="s">
        <v>2426</v>
      </c>
      <c r="F760" s="1" t="s">
        <v>2427</v>
      </c>
      <c r="AW760" s="1" t="s">
        <v>0</v>
      </c>
    </row>
    <row r="761" spans="1:49" x14ac:dyDescent="0.15">
      <c r="A761" s="1" t="s">
        <v>2012</v>
      </c>
      <c r="C761" s="1" t="s">
        <v>2428</v>
      </c>
      <c r="F761" s="1" t="s">
        <v>2429</v>
      </c>
      <c r="AW761" s="1" t="s">
        <v>0</v>
      </c>
    </row>
    <row r="762" spans="1:49" x14ac:dyDescent="0.15">
      <c r="A762" s="1" t="s">
        <v>2012</v>
      </c>
      <c r="C762" s="2" t="s">
        <v>2430</v>
      </c>
      <c r="F762" s="1" t="s">
        <v>2431</v>
      </c>
      <c r="AW762" s="1" t="s">
        <v>0</v>
      </c>
    </row>
    <row r="763" spans="1:49" x14ac:dyDescent="0.15">
      <c r="A763" s="1" t="s">
        <v>2012</v>
      </c>
      <c r="C763" s="2" t="s">
        <v>2432</v>
      </c>
      <c r="F763" s="1" t="s">
        <v>2433</v>
      </c>
      <c r="AW763" s="1" t="s">
        <v>0</v>
      </c>
    </row>
    <row r="764" spans="1:49" x14ac:dyDescent="0.15">
      <c r="A764" s="1" t="s">
        <v>2012</v>
      </c>
      <c r="C764" s="1" t="s">
        <v>2432</v>
      </c>
      <c r="E764" s="1" t="s">
        <v>2434</v>
      </c>
    </row>
    <row r="765" spans="1:49" x14ac:dyDescent="0.15">
      <c r="A765" s="1" t="s">
        <v>2012</v>
      </c>
      <c r="C765" s="1" t="s">
        <v>2435</v>
      </c>
      <c r="F765" s="1" t="s">
        <v>2436</v>
      </c>
      <c r="AW765" s="1" t="s">
        <v>0</v>
      </c>
    </row>
    <row r="766" spans="1:49" x14ac:dyDescent="0.15">
      <c r="A766" s="1" t="s">
        <v>2012</v>
      </c>
      <c r="C766" s="1" t="s">
        <v>2437</v>
      </c>
      <c r="F766" s="1" t="s">
        <v>2438</v>
      </c>
      <c r="AW766" s="1" t="s">
        <v>0</v>
      </c>
    </row>
    <row r="767" spans="1:49" x14ac:dyDescent="0.15">
      <c r="A767" s="1" t="s">
        <v>2012</v>
      </c>
      <c r="C767" s="1" t="s">
        <v>2439</v>
      </c>
      <c r="F767" s="1" t="s">
        <v>2440</v>
      </c>
      <c r="AW767" s="1" t="s">
        <v>0</v>
      </c>
    </row>
    <row r="768" spans="1:49" x14ac:dyDescent="0.15">
      <c r="A768" s="1" t="s">
        <v>2012</v>
      </c>
      <c r="C768" s="2" t="s">
        <v>2441</v>
      </c>
      <c r="F768" s="1" t="s">
        <v>2442</v>
      </c>
      <c r="AW768" s="1" t="s">
        <v>0</v>
      </c>
    </row>
    <row r="769" spans="1:49" x14ac:dyDescent="0.15">
      <c r="A769" s="1" t="s">
        <v>2012</v>
      </c>
      <c r="C769" s="1" t="s">
        <v>2443</v>
      </c>
      <c r="F769" s="1" t="s">
        <v>2444</v>
      </c>
      <c r="AW769" s="1" t="s">
        <v>0</v>
      </c>
    </row>
    <row r="770" spans="1:49" x14ac:dyDescent="0.15">
      <c r="A770" s="1" t="s">
        <v>2012</v>
      </c>
      <c r="C770" s="1" t="s">
        <v>2445</v>
      </c>
      <c r="F770" s="1" t="s">
        <v>2446</v>
      </c>
      <c r="AW770" s="1" t="s">
        <v>0</v>
      </c>
    </row>
    <row r="771" spans="1:49" x14ac:dyDescent="0.15">
      <c r="A771" s="1" t="s">
        <v>2012</v>
      </c>
      <c r="C771" s="1" t="s">
        <v>2445</v>
      </c>
      <c r="K771" s="1" t="s">
        <v>2447</v>
      </c>
    </row>
    <row r="772" spans="1:49" x14ac:dyDescent="0.15">
      <c r="A772" s="1" t="s">
        <v>2012</v>
      </c>
      <c r="C772" s="1" t="s">
        <v>2448</v>
      </c>
      <c r="F772" s="1" t="s">
        <v>2449</v>
      </c>
      <c r="AW772" s="1" t="s">
        <v>0</v>
      </c>
    </row>
    <row r="773" spans="1:49" x14ac:dyDescent="0.15">
      <c r="A773" s="1" t="s">
        <v>2012</v>
      </c>
      <c r="C773" s="1" t="s">
        <v>2450</v>
      </c>
      <c r="F773" s="1" t="s">
        <v>2451</v>
      </c>
      <c r="AW773" s="1" t="s">
        <v>0</v>
      </c>
    </row>
    <row r="774" spans="1:49" x14ac:dyDescent="0.15">
      <c r="A774" s="1" t="s">
        <v>2012</v>
      </c>
      <c r="C774" s="1" t="s">
        <v>2452</v>
      </c>
      <c r="F774" s="1" t="s">
        <v>2453</v>
      </c>
      <c r="AW774" s="1" t="s">
        <v>0</v>
      </c>
    </row>
    <row r="775" spans="1:49" x14ac:dyDescent="0.15">
      <c r="A775" s="1" t="s">
        <v>2012</v>
      </c>
      <c r="C775" s="1" t="s">
        <v>2452</v>
      </c>
      <c r="K775" s="1" t="s">
        <v>2454</v>
      </c>
    </row>
    <row r="776" spans="1:49" x14ac:dyDescent="0.15">
      <c r="A776" s="1" t="s">
        <v>2012</v>
      </c>
      <c r="C776" s="1" t="s">
        <v>2455</v>
      </c>
      <c r="F776" s="1" t="s">
        <v>2456</v>
      </c>
      <c r="AW776" s="1" t="s">
        <v>0</v>
      </c>
    </row>
    <row r="777" spans="1:49" x14ac:dyDescent="0.15">
      <c r="A777" s="1" t="s">
        <v>2012</v>
      </c>
      <c r="C777" s="2" t="s">
        <v>2457</v>
      </c>
      <c r="F777" s="1" t="s">
        <v>2458</v>
      </c>
      <c r="AW777" s="1" t="s">
        <v>0</v>
      </c>
    </row>
    <row r="778" spans="1:49" x14ac:dyDescent="0.15">
      <c r="A778" s="1" t="s">
        <v>2012</v>
      </c>
      <c r="C778" s="1" t="s">
        <v>2457</v>
      </c>
      <c r="K778" s="1" t="s">
        <v>2459</v>
      </c>
    </row>
    <row r="779" spans="1:49" x14ac:dyDescent="0.15">
      <c r="A779" s="1" t="s">
        <v>2012</v>
      </c>
      <c r="C779" s="2" t="s">
        <v>2460</v>
      </c>
      <c r="F779" s="1" t="s">
        <v>2461</v>
      </c>
      <c r="AW779" s="1" t="s">
        <v>0</v>
      </c>
    </row>
    <row r="780" spans="1:49" x14ac:dyDescent="0.15">
      <c r="A780" s="1" t="s">
        <v>2012</v>
      </c>
      <c r="C780" s="1" t="s">
        <v>2460</v>
      </c>
      <c r="E780" s="1" t="s">
        <v>2462</v>
      </c>
    </row>
    <row r="781" spans="1:49" x14ac:dyDescent="0.15">
      <c r="A781" s="1" t="s">
        <v>2012</v>
      </c>
      <c r="C781" s="1" t="s">
        <v>2463</v>
      </c>
      <c r="F781" s="1" t="s">
        <v>2464</v>
      </c>
      <c r="AW781" s="1" t="s">
        <v>0</v>
      </c>
    </row>
    <row r="782" spans="1:49" x14ac:dyDescent="0.15">
      <c r="A782" s="1" t="s">
        <v>2012</v>
      </c>
      <c r="C782" s="1" t="s">
        <v>2465</v>
      </c>
      <c r="AW782" s="1" t="s">
        <v>0</v>
      </c>
    </row>
    <row r="783" spans="1:49" x14ac:dyDescent="0.15">
      <c r="A783" s="1" t="s">
        <v>2012</v>
      </c>
      <c r="C783" s="2" t="s">
        <v>2466</v>
      </c>
      <c r="F783" s="1" t="s">
        <v>2467</v>
      </c>
      <c r="AW783" s="1" t="s">
        <v>0</v>
      </c>
    </row>
    <row r="784" spans="1:49" x14ac:dyDescent="0.15">
      <c r="A784" s="1" t="s">
        <v>2012</v>
      </c>
      <c r="C784" s="1" t="s">
        <v>2468</v>
      </c>
      <c r="F784" s="1" t="s">
        <v>2469</v>
      </c>
      <c r="AW784" s="1" t="s">
        <v>0</v>
      </c>
    </row>
    <row r="785" spans="1:49" x14ac:dyDescent="0.15">
      <c r="A785" s="1" t="s">
        <v>2012</v>
      </c>
      <c r="C785" s="1" t="s">
        <v>2470</v>
      </c>
      <c r="F785" s="1" t="s">
        <v>2471</v>
      </c>
      <c r="AW785" s="1" t="s">
        <v>0</v>
      </c>
    </row>
    <row r="786" spans="1:49" x14ac:dyDescent="0.15">
      <c r="A786" s="1" t="s">
        <v>2012</v>
      </c>
      <c r="C786" s="1" t="s">
        <v>2472</v>
      </c>
      <c r="F786" s="1" t="s">
        <v>2473</v>
      </c>
      <c r="AW786" s="1" t="s">
        <v>0</v>
      </c>
    </row>
    <row r="787" spans="1:49" x14ac:dyDescent="0.15">
      <c r="A787" s="1" t="s">
        <v>2012</v>
      </c>
      <c r="C787" s="1" t="s">
        <v>2474</v>
      </c>
      <c r="F787" s="1" t="s">
        <v>2475</v>
      </c>
      <c r="AW787" s="1" t="s">
        <v>0</v>
      </c>
    </row>
    <row r="788" spans="1:49" x14ac:dyDescent="0.15">
      <c r="A788" s="1" t="s">
        <v>2012</v>
      </c>
      <c r="C788" s="1" t="s">
        <v>2476</v>
      </c>
      <c r="F788" s="1" t="s">
        <v>2477</v>
      </c>
      <c r="AW788" s="1" t="s">
        <v>0</v>
      </c>
    </row>
    <row r="789" spans="1:49" x14ac:dyDescent="0.15">
      <c r="A789" s="1" t="s">
        <v>2012</v>
      </c>
      <c r="C789" s="1" t="s">
        <v>2478</v>
      </c>
      <c r="F789" s="1" t="s">
        <v>2479</v>
      </c>
      <c r="AW789" s="1" t="s">
        <v>0</v>
      </c>
    </row>
    <row r="790" spans="1:49" x14ac:dyDescent="0.15">
      <c r="A790" s="1" t="s">
        <v>2012</v>
      </c>
      <c r="C790" s="1" t="s">
        <v>2480</v>
      </c>
      <c r="F790" s="1" t="s">
        <v>2481</v>
      </c>
      <c r="AW790" s="1" t="s">
        <v>0</v>
      </c>
    </row>
    <row r="791" spans="1:49" x14ac:dyDescent="0.15">
      <c r="A791" s="1" t="s">
        <v>2012</v>
      </c>
      <c r="C791" s="2" t="s">
        <v>2482</v>
      </c>
      <c r="F791" s="1" t="s">
        <v>2483</v>
      </c>
      <c r="AW791" s="1" t="s">
        <v>0</v>
      </c>
    </row>
    <row r="792" spans="1:49" x14ac:dyDescent="0.15">
      <c r="A792" s="1" t="s">
        <v>2012</v>
      </c>
      <c r="C792" s="2" t="s">
        <v>2484</v>
      </c>
      <c r="F792" s="1" t="s">
        <v>2485</v>
      </c>
      <c r="AW792" s="1" t="s">
        <v>0</v>
      </c>
    </row>
    <row r="793" spans="1:49" x14ac:dyDescent="0.15">
      <c r="A793" s="1" t="s">
        <v>2012</v>
      </c>
      <c r="C793" s="2" t="s">
        <v>2486</v>
      </c>
      <c r="F793" s="1" t="s">
        <v>2487</v>
      </c>
      <c r="AW793" s="1" t="s">
        <v>0</v>
      </c>
    </row>
    <row r="794" spans="1:49" x14ac:dyDescent="0.15">
      <c r="A794" s="1" t="s">
        <v>2012</v>
      </c>
      <c r="C794" s="1" t="s">
        <v>2488</v>
      </c>
      <c r="F794" s="1" t="s">
        <v>2489</v>
      </c>
      <c r="AW794" s="1" t="s">
        <v>0</v>
      </c>
    </row>
    <row r="795" spans="1:49" x14ac:dyDescent="0.15">
      <c r="A795" s="1" t="s">
        <v>2012</v>
      </c>
      <c r="C795" s="1" t="s">
        <v>2490</v>
      </c>
      <c r="F795" s="1" t="s">
        <v>2491</v>
      </c>
      <c r="AW795" s="1" t="s">
        <v>0</v>
      </c>
    </row>
    <row r="796" spans="1:49" x14ac:dyDescent="0.15">
      <c r="A796" s="1" t="s">
        <v>2012</v>
      </c>
      <c r="C796" s="2" t="s">
        <v>2492</v>
      </c>
      <c r="F796" s="1" t="s">
        <v>2493</v>
      </c>
      <c r="AW796" s="1" t="s">
        <v>0</v>
      </c>
    </row>
    <row r="797" spans="1:49" x14ac:dyDescent="0.15">
      <c r="A797" s="1" t="s">
        <v>2012</v>
      </c>
      <c r="C797" s="2" t="s">
        <v>2494</v>
      </c>
      <c r="F797" s="1" t="s">
        <v>2495</v>
      </c>
      <c r="AW797" s="1" t="s">
        <v>0</v>
      </c>
    </row>
    <row r="798" spans="1:49" x14ac:dyDescent="0.15">
      <c r="A798" s="1" t="s">
        <v>2012</v>
      </c>
      <c r="C798" s="2" t="s">
        <v>2496</v>
      </c>
      <c r="F798" s="1" t="s">
        <v>2497</v>
      </c>
      <c r="AW798" s="1" t="s">
        <v>0</v>
      </c>
    </row>
    <row r="799" spans="1:49" x14ac:dyDescent="0.15">
      <c r="A799" s="1" t="s">
        <v>2012</v>
      </c>
      <c r="C799" s="1" t="s">
        <v>2496</v>
      </c>
      <c r="E799" s="1" t="s">
        <v>2498</v>
      </c>
    </row>
    <row r="800" spans="1:49" x14ac:dyDescent="0.15">
      <c r="A800" s="1" t="s">
        <v>2012</v>
      </c>
      <c r="C800" s="1" t="s">
        <v>2499</v>
      </c>
      <c r="F800" s="1" t="s">
        <v>2500</v>
      </c>
      <c r="AW800" s="1" t="s">
        <v>0</v>
      </c>
    </row>
    <row r="801" spans="1:49" x14ac:dyDescent="0.15">
      <c r="A801" s="1" t="s">
        <v>2012</v>
      </c>
      <c r="C801" s="1" t="s">
        <v>2501</v>
      </c>
      <c r="F801" s="1" t="s">
        <v>2502</v>
      </c>
      <c r="AW801" s="1" t="s">
        <v>0</v>
      </c>
    </row>
    <row r="802" spans="1:49" x14ac:dyDescent="0.15">
      <c r="A802" s="1" t="s">
        <v>2503</v>
      </c>
      <c r="C802" s="2" t="s">
        <v>2504</v>
      </c>
      <c r="K802" s="1" t="s">
        <v>2505</v>
      </c>
    </row>
    <row r="803" spans="1:49" x14ac:dyDescent="0.15">
      <c r="A803" s="1" t="s">
        <v>2503</v>
      </c>
      <c r="C803" s="1" t="s">
        <v>2506</v>
      </c>
      <c r="E803" s="1" t="s">
        <v>2507</v>
      </c>
    </row>
    <row r="804" spans="1:49" x14ac:dyDescent="0.15">
      <c r="A804" s="1" t="s">
        <v>2503</v>
      </c>
      <c r="C804" s="1" t="s">
        <v>2506</v>
      </c>
      <c r="K804" s="1" t="s">
        <v>2508</v>
      </c>
    </row>
    <row r="805" spans="1:49" x14ac:dyDescent="0.15">
      <c r="A805" s="1" t="s">
        <v>2503</v>
      </c>
      <c r="C805" s="1" t="s">
        <v>2509</v>
      </c>
      <c r="E805" s="1" t="s">
        <v>2510</v>
      </c>
    </row>
    <row r="806" spans="1:49" x14ac:dyDescent="0.15">
      <c r="A806" s="1" t="s">
        <v>2503</v>
      </c>
      <c r="C806" s="2" t="s">
        <v>2511</v>
      </c>
      <c r="K806" s="1" t="s">
        <v>2512</v>
      </c>
    </row>
    <row r="807" spans="1:49" x14ac:dyDescent="0.15">
      <c r="A807" s="1" t="s">
        <v>2503</v>
      </c>
      <c r="C807" s="1" t="s">
        <v>2513</v>
      </c>
      <c r="K807" s="1" t="s">
        <v>2514</v>
      </c>
    </row>
    <row r="808" spans="1:49" x14ac:dyDescent="0.15">
      <c r="A808" s="1" t="s">
        <v>2503</v>
      </c>
      <c r="C808" s="2" t="s">
        <v>2515</v>
      </c>
      <c r="F808" s="1" t="s">
        <v>2516</v>
      </c>
      <c r="AW808" s="1" t="s">
        <v>155</v>
      </c>
    </row>
    <row r="809" spans="1:49" x14ac:dyDescent="0.15">
      <c r="A809" s="1" t="s">
        <v>2503</v>
      </c>
      <c r="C809" s="2" t="s">
        <v>2517</v>
      </c>
      <c r="E809" s="1" t="s">
        <v>2518</v>
      </c>
    </row>
    <row r="810" spans="1:49" x14ac:dyDescent="0.15">
      <c r="A810" s="1" t="s">
        <v>2503</v>
      </c>
      <c r="C810" s="1" t="s">
        <v>2519</v>
      </c>
      <c r="K810" s="1" t="s">
        <v>2520</v>
      </c>
    </row>
    <row r="811" spans="1:49" x14ac:dyDescent="0.15">
      <c r="A811" s="1" t="s">
        <v>2503</v>
      </c>
      <c r="C811" s="2" t="s">
        <v>433</v>
      </c>
      <c r="F811" s="1" t="s">
        <v>2521</v>
      </c>
      <c r="AW811" s="1" t="s">
        <v>141</v>
      </c>
    </row>
    <row r="812" spans="1:49" x14ac:dyDescent="0.15">
      <c r="A812" s="1" t="s">
        <v>2503</v>
      </c>
      <c r="C812" s="1" t="s">
        <v>433</v>
      </c>
      <c r="E812" s="1" t="s">
        <v>2522</v>
      </c>
    </row>
    <row r="813" spans="1:49" x14ac:dyDescent="0.15">
      <c r="A813" s="1" t="s">
        <v>2503</v>
      </c>
      <c r="C813" s="1" t="s">
        <v>433</v>
      </c>
      <c r="E813" s="1" t="s">
        <v>2523</v>
      </c>
      <c r="K813" s="1" t="s">
        <v>2524</v>
      </c>
    </row>
    <row r="814" spans="1:49" x14ac:dyDescent="0.15">
      <c r="A814" s="1" t="s">
        <v>2503</v>
      </c>
      <c r="C814" s="2" t="s">
        <v>2525</v>
      </c>
      <c r="K814" s="1" t="s">
        <v>2526</v>
      </c>
    </row>
    <row r="815" spans="1:49" x14ac:dyDescent="0.15">
      <c r="A815" s="1" t="s">
        <v>2503</v>
      </c>
      <c r="B815" s="1" t="s">
        <v>2527</v>
      </c>
      <c r="E815" s="1" t="s">
        <v>2528</v>
      </c>
    </row>
    <row r="816" spans="1:49" x14ac:dyDescent="0.15">
      <c r="A816" s="1" t="s">
        <v>2503</v>
      </c>
      <c r="C816" s="2" t="s">
        <v>2529</v>
      </c>
      <c r="F816" s="1" t="s">
        <v>2530</v>
      </c>
      <c r="K816" s="1" t="s">
        <v>2531</v>
      </c>
      <c r="N816" s="1" t="s">
        <v>148</v>
      </c>
      <c r="O816" s="1" t="s">
        <v>149</v>
      </c>
      <c r="AW816" s="1" t="s">
        <v>145</v>
      </c>
    </row>
    <row r="817" spans="1:49" x14ac:dyDescent="0.15">
      <c r="A817" s="1" t="s">
        <v>2503</v>
      </c>
      <c r="C817" s="2" t="s">
        <v>2532</v>
      </c>
      <c r="K817" s="1" t="s">
        <v>2533</v>
      </c>
    </row>
    <row r="818" spans="1:49" x14ac:dyDescent="0.15">
      <c r="A818" s="1" t="s">
        <v>2503</v>
      </c>
      <c r="C818" s="1" t="s">
        <v>2532</v>
      </c>
      <c r="E818" s="1" t="s">
        <v>2534</v>
      </c>
    </row>
    <row r="819" spans="1:49" x14ac:dyDescent="0.15">
      <c r="A819" s="1" t="s">
        <v>2503</v>
      </c>
      <c r="C819" s="1" t="s">
        <v>2535</v>
      </c>
      <c r="AW819" s="1" t="s">
        <v>0</v>
      </c>
    </row>
    <row r="820" spans="1:49" x14ac:dyDescent="0.15">
      <c r="A820" s="1" t="s">
        <v>2503</v>
      </c>
      <c r="C820" s="2" t="s">
        <v>2536</v>
      </c>
      <c r="F820" s="1" t="s">
        <v>2537</v>
      </c>
      <c r="AW820" s="1" t="s">
        <v>141</v>
      </c>
    </row>
    <row r="821" spans="1:49" x14ac:dyDescent="0.15">
      <c r="A821" s="1" t="s">
        <v>2503</v>
      </c>
      <c r="C821" s="1" t="s">
        <v>2536</v>
      </c>
      <c r="E821" s="1" t="s">
        <v>2538</v>
      </c>
    </row>
    <row r="822" spans="1:49" x14ac:dyDescent="0.15">
      <c r="A822" s="1" t="s">
        <v>2503</v>
      </c>
      <c r="C822" s="2" t="s">
        <v>2539</v>
      </c>
      <c r="K822" s="1" t="s">
        <v>2540</v>
      </c>
    </row>
    <row r="823" spans="1:49" x14ac:dyDescent="0.15">
      <c r="A823" s="1" t="s">
        <v>2503</v>
      </c>
      <c r="B823" s="1" t="s">
        <v>2541</v>
      </c>
      <c r="E823" s="1" t="s">
        <v>2542</v>
      </c>
    </row>
    <row r="824" spans="1:49" x14ac:dyDescent="0.15">
      <c r="A824" s="1" t="s">
        <v>2503</v>
      </c>
      <c r="C824" s="2" t="s">
        <v>2543</v>
      </c>
      <c r="E824" s="1" t="s">
        <v>2544</v>
      </c>
    </row>
    <row r="825" spans="1:49" x14ac:dyDescent="0.15">
      <c r="A825" s="1" t="s">
        <v>2503</v>
      </c>
      <c r="C825" s="1" t="s">
        <v>2545</v>
      </c>
      <c r="F825" s="1" t="s">
        <v>2546</v>
      </c>
      <c r="AW825" s="1" t="s">
        <v>0</v>
      </c>
    </row>
    <row r="826" spans="1:49" x14ac:dyDescent="0.15">
      <c r="A826" s="1" t="s">
        <v>2503</v>
      </c>
      <c r="C826" s="1" t="s">
        <v>2545</v>
      </c>
      <c r="K826" s="1" t="s">
        <v>2547</v>
      </c>
    </row>
    <row r="827" spans="1:49" x14ac:dyDescent="0.15">
      <c r="A827" s="1" t="s">
        <v>2503</v>
      </c>
      <c r="C827" s="1" t="s">
        <v>2548</v>
      </c>
      <c r="K827" s="1" t="s">
        <v>2549</v>
      </c>
    </row>
    <row r="828" spans="1:49" x14ac:dyDescent="0.15">
      <c r="A828" s="1" t="s">
        <v>2503</v>
      </c>
      <c r="C828" s="1" t="s">
        <v>2550</v>
      </c>
      <c r="AW828" s="1" t="s">
        <v>0</v>
      </c>
    </row>
    <row r="829" spans="1:49" x14ac:dyDescent="0.15">
      <c r="A829" s="1" t="s">
        <v>2503</v>
      </c>
      <c r="C829" s="1" t="s">
        <v>2551</v>
      </c>
      <c r="AW829" s="1" t="s">
        <v>0</v>
      </c>
    </row>
    <row r="830" spans="1:49" x14ac:dyDescent="0.15">
      <c r="A830" s="1" t="s">
        <v>2503</v>
      </c>
      <c r="C830" s="1" t="s">
        <v>2551</v>
      </c>
      <c r="K830" s="1" t="s">
        <v>2552</v>
      </c>
    </row>
    <row r="831" spans="1:49" x14ac:dyDescent="0.15">
      <c r="A831" s="1" t="s">
        <v>2503</v>
      </c>
      <c r="C831" s="2" t="s">
        <v>2553</v>
      </c>
      <c r="F831" s="1" t="s">
        <v>2554</v>
      </c>
      <c r="AW831" s="1" t="s">
        <v>141</v>
      </c>
    </row>
    <row r="832" spans="1:49" x14ac:dyDescent="0.15">
      <c r="A832" s="1" t="s">
        <v>2503</v>
      </c>
      <c r="C832" s="2" t="s">
        <v>2555</v>
      </c>
      <c r="E832" s="1" t="s">
        <v>2556</v>
      </c>
    </row>
    <row r="833" spans="1:49" x14ac:dyDescent="0.15">
      <c r="A833" s="1" t="s">
        <v>2503</v>
      </c>
      <c r="C833" s="2" t="s">
        <v>2557</v>
      </c>
      <c r="E833" s="1" t="s">
        <v>2558</v>
      </c>
      <c r="K833" s="1" t="s">
        <v>2559</v>
      </c>
    </row>
    <row r="834" spans="1:49" x14ac:dyDescent="0.15">
      <c r="A834" s="1" t="s">
        <v>2503</v>
      </c>
      <c r="C834" s="2" t="s">
        <v>2560</v>
      </c>
      <c r="AW834" s="1" t="s">
        <v>0</v>
      </c>
    </row>
    <row r="835" spans="1:49" x14ac:dyDescent="0.15">
      <c r="A835" s="1" t="s">
        <v>2503</v>
      </c>
      <c r="C835" s="1" t="s">
        <v>2560</v>
      </c>
      <c r="K835" s="1" t="s">
        <v>2561</v>
      </c>
    </row>
    <row r="836" spans="1:49" x14ac:dyDescent="0.15">
      <c r="A836" s="1" t="s">
        <v>2503</v>
      </c>
      <c r="C836" s="2" t="s">
        <v>2562</v>
      </c>
      <c r="F836" s="1" t="s">
        <v>2563</v>
      </c>
      <c r="AW836" s="1" t="s">
        <v>0</v>
      </c>
    </row>
    <row r="837" spans="1:49" x14ac:dyDescent="0.15">
      <c r="A837" s="1" t="s">
        <v>2503</v>
      </c>
      <c r="C837" s="1" t="s">
        <v>2564</v>
      </c>
      <c r="F837" s="1" t="s">
        <v>21</v>
      </c>
    </row>
    <row r="838" spans="1:49" x14ac:dyDescent="0.15">
      <c r="A838" s="1" t="s">
        <v>2503</v>
      </c>
      <c r="B838" s="1" t="s">
        <v>2565</v>
      </c>
      <c r="E838" s="1" t="s">
        <v>2566</v>
      </c>
    </row>
    <row r="839" spans="1:49" x14ac:dyDescent="0.15">
      <c r="A839" s="1" t="s">
        <v>2503</v>
      </c>
      <c r="C839" s="1" t="s">
        <v>2567</v>
      </c>
      <c r="K839" s="1" t="s">
        <v>2568</v>
      </c>
    </row>
    <row r="840" spans="1:49" x14ac:dyDescent="0.15">
      <c r="A840" s="1" t="s">
        <v>2503</v>
      </c>
      <c r="C840" s="1" t="s">
        <v>2569</v>
      </c>
      <c r="F840" s="1" t="s">
        <v>2570</v>
      </c>
      <c r="AW840" s="1" t="s">
        <v>0</v>
      </c>
    </row>
    <row r="841" spans="1:49" x14ac:dyDescent="0.15">
      <c r="A841" s="1" t="s">
        <v>2503</v>
      </c>
      <c r="C841" s="1" t="s">
        <v>2571</v>
      </c>
      <c r="E841" s="1" t="s">
        <v>2572</v>
      </c>
    </row>
    <row r="842" spans="1:49" x14ac:dyDescent="0.15">
      <c r="A842" s="1" t="s">
        <v>2503</v>
      </c>
      <c r="C842" s="1" t="s">
        <v>2573</v>
      </c>
      <c r="F842" s="1" t="s">
        <v>2574</v>
      </c>
      <c r="AW842" s="1" t="s">
        <v>0</v>
      </c>
    </row>
    <row r="843" spans="1:49" x14ac:dyDescent="0.15">
      <c r="A843" s="1" t="s">
        <v>2503</v>
      </c>
      <c r="C843" s="2" t="s">
        <v>2575</v>
      </c>
      <c r="E843" s="1" t="s">
        <v>2576</v>
      </c>
      <c r="AG843" s="1" t="s">
        <v>2577</v>
      </c>
    </row>
    <row r="844" spans="1:49" x14ac:dyDescent="0.15">
      <c r="A844" s="1" t="s">
        <v>2503</v>
      </c>
      <c r="C844" s="2" t="s">
        <v>2578</v>
      </c>
      <c r="E844" s="1" t="s">
        <v>2579</v>
      </c>
    </row>
    <row r="845" spans="1:49" x14ac:dyDescent="0.15">
      <c r="A845" s="1" t="s">
        <v>2503</v>
      </c>
      <c r="C845" s="1" t="s">
        <v>674</v>
      </c>
      <c r="E845" s="1" t="s">
        <v>2580</v>
      </c>
    </row>
    <row r="846" spans="1:49" x14ac:dyDescent="0.15">
      <c r="A846" s="1" t="s">
        <v>2503</v>
      </c>
      <c r="C846" s="2" t="s">
        <v>2581</v>
      </c>
      <c r="E846" s="1" t="s">
        <v>2582</v>
      </c>
    </row>
    <row r="847" spans="1:49" x14ac:dyDescent="0.15">
      <c r="A847" s="1" t="s">
        <v>2503</v>
      </c>
      <c r="C847" s="2" t="s">
        <v>2583</v>
      </c>
      <c r="F847" s="1" t="s">
        <v>2584</v>
      </c>
      <c r="AW847" s="1" t="s">
        <v>0</v>
      </c>
    </row>
    <row r="848" spans="1:49" x14ac:dyDescent="0.15">
      <c r="A848" s="1" t="s">
        <v>2503</v>
      </c>
      <c r="C848" s="1" t="s">
        <v>2585</v>
      </c>
      <c r="K848" s="1" t="s">
        <v>2586</v>
      </c>
    </row>
    <row r="849" spans="1:49" x14ac:dyDescent="0.15">
      <c r="A849" s="1" t="s">
        <v>2503</v>
      </c>
      <c r="C849" s="2" t="s">
        <v>2587</v>
      </c>
      <c r="E849" s="1" t="s">
        <v>2588</v>
      </c>
    </row>
    <row r="850" spans="1:49" x14ac:dyDescent="0.15">
      <c r="A850" s="1" t="s">
        <v>2503</v>
      </c>
      <c r="C850" s="2" t="s">
        <v>2589</v>
      </c>
      <c r="F850" s="1" t="s">
        <v>2590</v>
      </c>
      <c r="AW850" s="1" t="s">
        <v>141</v>
      </c>
    </row>
    <row r="851" spans="1:49" x14ac:dyDescent="0.15">
      <c r="A851" s="1" t="s">
        <v>2503</v>
      </c>
      <c r="C851" s="1" t="s">
        <v>2591</v>
      </c>
      <c r="K851" s="1" t="s">
        <v>2592</v>
      </c>
    </row>
    <row r="852" spans="1:49" x14ac:dyDescent="0.15">
      <c r="A852" s="1" t="s">
        <v>2503</v>
      </c>
      <c r="C852" s="2" t="s">
        <v>2593</v>
      </c>
      <c r="F852" s="1" t="s">
        <v>2594</v>
      </c>
      <c r="AW852" s="1" t="s">
        <v>0</v>
      </c>
    </row>
    <row r="853" spans="1:49" x14ac:dyDescent="0.15">
      <c r="A853" s="1" t="s">
        <v>2503</v>
      </c>
      <c r="C853" s="2" t="s">
        <v>2595</v>
      </c>
      <c r="K853" s="1" t="s">
        <v>2596</v>
      </c>
    </row>
    <row r="854" spans="1:49" x14ac:dyDescent="0.15">
      <c r="A854" s="1" t="s">
        <v>2503</v>
      </c>
      <c r="C854" s="2" t="s">
        <v>2597</v>
      </c>
      <c r="F854" s="1" t="s">
        <v>2598</v>
      </c>
      <c r="N854" s="1" t="s">
        <v>148</v>
      </c>
      <c r="O854" s="1" t="s">
        <v>149</v>
      </c>
      <c r="AW854" s="1" t="s">
        <v>145</v>
      </c>
    </row>
    <row r="855" spans="1:49" x14ac:dyDescent="0.15">
      <c r="A855" s="1" t="s">
        <v>2503</v>
      </c>
      <c r="C855" s="1" t="s">
        <v>2597</v>
      </c>
      <c r="K855" s="1" t="s">
        <v>2599</v>
      </c>
    </row>
    <row r="856" spans="1:49" x14ac:dyDescent="0.15">
      <c r="A856" s="1" t="s">
        <v>2503</v>
      </c>
      <c r="C856" s="1" t="s">
        <v>2597</v>
      </c>
      <c r="K856" s="1" t="s">
        <v>2600</v>
      </c>
    </row>
    <row r="857" spans="1:49" x14ac:dyDescent="0.15">
      <c r="A857" s="1" t="s">
        <v>2503</v>
      </c>
      <c r="C857" s="1" t="s">
        <v>2601</v>
      </c>
      <c r="K857" s="1" t="s">
        <v>2602</v>
      </c>
    </row>
    <row r="858" spans="1:49" x14ac:dyDescent="0.15">
      <c r="A858" s="1" t="s">
        <v>2503</v>
      </c>
      <c r="C858" s="2" t="s">
        <v>2603</v>
      </c>
      <c r="F858" s="1" t="s">
        <v>2604</v>
      </c>
      <c r="AW858" s="1" t="s">
        <v>0</v>
      </c>
    </row>
    <row r="859" spans="1:49" x14ac:dyDescent="0.15">
      <c r="A859" s="1" t="s">
        <v>2503</v>
      </c>
      <c r="C859" s="2" t="s">
        <v>2605</v>
      </c>
      <c r="E859" s="1" t="s">
        <v>2606</v>
      </c>
    </row>
    <row r="860" spans="1:49" x14ac:dyDescent="0.15">
      <c r="A860" s="1" t="s">
        <v>2503</v>
      </c>
      <c r="C860" s="2" t="s">
        <v>2607</v>
      </c>
      <c r="F860" s="1" t="s">
        <v>2608</v>
      </c>
      <c r="AW860" s="1" t="s">
        <v>0</v>
      </c>
    </row>
    <row r="861" spans="1:49" x14ac:dyDescent="0.15">
      <c r="A861" s="1" t="s">
        <v>2503</v>
      </c>
      <c r="C861" s="1" t="s">
        <v>2607</v>
      </c>
      <c r="K861" s="1" t="s">
        <v>2609</v>
      </c>
    </row>
    <row r="862" spans="1:49" x14ac:dyDescent="0.15">
      <c r="A862" s="1" t="s">
        <v>2503</v>
      </c>
      <c r="C862" s="2" t="s">
        <v>2610</v>
      </c>
      <c r="E862" s="1" t="s">
        <v>2611</v>
      </c>
    </row>
    <row r="863" spans="1:49" x14ac:dyDescent="0.15">
      <c r="A863" s="1" t="s">
        <v>2503</v>
      </c>
      <c r="C863" s="2" t="s">
        <v>2612</v>
      </c>
      <c r="E863" s="1" t="s">
        <v>2613</v>
      </c>
    </row>
    <row r="864" spans="1:49" x14ac:dyDescent="0.15">
      <c r="A864" s="1" t="s">
        <v>2503</v>
      </c>
      <c r="C864" s="1" t="s">
        <v>2614</v>
      </c>
      <c r="F864" s="1" t="s">
        <v>2615</v>
      </c>
      <c r="AW864" s="1" t="s">
        <v>0</v>
      </c>
    </row>
    <row r="865" spans="1:49" x14ac:dyDescent="0.15">
      <c r="A865" s="1" t="s">
        <v>2503</v>
      </c>
      <c r="C865" s="2" t="s">
        <v>2616</v>
      </c>
      <c r="F865" s="1" t="s">
        <v>2617</v>
      </c>
      <c r="AW865" s="1" t="s">
        <v>141</v>
      </c>
    </row>
    <row r="866" spans="1:49" x14ac:dyDescent="0.15">
      <c r="A866" s="1" t="s">
        <v>2503</v>
      </c>
      <c r="C866" s="1" t="s">
        <v>2616</v>
      </c>
      <c r="E866" s="1" t="s">
        <v>2618</v>
      </c>
    </row>
    <row r="867" spans="1:49" x14ac:dyDescent="0.15">
      <c r="A867" s="1" t="s">
        <v>2503</v>
      </c>
      <c r="C867" s="2" t="s">
        <v>2619</v>
      </c>
      <c r="E867" s="1" t="s">
        <v>2620</v>
      </c>
    </row>
    <row r="868" spans="1:49" x14ac:dyDescent="0.15">
      <c r="A868" s="1" t="s">
        <v>2503</v>
      </c>
      <c r="C868" s="1" t="s">
        <v>2621</v>
      </c>
      <c r="F868" s="1" t="s">
        <v>2622</v>
      </c>
      <c r="AW868" s="1" t="s">
        <v>0</v>
      </c>
    </row>
    <row r="869" spans="1:49" x14ac:dyDescent="0.15">
      <c r="A869" s="1" t="s">
        <v>2503</v>
      </c>
      <c r="C869" s="2" t="s">
        <v>2623</v>
      </c>
      <c r="E869" s="1" t="s">
        <v>2624</v>
      </c>
    </row>
    <row r="870" spans="1:49" x14ac:dyDescent="0.15">
      <c r="A870" s="1" t="s">
        <v>2503</v>
      </c>
      <c r="C870" s="1" t="s">
        <v>2623</v>
      </c>
      <c r="K870" s="1" t="s">
        <v>2625</v>
      </c>
    </row>
    <row r="871" spans="1:49" x14ac:dyDescent="0.15">
      <c r="A871" s="1" t="s">
        <v>2503</v>
      </c>
      <c r="C871" s="1" t="s">
        <v>2626</v>
      </c>
      <c r="F871" s="1" t="s">
        <v>2627</v>
      </c>
      <c r="AW871" s="1" t="s">
        <v>0</v>
      </c>
    </row>
    <row r="872" spans="1:49" x14ac:dyDescent="0.15">
      <c r="A872" s="1" t="s">
        <v>2503</v>
      </c>
      <c r="C872" s="2" t="s">
        <v>2628</v>
      </c>
      <c r="F872" s="1" t="s">
        <v>2629</v>
      </c>
      <c r="AW872" s="1" t="s">
        <v>0</v>
      </c>
    </row>
    <row r="873" spans="1:49" x14ac:dyDescent="0.15">
      <c r="A873" s="1" t="s">
        <v>2503</v>
      </c>
      <c r="C873" s="1" t="s">
        <v>2628</v>
      </c>
      <c r="K873" s="1" t="s">
        <v>2630</v>
      </c>
    </row>
    <row r="874" spans="1:49" x14ac:dyDescent="0.15">
      <c r="A874" s="1" t="s">
        <v>2503</v>
      </c>
      <c r="C874" s="1" t="s">
        <v>2631</v>
      </c>
      <c r="F874" s="1" t="s">
        <v>2632</v>
      </c>
      <c r="K874" s="1" t="s">
        <v>2633</v>
      </c>
      <c r="N874" s="1" t="s">
        <v>148</v>
      </c>
      <c r="O874" s="1" t="s">
        <v>149</v>
      </c>
      <c r="AW874" s="1" t="s">
        <v>145</v>
      </c>
    </row>
    <row r="875" spans="1:49" x14ac:dyDescent="0.15">
      <c r="A875" s="1" t="s">
        <v>2503</v>
      </c>
      <c r="C875" s="1" t="s">
        <v>2634</v>
      </c>
      <c r="K875" s="1" t="s">
        <v>2635</v>
      </c>
    </row>
    <row r="876" spans="1:49" x14ac:dyDescent="0.15">
      <c r="A876" s="1" t="s">
        <v>2503</v>
      </c>
      <c r="C876" s="2" t="s">
        <v>2636</v>
      </c>
      <c r="F876" s="1" t="s">
        <v>2637</v>
      </c>
      <c r="AW876" s="1" t="s">
        <v>141</v>
      </c>
    </row>
    <row r="877" spans="1:49" x14ac:dyDescent="0.15">
      <c r="A877" s="1" t="s">
        <v>2503</v>
      </c>
      <c r="C877" s="1" t="s">
        <v>2636</v>
      </c>
      <c r="E877" s="1" t="s">
        <v>2638</v>
      </c>
    </row>
    <row r="878" spans="1:49" x14ac:dyDescent="0.15">
      <c r="A878" s="1" t="s">
        <v>2503</v>
      </c>
      <c r="C878" s="2" t="s">
        <v>2639</v>
      </c>
      <c r="F878" s="1" t="s">
        <v>2640</v>
      </c>
      <c r="AW878" s="1" t="s">
        <v>0</v>
      </c>
    </row>
    <row r="879" spans="1:49" x14ac:dyDescent="0.15">
      <c r="A879" s="1" t="s">
        <v>2503</v>
      </c>
      <c r="C879" s="2" t="s">
        <v>2641</v>
      </c>
      <c r="F879" s="1" t="s">
        <v>2642</v>
      </c>
      <c r="AW879" s="1" t="s">
        <v>141</v>
      </c>
    </row>
    <row r="880" spans="1:49" x14ac:dyDescent="0.15">
      <c r="A880" s="1" t="s">
        <v>2503</v>
      </c>
      <c r="C880" s="2" t="s">
        <v>2643</v>
      </c>
      <c r="F880" s="1" t="s">
        <v>2644</v>
      </c>
      <c r="AW880" s="1" t="s">
        <v>0</v>
      </c>
    </row>
    <row r="881" spans="1:49" x14ac:dyDescent="0.15">
      <c r="A881" s="1" t="s">
        <v>2503</v>
      </c>
      <c r="C881" s="1" t="s">
        <v>2643</v>
      </c>
      <c r="E881" s="1" t="s">
        <v>2645</v>
      </c>
    </row>
    <row r="882" spans="1:49" x14ac:dyDescent="0.15">
      <c r="A882" s="1" t="s">
        <v>2503</v>
      </c>
      <c r="C882" s="2" t="s">
        <v>2646</v>
      </c>
      <c r="F882" s="1" t="s">
        <v>2647</v>
      </c>
      <c r="AW882" s="1" t="s">
        <v>0</v>
      </c>
    </row>
    <row r="883" spans="1:49" x14ac:dyDescent="0.15">
      <c r="A883" s="1" t="s">
        <v>2503</v>
      </c>
      <c r="C883" s="2" t="s">
        <v>2648</v>
      </c>
      <c r="K883" s="1" t="s">
        <v>2649</v>
      </c>
    </row>
    <row r="884" spans="1:49" x14ac:dyDescent="0.15">
      <c r="A884" s="1" t="s">
        <v>2503</v>
      </c>
      <c r="C884" s="1" t="s">
        <v>2648</v>
      </c>
      <c r="E884" s="1" t="s">
        <v>2650</v>
      </c>
    </row>
    <row r="885" spans="1:49" x14ac:dyDescent="0.15">
      <c r="A885" s="1" t="s">
        <v>2503</v>
      </c>
      <c r="C885" s="1" t="s">
        <v>2648</v>
      </c>
      <c r="K885" s="1" t="s">
        <v>2651</v>
      </c>
    </row>
    <row r="886" spans="1:49" x14ac:dyDescent="0.15">
      <c r="A886" s="1" t="s">
        <v>2503</v>
      </c>
      <c r="C886" s="1" t="s">
        <v>2648</v>
      </c>
      <c r="K886" s="1" t="s">
        <v>2652</v>
      </c>
    </row>
    <row r="887" spans="1:49" x14ac:dyDescent="0.15">
      <c r="A887" s="1" t="s">
        <v>2503</v>
      </c>
      <c r="C887" s="2" t="s">
        <v>2653</v>
      </c>
      <c r="F887" s="1" t="s">
        <v>2654</v>
      </c>
      <c r="N887" s="1" t="s">
        <v>148</v>
      </c>
      <c r="O887" s="1" t="s">
        <v>149</v>
      </c>
      <c r="AW887" s="1" t="s">
        <v>145</v>
      </c>
    </row>
    <row r="888" spans="1:49" x14ac:dyDescent="0.15">
      <c r="A888" s="1" t="s">
        <v>2503</v>
      </c>
      <c r="C888" s="2" t="s">
        <v>2655</v>
      </c>
      <c r="K888" s="1" t="s">
        <v>2656</v>
      </c>
    </row>
    <row r="889" spans="1:49" x14ac:dyDescent="0.15">
      <c r="A889" s="1" t="s">
        <v>2503</v>
      </c>
      <c r="C889" s="1" t="s">
        <v>2657</v>
      </c>
      <c r="K889" s="1" t="s">
        <v>2658</v>
      </c>
    </row>
    <row r="890" spans="1:49" x14ac:dyDescent="0.15">
      <c r="A890" s="1" t="s">
        <v>2503</v>
      </c>
      <c r="C890" s="1" t="s">
        <v>49</v>
      </c>
      <c r="E890" s="1" t="s">
        <v>2659</v>
      </c>
      <c r="F890" s="1" t="s">
        <v>2660</v>
      </c>
      <c r="K890" s="1" t="s">
        <v>2661</v>
      </c>
      <c r="R890" s="1" t="s">
        <v>2662</v>
      </c>
      <c r="X890" s="1" t="s">
        <v>2663</v>
      </c>
    </row>
    <row r="891" spans="1:49" x14ac:dyDescent="0.15">
      <c r="A891" s="1" t="s">
        <v>2503</v>
      </c>
      <c r="C891" s="2" t="s">
        <v>2664</v>
      </c>
      <c r="E891" s="1" t="s">
        <v>2665</v>
      </c>
    </row>
    <row r="892" spans="1:49" x14ac:dyDescent="0.15">
      <c r="A892" s="1" t="s">
        <v>2503</v>
      </c>
      <c r="C892" s="2" t="s">
        <v>2666</v>
      </c>
      <c r="K892" s="1" t="s">
        <v>2667</v>
      </c>
    </row>
    <row r="893" spans="1:49" x14ac:dyDescent="0.15">
      <c r="A893" s="1" t="s">
        <v>2503</v>
      </c>
      <c r="C893" s="2" t="s">
        <v>2668</v>
      </c>
      <c r="F893" s="1" t="s">
        <v>2669</v>
      </c>
      <c r="AW893" s="1" t="s">
        <v>0</v>
      </c>
    </row>
    <row r="894" spans="1:49" x14ac:dyDescent="0.15">
      <c r="A894" s="1" t="s">
        <v>2503</v>
      </c>
      <c r="C894" s="1" t="s">
        <v>2668</v>
      </c>
      <c r="E894" s="1" t="s">
        <v>2670</v>
      </c>
    </row>
    <row r="895" spans="1:49" x14ac:dyDescent="0.15">
      <c r="A895" s="1" t="s">
        <v>2503</v>
      </c>
      <c r="C895" s="1" t="s">
        <v>2671</v>
      </c>
      <c r="F895" s="1" t="s">
        <v>2672</v>
      </c>
      <c r="K895" s="1" t="s">
        <v>2673</v>
      </c>
      <c r="AW895" s="1" t="s">
        <v>145</v>
      </c>
    </row>
    <row r="896" spans="1:49" x14ac:dyDescent="0.15">
      <c r="A896" s="1" t="s">
        <v>2503</v>
      </c>
      <c r="C896" s="2" t="s">
        <v>2674</v>
      </c>
      <c r="K896" s="1" t="s">
        <v>2675</v>
      </c>
    </row>
    <row r="897" spans="1:49" x14ac:dyDescent="0.15">
      <c r="A897" s="1" t="s">
        <v>2503</v>
      </c>
      <c r="C897" s="1" t="s">
        <v>2674</v>
      </c>
      <c r="E897" s="1" t="s">
        <v>2676</v>
      </c>
    </row>
    <row r="898" spans="1:49" x14ac:dyDescent="0.15">
      <c r="A898" s="1" t="s">
        <v>2503</v>
      </c>
      <c r="C898" s="2" t="s">
        <v>2677</v>
      </c>
      <c r="K898" s="1" t="s">
        <v>2678</v>
      </c>
    </row>
    <row r="899" spans="1:49" x14ac:dyDescent="0.15">
      <c r="A899" s="1" t="s">
        <v>2503</v>
      </c>
      <c r="C899" s="1" t="s">
        <v>2677</v>
      </c>
      <c r="E899" s="1" t="s">
        <v>2679</v>
      </c>
    </row>
    <row r="900" spans="1:49" x14ac:dyDescent="0.15">
      <c r="A900" s="1" t="s">
        <v>2503</v>
      </c>
      <c r="C900" s="1" t="s">
        <v>2680</v>
      </c>
      <c r="F900" s="1" t="s">
        <v>2681</v>
      </c>
      <c r="AW900" s="1" t="s">
        <v>0</v>
      </c>
    </row>
    <row r="901" spans="1:49" x14ac:dyDescent="0.15">
      <c r="A901" s="1" t="s">
        <v>2503</v>
      </c>
      <c r="C901" s="2" t="s">
        <v>2682</v>
      </c>
      <c r="F901" s="1" t="s">
        <v>2683</v>
      </c>
      <c r="N901" s="1" t="s">
        <v>148</v>
      </c>
      <c r="O901" s="1" t="s">
        <v>149</v>
      </c>
      <c r="AW901" s="1" t="s">
        <v>145</v>
      </c>
    </row>
    <row r="902" spans="1:49" x14ac:dyDescent="0.15">
      <c r="A902" s="1" t="s">
        <v>2503</v>
      </c>
      <c r="C902" s="1" t="s">
        <v>2682</v>
      </c>
      <c r="F902" s="1" t="s">
        <v>2684</v>
      </c>
      <c r="AW902" s="1" t="s">
        <v>0</v>
      </c>
    </row>
    <row r="903" spans="1:49" x14ac:dyDescent="0.15">
      <c r="A903" s="1" t="s">
        <v>2503</v>
      </c>
      <c r="C903" s="1" t="s">
        <v>2682</v>
      </c>
      <c r="E903" s="1" t="s">
        <v>2685</v>
      </c>
    </row>
    <row r="904" spans="1:49" x14ac:dyDescent="0.15">
      <c r="A904" s="1" t="s">
        <v>2503</v>
      </c>
      <c r="C904" s="1" t="s">
        <v>2682</v>
      </c>
      <c r="K904" s="1" t="s">
        <v>2686</v>
      </c>
    </row>
    <row r="905" spans="1:49" x14ac:dyDescent="0.15">
      <c r="A905" s="1" t="s">
        <v>2503</v>
      </c>
      <c r="C905" s="2" t="s">
        <v>2687</v>
      </c>
      <c r="F905" s="1" t="s">
        <v>2688</v>
      </c>
      <c r="AW905" s="1" t="s">
        <v>141</v>
      </c>
    </row>
    <row r="906" spans="1:49" x14ac:dyDescent="0.15">
      <c r="A906" s="1" t="s">
        <v>2503</v>
      </c>
      <c r="C906" s="1" t="s">
        <v>2687</v>
      </c>
      <c r="E906" s="1" t="s">
        <v>2689</v>
      </c>
    </row>
    <row r="907" spans="1:49" x14ac:dyDescent="0.15">
      <c r="A907" s="1" t="s">
        <v>2503</v>
      </c>
      <c r="C907" s="1" t="s">
        <v>2690</v>
      </c>
      <c r="F907" s="1" t="s">
        <v>2691</v>
      </c>
      <c r="AW907" s="1" t="s">
        <v>1881</v>
      </c>
    </row>
    <row r="908" spans="1:49" x14ac:dyDescent="0.15">
      <c r="A908" s="1" t="s">
        <v>2503</v>
      </c>
      <c r="C908" s="1" t="s">
        <v>2692</v>
      </c>
      <c r="F908" s="1" t="s">
        <v>2693</v>
      </c>
      <c r="AW908" s="1" t="s">
        <v>141</v>
      </c>
    </row>
    <row r="909" spans="1:49" x14ac:dyDescent="0.15">
      <c r="A909" s="1" t="s">
        <v>2503</v>
      </c>
      <c r="C909" s="1" t="s">
        <v>2692</v>
      </c>
      <c r="E909" s="1" t="s">
        <v>2694</v>
      </c>
    </row>
    <row r="910" spans="1:49" x14ac:dyDescent="0.15">
      <c r="A910" s="1" t="s">
        <v>2503</v>
      </c>
      <c r="C910" s="1" t="s">
        <v>2695</v>
      </c>
      <c r="E910" s="1" t="s">
        <v>2696</v>
      </c>
    </row>
    <row r="911" spans="1:49" x14ac:dyDescent="0.15">
      <c r="A911" s="1" t="s">
        <v>2503</v>
      </c>
      <c r="C911" s="1" t="s">
        <v>2697</v>
      </c>
      <c r="K911" s="1" t="s">
        <v>2698</v>
      </c>
    </row>
    <row r="912" spans="1:49" x14ac:dyDescent="0.15">
      <c r="A912" s="1" t="s">
        <v>2503</v>
      </c>
      <c r="C912" s="1" t="s">
        <v>2697</v>
      </c>
      <c r="E912" s="1" t="s">
        <v>2699</v>
      </c>
    </row>
    <row r="913" spans="1:49" x14ac:dyDescent="0.15">
      <c r="A913" s="1" t="s">
        <v>2503</v>
      </c>
      <c r="C913" s="2" t="s">
        <v>2700</v>
      </c>
      <c r="F913" s="1" t="s">
        <v>2701</v>
      </c>
      <c r="AW913" s="1" t="s">
        <v>0</v>
      </c>
    </row>
    <row r="914" spans="1:49" x14ac:dyDescent="0.15">
      <c r="A914" s="1" t="s">
        <v>2503</v>
      </c>
      <c r="C914" s="1" t="s">
        <v>2700</v>
      </c>
      <c r="K914" s="1" t="s">
        <v>2702</v>
      </c>
    </row>
    <row r="915" spans="1:49" x14ac:dyDescent="0.15">
      <c r="A915" s="1" t="s">
        <v>2503</v>
      </c>
      <c r="C915" s="1" t="s">
        <v>2703</v>
      </c>
      <c r="E915" s="1" t="s">
        <v>2704</v>
      </c>
    </row>
    <row r="916" spans="1:49" x14ac:dyDescent="0.15">
      <c r="A916" s="1" t="s">
        <v>2705</v>
      </c>
      <c r="C916" s="1" t="s">
        <v>2706</v>
      </c>
      <c r="K916" s="1" t="s">
        <v>2707</v>
      </c>
    </row>
    <row r="917" spans="1:49" x14ac:dyDescent="0.15">
      <c r="A917" s="1" t="s">
        <v>2705</v>
      </c>
      <c r="C917" s="1" t="s">
        <v>2708</v>
      </c>
      <c r="K917" s="1" t="s">
        <v>2709</v>
      </c>
    </row>
    <row r="918" spans="1:49" x14ac:dyDescent="0.15">
      <c r="A918" s="1" t="s">
        <v>2705</v>
      </c>
      <c r="C918" s="1" t="s">
        <v>2710</v>
      </c>
      <c r="K918" s="1" t="s">
        <v>2711</v>
      </c>
    </row>
    <row r="919" spans="1:49" x14ac:dyDescent="0.15">
      <c r="A919" s="1" t="s">
        <v>2705</v>
      </c>
      <c r="C919" s="1" t="s">
        <v>2712</v>
      </c>
      <c r="K919" s="1" t="s">
        <v>2713</v>
      </c>
    </row>
    <row r="920" spans="1:49" x14ac:dyDescent="0.15">
      <c r="A920" s="1" t="s">
        <v>2705</v>
      </c>
      <c r="C920" s="1" t="s">
        <v>2714</v>
      </c>
      <c r="K920" s="1" t="s">
        <v>2715</v>
      </c>
    </row>
    <row r="921" spans="1:49" x14ac:dyDescent="0.15">
      <c r="A921" s="1" t="s">
        <v>2705</v>
      </c>
      <c r="C921" s="1" t="s">
        <v>2716</v>
      </c>
      <c r="K921" s="1" t="s">
        <v>2717</v>
      </c>
    </row>
    <row r="922" spans="1:49" x14ac:dyDescent="0.15">
      <c r="A922" s="1" t="s">
        <v>2705</v>
      </c>
      <c r="C922" s="2" t="s">
        <v>2718</v>
      </c>
      <c r="F922" s="1" t="s">
        <v>2719</v>
      </c>
      <c r="AW922" s="1" t="s">
        <v>0</v>
      </c>
    </row>
    <row r="923" spans="1:49" x14ac:dyDescent="0.15">
      <c r="A923" s="1" t="s">
        <v>2705</v>
      </c>
      <c r="C923" s="1" t="s">
        <v>2718</v>
      </c>
      <c r="K923" s="1" t="s">
        <v>2720</v>
      </c>
    </row>
    <row r="924" spans="1:49" x14ac:dyDescent="0.15">
      <c r="A924" s="1" t="s">
        <v>2705</v>
      </c>
      <c r="C924" s="1" t="s">
        <v>2721</v>
      </c>
      <c r="K924" s="1" t="s">
        <v>2722</v>
      </c>
    </row>
    <row r="925" spans="1:49" x14ac:dyDescent="0.15">
      <c r="A925" s="1" t="s">
        <v>2705</v>
      </c>
      <c r="C925" s="1" t="s">
        <v>2723</v>
      </c>
      <c r="F925" s="1" t="s">
        <v>2724</v>
      </c>
      <c r="AW925" s="1" t="s">
        <v>0</v>
      </c>
    </row>
    <row r="926" spans="1:49" x14ac:dyDescent="0.15">
      <c r="A926" s="1" t="s">
        <v>2705</v>
      </c>
      <c r="C926" s="1" t="s">
        <v>2723</v>
      </c>
      <c r="K926" s="1" t="s">
        <v>2725</v>
      </c>
    </row>
    <row r="927" spans="1:49" x14ac:dyDescent="0.15">
      <c r="A927" s="1" t="s">
        <v>2705</v>
      </c>
      <c r="C927" s="1" t="s">
        <v>2726</v>
      </c>
      <c r="K927" s="1" t="s">
        <v>2727</v>
      </c>
    </row>
    <row r="928" spans="1:49" x14ac:dyDescent="0.15">
      <c r="A928" s="1" t="s">
        <v>858</v>
      </c>
      <c r="C928" s="2" t="s">
        <v>2799</v>
      </c>
      <c r="K928" s="1" t="s">
        <v>2800</v>
      </c>
    </row>
    <row r="929" spans="1:49" x14ac:dyDescent="0.15">
      <c r="A929" s="1" t="s">
        <v>858</v>
      </c>
      <c r="C929" s="1" t="s">
        <v>2801</v>
      </c>
      <c r="F929" s="1" t="s">
        <v>2802</v>
      </c>
      <c r="AW929" s="1" t="s">
        <v>0</v>
      </c>
    </row>
    <row r="930" spans="1:49" x14ac:dyDescent="0.15">
      <c r="A930" s="1" t="s">
        <v>858</v>
      </c>
      <c r="B930" s="1" t="s">
        <v>2803</v>
      </c>
      <c r="C930" s="2"/>
      <c r="E930" s="1" t="s">
        <v>2804</v>
      </c>
    </row>
    <row r="931" spans="1:49" x14ac:dyDescent="0.15">
      <c r="A931" s="1" t="s">
        <v>858</v>
      </c>
      <c r="B931" s="1" t="s">
        <v>2805</v>
      </c>
      <c r="E931" s="1" t="s">
        <v>2806</v>
      </c>
      <c r="R931" s="1" t="s">
        <v>2807</v>
      </c>
    </row>
    <row r="932" spans="1:49" x14ac:dyDescent="0.15">
      <c r="A932" s="1" t="s">
        <v>858</v>
      </c>
      <c r="C932" s="1" t="s">
        <v>2808</v>
      </c>
      <c r="K932" s="1" t="s">
        <v>2809</v>
      </c>
    </row>
    <row r="933" spans="1:49" x14ac:dyDescent="0.15">
      <c r="A933" s="1" t="s">
        <v>858</v>
      </c>
      <c r="B933" s="1" t="s">
        <v>2810</v>
      </c>
      <c r="E933" s="1" t="s">
        <v>2811</v>
      </c>
    </row>
    <row r="934" spans="1:49" x14ac:dyDescent="0.15">
      <c r="A934" s="1" t="s">
        <v>858</v>
      </c>
      <c r="C934" s="1" t="s">
        <v>2812</v>
      </c>
      <c r="K934" s="1" t="s">
        <v>2813</v>
      </c>
    </row>
    <row r="935" spans="1:49" x14ac:dyDescent="0.15">
      <c r="A935" s="1" t="s">
        <v>858</v>
      </c>
      <c r="B935" s="1" t="s">
        <v>2814</v>
      </c>
      <c r="C935" s="2"/>
      <c r="E935" s="1" t="s">
        <v>2815</v>
      </c>
      <c r="AG935" s="1" t="s">
        <v>2816</v>
      </c>
      <c r="AH935" s="1" t="s">
        <v>2817</v>
      </c>
    </row>
    <row r="936" spans="1:49" x14ac:dyDescent="0.15">
      <c r="A936" s="1" t="s">
        <v>858</v>
      </c>
      <c r="C936" s="1" t="s">
        <v>2818</v>
      </c>
      <c r="K936" s="1" t="s">
        <v>2819</v>
      </c>
    </row>
    <row r="937" spans="1:49" x14ac:dyDescent="0.15">
      <c r="A937" s="1" t="s">
        <v>2820</v>
      </c>
      <c r="C937" s="2" t="s">
        <v>2825</v>
      </c>
      <c r="F937" s="1" t="s">
        <v>2826</v>
      </c>
      <c r="AW937" s="1" t="s">
        <v>155</v>
      </c>
    </row>
    <row r="938" spans="1:49" x14ac:dyDescent="0.15">
      <c r="A938" s="1" t="s">
        <v>2820</v>
      </c>
      <c r="C938" s="1" t="s">
        <v>2825</v>
      </c>
      <c r="E938" s="1" t="s">
        <v>2827</v>
      </c>
    </row>
    <row r="939" spans="1:49" x14ac:dyDescent="0.15">
      <c r="A939" s="1" t="s">
        <v>2820</v>
      </c>
      <c r="C939" s="1" t="s">
        <v>2828</v>
      </c>
      <c r="E939" s="1" t="s">
        <v>2829</v>
      </c>
    </row>
    <row r="940" spans="1:49" x14ac:dyDescent="0.15">
      <c r="A940" s="1" t="s">
        <v>2820</v>
      </c>
      <c r="C940" s="1" t="s">
        <v>2830</v>
      </c>
      <c r="K940" s="1" t="s">
        <v>2831</v>
      </c>
    </row>
    <row r="941" spans="1:49" x14ac:dyDescent="0.15">
      <c r="A941" s="1" t="s">
        <v>2820</v>
      </c>
      <c r="C941" s="2" t="s">
        <v>2832</v>
      </c>
      <c r="F941" s="1" t="s">
        <v>2833</v>
      </c>
      <c r="AW941" s="1" t="s">
        <v>155</v>
      </c>
    </row>
    <row r="942" spans="1:49" x14ac:dyDescent="0.15">
      <c r="A942" s="1" t="s">
        <v>2820</v>
      </c>
      <c r="C942" s="1" t="s">
        <v>2832</v>
      </c>
      <c r="K942" s="1" t="s">
        <v>2834</v>
      </c>
    </row>
    <row r="943" spans="1:49" x14ac:dyDescent="0.15">
      <c r="A943" s="1" t="s">
        <v>2820</v>
      </c>
      <c r="C943" s="1" t="s">
        <v>2835</v>
      </c>
      <c r="K943" s="1" t="s">
        <v>2836</v>
      </c>
    </row>
    <row r="944" spans="1:49" x14ac:dyDescent="0.15">
      <c r="A944" s="1" t="s">
        <v>2820</v>
      </c>
      <c r="C944" s="1" t="s">
        <v>2835</v>
      </c>
      <c r="K944" s="1" t="s">
        <v>2837</v>
      </c>
    </row>
    <row r="945" spans="1:49" x14ac:dyDescent="0.15">
      <c r="A945" s="1" t="s">
        <v>2820</v>
      </c>
      <c r="C945" s="1" t="s">
        <v>2838</v>
      </c>
      <c r="F945" s="1" t="s">
        <v>410</v>
      </c>
    </row>
    <row r="946" spans="1:49" x14ac:dyDescent="0.15">
      <c r="A946" s="1" t="s">
        <v>2820</v>
      </c>
      <c r="C946" s="1" t="s">
        <v>2839</v>
      </c>
      <c r="F946" s="1" t="s">
        <v>2840</v>
      </c>
      <c r="AW946" s="1" t="s">
        <v>155</v>
      </c>
    </row>
    <row r="947" spans="1:49" x14ac:dyDescent="0.15">
      <c r="A947" s="1" t="s">
        <v>2820</v>
      </c>
      <c r="C947" s="1" t="s">
        <v>2841</v>
      </c>
      <c r="K947" s="1" t="s">
        <v>2842</v>
      </c>
    </row>
    <row r="948" spans="1:49" x14ac:dyDescent="0.15">
      <c r="A948" s="1" t="s">
        <v>2820</v>
      </c>
      <c r="C948" s="2" t="s">
        <v>2843</v>
      </c>
      <c r="F948" s="1" t="s">
        <v>2844</v>
      </c>
      <c r="AW948" s="1" t="s">
        <v>0</v>
      </c>
    </row>
    <row r="949" spans="1:49" x14ac:dyDescent="0.15">
      <c r="A949" s="1" t="s">
        <v>2820</v>
      </c>
      <c r="C949" s="2" t="s">
        <v>2845</v>
      </c>
      <c r="F949" s="1" t="s">
        <v>2846</v>
      </c>
      <c r="AW949" s="1" t="s">
        <v>0</v>
      </c>
    </row>
    <row r="950" spans="1:49" x14ac:dyDescent="0.15">
      <c r="A950" s="1" t="s">
        <v>2820</v>
      </c>
      <c r="C950" s="1" t="s">
        <v>2845</v>
      </c>
      <c r="K950" s="1" t="s">
        <v>2847</v>
      </c>
    </row>
    <row r="951" spans="1:49" x14ac:dyDescent="0.15">
      <c r="A951" s="1" t="s">
        <v>2820</v>
      </c>
      <c r="C951" s="1" t="s">
        <v>2848</v>
      </c>
      <c r="F951" s="1" t="s">
        <v>2849</v>
      </c>
      <c r="AW951" s="1" t="s">
        <v>0</v>
      </c>
    </row>
    <row r="952" spans="1:49" x14ac:dyDescent="0.15">
      <c r="A952" s="1" t="s">
        <v>2820</v>
      </c>
      <c r="C952" s="2" t="s">
        <v>2850</v>
      </c>
      <c r="K952" s="1" t="s">
        <v>2851</v>
      </c>
    </row>
    <row r="953" spans="1:49" x14ac:dyDescent="0.15">
      <c r="A953" s="1" t="s">
        <v>2820</v>
      </c>
      <c r="C953" s="1" t="s">
        <v>2852</v>
      </c>
      <c r="K953" s="1" t="s">
        <v>2853</v>
      </c>
    </row>
    <row r="954" spans="1:49" x14ac:dyDescent="0.15">
      <c r="A954" s="1" t="s">
        <v>2820</v>
      </c>
      <c r="C954" s="1" t="s">
        <v>2854</v>
      </c>
      <c r="K954" s="1" t="s">
        <v>2855</v>
      </c>
    </row>
    <row r="955" spans="1:49" x14ac:dyDescent="0.15">
      <c r="A955" s="1" t="s">
        <v>2820</v>
      </c>
      <c r="C955" s="1" t="s">
        <v>2856</v>
      </c>
      <c r="K955" s="1" t="s">
        <v>2857</v>
      </c>
    </row>
    <row r="956" spans="1:49" x14ac:dyDescent="0.15">
      <c r="A956" s="1" t="s">
        <v>2820</v>
      </c>
      <c r="C956" s="1" t="s">
        <v>2858</v>
      </c>
      <c r="F956" s="1" t="s">
        <v>2859</v>
      </c>
      <c r="AW956" s="1" t="s">
        <v>0</v>
      </c>
    </row>
    <row r="957" spans="1:49" x14ac:dyDescent="0.15">
      <c r="A957" s="1" t="s">
        <v>2820</v>
      </c>
      <c r="C957" s="2" t="s">
        <v>2860</v>
      </c>
      <c r="K957" s="1" t="s">
        <v>2861</v>
      </c>
    </row>
    <row r="958" spans="1:49" x14ac:dyDescent="0.15">
      <c r="A958" s="1" t="s">
        <v>2820</v>
      </c>
      <c r="C958" s="1" t="s">
        <v>2862</v>
      </c>
      <c r="F958" s="1" t="s">
        <v>2863</v>
      </c>
      <c r="AW958" s="1" t="s">
        <v>0</v>
      </c>
    </row>
    <row r="959" spans="1:49" x14ac:dyDescent="0.15">
      <c r="A959" s="1" t="s">
        <v>2820</v>
      </c>
      <c r="C959" s="1" t="s">
        <v>2864</v>
      </c>
      <c r="AW959" s="1" t="s">
        <v>0</v>
      </c>
    </row>
    <row r="960" spans="1:49" x14ac:dyDescent="0.15">
      <c r="A960" s="1" t="s">
        <v>2820</v>
      </c>
      <c r="C960" s="1" t="s">
        <v>2865</v>
      </c>
      <c r="K960" s="1" t="s">
        <v>2866</v>
      </c>
    </row>
    <row r="961" spans="1:49" x14ac:dyDescent="0.15">
      <c r="A961" s="1" t="s">
        <v>2820</v>
      </c>
      <c r="C961" s="2" t="s">
        <v>2867</v>
      </c>
      <c r="E961" s="1" t="s">
        <v>2868</v>
      </c>
    </row>
    <row r="962" spans="1:49" x14ac:dyDescent="0.15">
      <c r="A962" s="1" t="s">
        <v>2820</v>
      </c>
      <c r="C962" s="1" t="s">
        <v>2869</v>
      </c>
      <c r="K962" s="1" t="s">
        <v>2870</v>
      </c>
    </row>
    <row r="963" spans="1:49" x14ac:dyDescent="0.15">
      <c r="A963" s="1" t="s">
        <v>2820</v>
      </c>
      <c r="C963" s="1" t="s">
        <v>2871</v>
      </c>
      <c r="F963" s="1" t="s">
        <v>2872</v>
      </c>
      <c r="AW963" s="1" t="s">
        <v>0</v>
      </c>
    </row>
    <row r="964" spans="1:49" x14ac:dyDescent="0.15">
      <c r="A964" s="1" t="s">
        <v>2820</v>
      </c>
      <c r="B964" s="1" t="s">
        <v>2873</v>
      </c>
      <c r="E964" s="1" t="s">
        <v>2874</v>
      </c>
      <c r="F964" s="1" t="s">
        <v>2875</v>
      </c>
      <c r="AG964" s="1" t="s">
        <v>2876</v>
      </c>
      <c r="AH964" s="1" t="s">
        <v>2877</v>
      </c>
    </row>
    <row r="965" spans="1:49" x14ac:dyDescent="0.15">
      <c r="A965" s="1" t="s">
        <v>2820</v>
      </c>
      <c r="C965" s="1" t="s">
        <v>2878</v>
      </c>
      <c r="K965" s="1" t="s">
        <v>2879</v>
      </c>
    </row>
    <row r="966" spans="1:49" x14ac:dyDescent="0.15">
      <c r="A966" s="1" t="s">
        <v>2820</v>
      </c>
      <c r="C966" s="1" t="s">
        <v>2880</v>
      </c>
      <c r="K966" s="1" t="s">
        <v>2881</v>
      </c>
    </row>
    <row r="967" spans="1:49" x14ac:dyDescent="0.15">
      <c r="A967" s="1" t="s">
        <v>2820</v>
      </c>
      <c r="C967" s="1" t="s">
        <v>2882</v>
      </c>
      <c r="F967" s="1" t="s">
        <v>2883</v>
      </c>
      <c r="AW967" s="1" t="s">
        <v>0</v>
      </c>
    </row>
    <row r="968" spans="1:49" x14ac:dyDescent="0.15">
      <c r="A968" s="1" t="s">
        <v>2820</v>
      </c>
      <c r="C968" s="2" t="s">
        <v>2884</v>
      </c>
      <c r="E968" s="1" t="s">
        <v>2885</v>
      </c>
    </row>
    <row r="969" spans="1:49" x14ac:dyDescent="0.15">
      <c r="A969" s="1" t="s">
        <v>2820</v>
      </c>
      <c r="C969" s="2" t="s">
        <v>2886</v>
      </c>
      <c r="E969" s="1" t="s">
        <v>2887</v>
      </c>
      <c r="AG969" s="1" t="s">
        <v>2888</v>
      </c>
    </row>
    <row r="970" spans="1:49" x14ac:dyDescent="0.15">
      <c r="A970" s="1" t="s">
        <v>2820</v>
      </c>
      <c r="C970" s="2" t="s">
        <v>2889</v>
      </c>
      <c r="K970" s="1" t="s">
        <v>2890</v>
      </c>
    </row>
    <row r="971" spans="1:49" x14ac:dyDescent="0.15">
      <c r="A971" s="1" t="s">
        <v>2820</v>
      </c>
      <c r="C971" s="1" t="s">
        <v>2891</v>
      </c>
      <c r="K971" s="1" t="s">
        <v>2892</v>
      </c>
    </row>
    <row r="972" spans="1:49" x14ac:dyDescent="0.15">
      <c r="A972" s="1" t="s">
        <v>2820</v>
      </c>
      <c r="C972" s="2" t="s">
        <v>2893</v>
      </c>
      <c r="F972" s="1" t="s">
        <v>2894</v>
      </c>
      <c r="AW972" s="1" t="s">
        <v>0</v>
      </c>
    </row>
    <row r="973" spans="1:49" x14ac:dyDescent="0.15">
      <c r="A973" s="1" t="s">
        <v>2820</v>
      </c>
      <c r="C973" s="1" t="s">
        <v>2893</v>
      </c>
      <c r="E973" s="1" t="s">
        <v>2895</v>
      </c>
    </row>
    <row r="974" spans="1:49" x14ac:dyDescent="0.15">
      <c r="A974" s="1" t="s">
        <v>2820</v>
      </c>
      <c r="C974" s="2" t="s">
        <v>2896</v>
      </c>
      <c r="K974" s="1" t="s">
        <v>2897</v>
      </c>
    </row>
    <row r="975" spans="1:49" x14ac:dyDescent="0.15">
      <c r="A975" s="1" t="s">
        <v>2820</v>
      </c>
      <c r="C975" s="1" t="s">
        <v>2898</v>
      </c>
      <c r="K975" s="1" t="s">
        <v>518</v>
      </c>
    </row>
    <row r="976" spans="1:49" x14ac:dyDescent="0.15">
      <c r="A976" s="1" t="s">
        <v>2820</v>
      </c>
      <c r="C976" s="2" t="s">
        <v>2899</v>
      </c>
      <c r="F976" s="1" t="s">
        <v>2900</v>
      </c>
      <c r="AW976" s="1" t="s">
        <v>0</v>
      </c>
    </row>
    <row r="977" spans="1:49" x14ac:dyDescent="0.15">
      <c r="A977" s="1" t="s">
        <v>2820</v>
      </c>
      <c r="C977" s="1" t="s">
        <v>2901</v>
      </c>
      <c r="K977" s="1" t="s">
        <v>2902</v>
      </c>
    </row>
    <row r="978" spans="1:49" x14ac:dyDescent="0.15">
      <c r="A978" s="1" t="s">
        <v>2820</v>
      </c>
      <c r="C978" s="2" t="s">
        <v>2903</v>
      </c>
      <c r="K978" s="1" t="s">
        <v>2904</v>
      </c>
    </row>
    <row r="979" spans="1:49" x14ac:dyDescent="0.15">
      <c r="A979" s="1" t="s">
        <v>2820</v>
      </c>
      <c r="C979" s="2" t="s">
        <v>2905</v>
      </c>
      <c r="K979" s="1" t="s">
        <v>2906</v>
      </c>
    </row>
    <row r="980" spans="1:49" x14ac:dyDescent="0.15">
      <c r="A980" s="1" t="s">
        <v>2820</v>
      </c>
      <c r="C980" s="1" t="s">
        <v>2907</v>
      </c>
      <c r="F980" s="1" t="s">
        <v>2908</v>
      </c>
      <c r="AW980" s="1" t="s">
        <v>0</v>
      </c>
    </row>
    <row r="981" spans="1:49" x14ac:dyDescent="0.15">
      <c r="A981" s="1" t="s">
        <v>2820</v>
      </c>
      <c r="C981" s="1" t="s">
        <v>2907</v>
      </c>
      <c r="F981" s="1" t="s">
        <v>2909</v>
      </c>
      <c r="AW981" s="1" t="s">
        <v>0</v>
      </c>
    </row>
    <row r="982" spans="1:49" x14ac:dyDescent="0.15">
      <c r="A982" s="1" t="s">
        <v>2820</v>
      </c>
      <c r="C982" s="1" t="s">
        <v>2907</v>
      </c>
      <c r="K982" s="1" t="s">
        <v>2910</v>
      </c>
    </row>
    <row r="983" spans="1:49" x14ac:dyDescent="0.15">
      <c r="A983" s="1" t="s">
        <v>2820</v>
      </c>
      <c r="C983" s="2" t="s">
        <v>2911</v>
      </c>
      <c r="K983" s="1" t="s">
        <v>2912</v>
      </c>
    </row>
    <row r="984" spans="1:49" x14ac:dyDescent="0.15">
      <c r="A984" s="1" t="s">
        <v>2820</v>
      </c>
      <c r="C984" s="1" t="s">
        <v>2913</v>
      </c>
      <c r="F984" s="1" t="s">
        <v>2914</v>
      </c>
      <c r="AW984" s="1" t="s">
        <v>0</v>
      </c>
    </row>
    <row r="985" spans="1:49" x14ac:dyDescent="0.15">
      <c r="A985" s="1" t="s">
        <v>2820</v>
      </c>
      <c r="C985" s="1" t="s">
        <v>2915</v>
      </c>
      <c r="K985" s="1" t="s">
        <v>2916</v>
      </c>
    </row>
    <row r="986" spans="1:49" x14ac:dyDescent="0.15">
      <c r="A986" s="1" t="s">
        <v>2820</v>
      </c>
      <c r="C986" s="1" t="s">
        <v>2915</v>
      </c>
      <c r="K986" s="1" t="s">
        <v>2917</v>
      </c>
    </row>
    <row r="987" spans="1:49" x14ac:dyDescent="0.15">
      <c r="A987" s="1" t="s">
        <v>2820</v>
      </c>
      <c r="C987" s="1" t="s">
        <v>2918</v>
      </c>
      <c r="F987" s="1" t="s">
        <v>2919</v>
      </c>
      <c r="AW987" s="1" t="s">
        <v>0</v>
      </c>
    </row>
    <row r="988" spans="1:49" x14ac:dyDescent="0.15">
      <c r="A988" s="1" t="s">
        <v>2820</v>
      </c>
      <c r="B988" s="1" t="s">
        <v>2920</v>
      </c>
      <c r="E988" s="1" t="s">
        <v>2921</v>
      </c>
    </row>
    <row r="989" spans="1:49" x14ac:dyDescent="0.15">
      <c r="A989" s="1" t="s">
        <v>2820</v>
      </c>
      <c r="C989" s="1" t="s">
        <v>55</v>
      </c>
      <c r="E989" s="1" t="s">
        <v>2922</v>
      </c>
    </row>
    <row r="990" spans="1:49" x14ac:dyDescent="0.15">
      <c r="A990" s="1" t="s">
        <v>2820</v>
      </c>
      <c r="C990" s="2" t="s">
        <v>2923</v>
      </c>
      <c r="F990" s="1" t="s">
        <v>2924</v>
      </c>
    </row>
    <row r="991" spans="1:49" x14ac:dyDescent="0.15">
      <c r="A991" s="1" t="s">
        <v>2820</v>
      </c>
      <c r="C991" s="1" t="s">
        <v>2925</v>
      </c>
      <c r="F991" s="1" t="s">
        <v>56</v>
      </c>
    </row>
    <row r="992" spans="1:49" x14ac:dyDescent="0.15">
      <c r="A992" s="1" t="s">
        <v>2926</v>
      </c>
      <c r="C992" s="1" t="s">
        <v>2927</v>
      </c>
      <c r="F992" s="1" t="s">
        <v>2928</v>
      </c>
      <c r="AW992" s="1" t="s">
        <v>155</v>
      </c>
    </row>
    <row r="993" spans="1:49" x14ac:dyDescent="0.15">
      <c r="A993" s="1" t="s">
        <v>2926</v>
      </c>
      <c r="C993" s="1" t="s">
        <v>2929</v>
      </c>
      <c r="F993" s="1" t="s">
        <v>2930</v>
      </c>
      <c r="AW993" s="1" t="s">
        <v>0</v>
      </c>
    </row>
    <row r="994" spans="1:49" x14ac:dyDescent="0.15">
      <c r="A994" s="1" t="s">
        <v>2926</v>
      </c>
      <c r="C994" s="1" t="s">
        <v>2929</v>
      </c>
      <c r="K994" s="1" t="s">
        <v>2931</v>
      </c>
    </row>
    <row r="995" spans="1:49" x14ac:dyDescent="0.15">
      <c r="A995" s="1" t="s">
        <v>2926</v>
      </c>
      <c r="C995" s="1" t="s">
        <v>2932</v>
      </c>
      <c r="F995" s="1" t="s">
        <v>2933</v>
      </c>
      <c r="AW995" s="1" t="s">
        <v>0</v>
      </c>
    </row>
    <row r="996" spans="1:49" x14ac:dyDescent="0.15">
      <c r="A996" s="1" t="s">
        <v>2926</v>
      </c>
      <c r="C996" s="2" t="s">
        <v>1</v>
      </c>
      <c r="E996" s="1" t="s">
        <v>2934</v>
      </c>
      <c r="K996" s="1" t="s">
        <v>2935</v>
      </c>
    </row>
    <row r="997" spans="1:49" x14ac:dyDescent="0.15">
      <c r="A997" s="1" t="s">
        <v>2926</v>
      </c>
      <c r="B997" s="1" t="s">
        <v>2936</v>
      </c>
      <c r="F997" s="1" t="s">
        <v>2937</v>
      </c>
    </row>
    <row r="998" spans="1:49" x14ac:dyDescent="0.15">
      <c r="A998" s="1" t="s">
        <v>2926</v>
      </c>
      <c r="C998" s="1" t="s">
        <v>2938</v>
      </c>
      <c r="F998" s="1" t="s">
        <v>4</v>
      </c>
    </row>
    <row r="999" spans="1:49" x14ac:dyDescent="0.15">
      <c r="A999" s="1" t="s">
        <v>2926</v>
      </c>
      <c r="C999" s="1" t="s">
        <v>2939</v>
      </c>
      <c r="F999" s="1" t="s">
        <v>2940</v>
      </c>
      <c r="AW999" s="1" t="s">
        <v>0</v>
      </c>
    </row>
    <row r="1000" spans="1:49" x14ac:dyDescent="0.15">
      <c r="A1000" s="1" t="s">
        <v>2926</v>
      </c>
      <c r="C1000" s="1" t="s">
        <v>2941</v>
      </c>
      <c r="F1000" s="1" t="s">
        <v>2942</v>
      </c>
      <c r="AW1000" s="1" t="s">
        <v>0</v>
      </c>
    </row>
    <row r="1001" spans="1:49" x14ac:dyDescent="0.15">
      <c r="A1001" s="1" t="s">
        <v>2926</v>
      </c>
      <c r="C1001" s="1" t="s">
        <v>2941</v>
      </c>
      <c r="E1001" s="1" t="s">
        <v>2943</v>
      </c>
    </row>
    <row r="1002" spans="1:49" x14ac:dyDescent="0.15">
      <c r="A1002" s="1" t="s">
        <v>2926</v>
      </c>
      <c r="C1002" s="1" t="s">
        <v>2944</v>
      </c>
      <c r="F1002" s="1" t="s">
        <v>2945</v>
      </c>
      <c r="AW1002" s="1" t="s">
        <v>0</v>
      </c>
    </row>
    <row r="1003" spans="1:49" x14ac:dyDescent="0.15">
      <c r="A1003" s="1" t="s">
        <v>2926</v>
      </c>
      <c r="C1003" s="1" t="s">
        <v>2946</v>
      </c>
      <c r="K1003" s="1" t="s">
        <v>2947</v>
      </c>
    </row>
    <row r="1004" spans="1:49" x14ac:dyDescent="0.15">
      <c r="A1004" s="1" t="s">
        <v>2926</v>
      </c>
      <c r="C1004" s="1" t="s">
        <v>1296</v>
      </c>
      <c r="F1004" s="1" t="s">
        <v>2948</v>
      </c>
      <c r="AW1004" s="1" t="s">
        <v>141</v>
      </c>
    </row>
    <row r="1005" spans="1:49" x14ac:dyDescent="0.15">
      <c r="A1005" s="1" t="s">
        <v>2926</v>
      </c>
      <c r="C1005" s="2" t="s">
        <v>2949</v>
      </c>
      <c r="F1005" s="1" t="s">
        <v>2950</v>
      </c>
      <c r="AW1005" s="1" t="s">
        <v>0</v>
      </c>
    </row>
    <row r="1006" spans="1:49" x14ac:dyDescent="0.15">
      <c r="A1006" s="1" t="s">
        <v>2926</v>
      </c>
      <c r="C1006" s="1" t="s">
        <v>2949</v>
      </c>
      <c r="E1006" s="1" t="s">
        <v>2951</v>
      </c>
    </row>
    <row r="1007" spans="1:49" x14ac:dyDescent="0.15">
      <c r="A1007" s="1" t="s">
        <v>2926</v>
      </c>
      <c r="C1007" s="2" t="s">
        <v>2952</v>
      </c>
      <c r="F1007" s="1" t="s">
        <v>2953</v>
      </c>
      <c r="AW1007" s="1" t="s">
        <v>0</v>
      </c>
    </row>
    <row r="1008" spans="1:49" x14ac:dyDescent="0.15">
      <c r="A1008" s="1" t="s">
        <v>2926</v>
      </c>
      <c r="C1008" s="1" t="s">
        <v>2952</v>
      </c>
      <c r="E1008" s="1" t="s">
        <v>2954</v>
      </c>
    </row>
    <row r="1009" spans="1:49" x14ac:dyDescent="0.15">
      <c r="A1009" s="1" t="s">
        <v>2926</v>
      </c>
      <c r="C1009" s="1" t="s">
        <v>2955</v>
      </c>
      <c r="F1009" s="1" t="s">
        <v>2956</v>
      </c>
      <c r="AW1009" s="1" t="s">
        <v>0</v>
      </c>
    </row>
    <row r="1010" spans="1:49" x14ac:dyDescent="0.15">
      <c r="A1010" s="1" t="s">
        <v>2926</v>
      </c>
      <c r="C1010" s="1" t="s">
        <v>2957</v>
      </c>
      <c r="K1010" s="1" t="s">
        <v>2958</v>
      </c>
    </row>
    <row r="1011" spans="1:49" x14ac:dyDescent="0.15">
      <c r="A1011" s="1" t="s">
        <v>2926</v>
      </c>
      <c r="C1011" s="2" t="s">
        <v>2959</v>
      </c>
      <c r="AW1011" s="1" t="s">
        <v>0</v>
      </c>
    </row>
    <row r="1012" spans="1:49" x14ac:dyDescent="0.15">
      <c r="A1012" s="1" t="s">
        <v>2926</v>
      </c>
      <c r="C1012" s="1" t="s">
        <v>2960</v>
      </c>
      <c r="F1012" s="1" t="s">
        <v>2961</v>
      </c>
      <c r="AW1012" s="1" t="s">
        <v>0</v>
      </c>
    </row>
    <row r="1013" spans="1:49" x14ac:dyDescent="0.15">
      <c r="A1013" s="1" t="s">
        <v>2926</v>
      </c>
      <c r="C1013" s="1" t="s">
        <v>2962</v>
      </c>
      <c r="F1013" s="1" t="s">
        <v>2963</v>
      </c>
      <c r="AW1013" s="1" t="s">
        <v>0</v>
      </c>
    </row>
    <row r="1014" spans="1:49" x14ac:dyDescent="0.15">
      <c r="A1014" s="1" t="s">
        <v>2926</v>
      </c>
      <c r="C1014" s="1" t="s">
        <v>2962</v>
      </c>
      <c r="K1014" s="1" t="s">
        <v>2964</v>
      </c>
    </row>
    <row r="1015" spans="1:49" x14ac:dyDescent="0.15">
      <c r="A1015" s="1" t="s">
        <v>2926</v>
      </c>
      <c r="C1015" s="1" t="s">
        <v>2965</v>
      </c>
      <c r="F1015" s="1" t="s">
        <v>2966</v>
      </c>
      <c r="AW1015" s="1" t="s">
        <v>0</v>
      </c>
    </row>
    <row r="1016" spans="1:49" x14ac:dyDescent="0.15">
      <c r="A1016" s="1" t="s">
        <v>2926</v>
      </c>
      <c r="C1016" s="1" t="s">
        <v>2967</v>
      </c>
      <c r="F1016" s="1" t="s">
        <v>2968</v>
      </c>
      <c r="AW1016" s="1" t="s">
        <v>0</v>
      </c>
    </row>
    <row r="1017" spans="1:49" x14ac:dyDescent="0.15">
      <c r="A1017" s="1" t="s">
        <v>2926</v>
      </c>
      <c r="C1017" s="2" t="s">
        <v>2969</v>
      </c>
      <c r="F1017" s="1" t="s">
        <v>2970</v>
      </c>
      <c r="AW1017" s="1" t="s">
        <v>0</v>
      </c>
    </row>
    <row r="1018" spans="1:49" x14ac:dyDescent="0.15">
      <c r="A1018" s="1" t="s">
        <v>2926</v>
      </c>
      <c r="C1018" s="1" t="s">
        <v>2969</v>
      </c>
      <c r="E1018" s="1" t="s">
        <v>2971</v>
      </c>
    </row>
    <row r="1019" spans="1:49" x14ac:dyDescent="0.15">
      <c r="A1019" s="1" t="s">
        <v>2926</v>
      </c>
      <c r="C1019" s="1" t="s">
        <v>2969</v>
      </c>
      <c r="K1019" s="1" t="s">
        <v>2972</v>
      </c>
    </row>
    <row r="1020" spans="1:49" x14ac:dyDescent="0.15">
      <c r="A1020" s="1" t="s">
        <v>2926</v>
      </c>
      <c r="C1020" s="2" t="s">
        <v>2973</v>
      </c>
      <c r="F1020" s="1" t="s">
        <v>2974</v>
      </c>
      <c r="AW1020" s="1" t="s">
        <v>0</v>
      </c>
    </row>
    <row r="1021" spans="1:49" x14ac:dyDescent="0.15">
      <c r="A1021" s="1" t="s">
        <v>2926</v>
      </c>
      <c r="C1021" s="1" t="s">
        <v>2973</v>
      </c>
      <c r="K1021" s="1" t="s">
        <v>2975</v>
      </c>
    </row>
    <row r="1022" spans="1:49" x14ac:dyDescent="0.15">
      <c r="A1022" s="1" t="s">
        <v>2926</v>
      </c>
      <c r="C1022" s="2" t="s">
        <v>2976</v>
      </c>
      <c r="F1022" s="1" t="s">
        <v>2977</v>
      </c>
      <c r="AW1022" s="1" t="s">
        <v>0</v>
      </c>
    </row>
    <row r="1023" spans="1:49" x14ac:dyDescent="0.15">
      <c r="A1023" s="1" t="s">
        <v>2926</v>
      </c>
      <c r="C1023" s="1" t="s">
        <v>2976</v>
      </c>
      <c r="E1023" s="1" t="s">
        <v>2978</v>
      </c>
    </row>
    <row r="1024" spans="1:49" x14ac:dyDescent="0.15">
      <c r="A1024" s="1" t="s">
        <v>2926</v>
      </c>
      <c r="C1024" s="1" t="s">
        <v>2979</v>
      </c>
      <c r="F1024" s="1" t="s">
        <v>2980</v>
      </c>
      <c r="AW1024" s="1" t="s">
        <v>0</v>
      </c>
    </row>
    <row r="1025" spans="1:49" x14ac:dyDescent="0.15">
      <c r="A1025" s="1" t="s">
        <v>2926</v>
      </c>
      <c r="C1025" s="2" t="s">
        <v>2981</v>
      </c>
      <c r="F1025" s="1" t="s">
        <v>2982</v>
      </c>
      <c r="AW1025" s="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751"/>
  <sheetViews>
    <sheetView topLeftCell="A667" workbookViewId="0">
      <selection activeCell="C321" sqref="C321"/>
    </sheetView>
  </sheetViews>
  <sheetFormatPr defaultRowHeight="13.5" x14ac:dyDescent="0.1"/>
  <cols>
    <col min="1" max="1" width="16.01953125" customWidth="1"/>
    <col min="2" max="2" width="21.984375" customWidth="1"/>
    <col min="3" max="3" width="19.99609375" customWidth="1"/>
    <col min="5" max="5" width="18.0078125" customWidth="1"/>
    <col min="6" max="6" width="21.984375" customWidth="1"/>
  </cols>
  <sheetData>
    <row r="1" spans="1:49" x14ac:dyDescent="0.15">
      <c r="A1" s="1" t="s">
        <v>0</v>
      </c>
      <c r="C1" s="2" t="s">
        <v>1</v>
      </c>
      <c r="F1" s="1" t="s">
        <v>2</v>
      </c>
    </row>
    <row r="2" spans="1:49" x14ac:dyDescent="0.15">
      <c r="A2" s="1" t="s">
        <v>0</v>
      </c>
      <c r="C2" s="2" t="s">
        <v>3</v>
      </c>
      <c r="F2" s="1" t="s">
        <v>4</v>
      </c>
    </row>
    <row r="3" spans="1:49" x14ac:dyDescent="0.15">
      <c r="A3" s="1" t="s">
        <v>0</v>
      </c>
      <c r="C3" s="2" t="s">
        <v>5</v>
      </c>
      <c r="E3" s="1" t="s">
        <v>658</v>
      </c>
      <c r="F3" s="1" t="s">
        <v>6</v>
      </c>
    </row>
    <row r="4" spans="1:49" x14ac:dyDescent="0.15">
      <c r="A4" s="1" t="s">
        <v>0</v>
      </c>
      <c r="C4" s="2" t="s">
        <v>7</v>
      </c>
      <c r="F4" s="1" t="s">
        <v>8</v>
      </c>
    </row>
    <row r="5" spans="1:49" x14ac:dyDescent="0.15">
      <c r="A5" s="1" t="s">
        <v>0</v>
      </c>
      <c r="C5" s="2" t="s">
        <v>17</v>
      </c>
      <c r="F5" s="1" t="s">
        <v>18</v>
      </c>
    </row>
    <row r="6" spans="1:49" x14ac:dyDescent="0.15">
      <c r="A6" s="1" t="s">
        <v>0</v>
      </c>
      <c r="C6" s="2" t="s">
        <v>20</v>
      </c>
      <c r="F6" s="1" t="s">
        <v>21</v>
      </c>
    </row>
    <row r="7" spans="1:49" x14ac:dyDescent="0.15">
      <c r="A7" s="1" t="s">
        <v>0</v>
      </c>
      <c r="C7" s="2" t="s">
        <v>34</v>
      </c>
      <c r="F7" s="1" t="s">
        <v>35</v>
      </c>
    </row>
    <row r="8" spans="1:49" x14ac:dyDescent="0.15">
      <c r="A8" s="1" t="s">
        <v>0</v>
      </c>
      <c r="C8" s="2" t="s">
        <v>45</v>
      </c>
      <c r="F8" s="1" t="s">
        <v>46</v>
      </c>
    </row>
    <row r="9" spans="1:49" x14ac:dyDescent="0.15">
      <c r="A9" s="1" t="s">
        <v>0</v>
      </c>
      <c r="C9" s="2" t="s">
        <v>49</v>
      </c>
      <c r="F9" s="1" t="s">
        <v>50</v>
      </c>
    </row>
    <row r="10" spans="1:49" x14ac:dyDescent="0.15">
      <c r="A10" s="1" t="s">
        <v>0</v>
      </c>
      <c r="C10" s="2" t="s">
        <v>55</v>
      </c>
      <c r="F10" s="1" t="s">
        <v>56</v>
      </c>
    </row>
    <row r="11" spans="1:49" x14ac:dyDescent="0.15">
      <c r="A11" s="1" t="s">
        <v>0</v>
      </c>
      <c r="C11" s="2" t="s">
        <v>57</v>
      </c>
    </row>
    <row r="12" spans="1:49" x14ac:dyDescent="0.15">
      <c r="A12" s="1" t="s">
        <v>1827</v>
      </c>
      <c r="C12" s="2" t="s">
        <v>1834</v>
      </c>
      <c r="E12" s="1" t="s">
        <v>1835</v>
      </c>
      <c r="F12" s="1" t="s">
        <v>397</v>
      </c>
    </row>
    <row r="13" spans="1:49" x14ac:dyDescent="0.15">
      <c r="A13" s="1" t="s">
        <v>1827</v>
      </c>
      <c r="C13" s="2" t="s">
        <v>1836</v>
      </c>
      <c r="K13" s="1" t="s">
        <v>1837</v>
      </c>
    </row>
    <row r="14" spans="1:49" x14ac:dyDescent="0.15">
      <c r="A14" s="1" t="s">
        <v>1827</v>
      </c>
      <c r="C14" s="1" t="s">
        <v>1840</v>
      </c>
      <c r="F14" s="1" t="s">
        <v>1841</v>
      </c>
      <c r="AW14" s="1" t="s">
        <v>155</v>
      </c>
    </row>
    <row r="15" spans="1:49" x14ac:dyDescent="0.15">
      <c r="A15" s="1" t="s">
        <v>1827</v>
      </c>
      <c r="C15" s="1" t="s">
        <v>1840</v>
      </c>
      <c r="K15" s="1" t="s">
        <v>1842</v>
      </c>
    </row>
    <row r="16" spans="1:49" x14ac:dyDescent="0.15">
      <c r="A16" s="1" t="s">
        <v>1827</v>
      </c>
      <c r="C16" s="2" t="s">
        <v>1848</v>
      </c>
      <c r="F16" s="1" t="s">
        <v>1849</v>
      </c>
      <c r="AW16" s="1" t="s">
        <v>0</v>
      </c>
    </row>
    <row r="17" spans="1:49" x14ac:dyDescent="0.15">
      <c r="A17" s="1" t="s">
        <v>1827</v>
      </c>
      <c r="C17" s="1" t="s">
        <v>1850</v>
      </c>
      <c r="K17" s="1" t="s">
        <v>1851</v>
      </c>
    </row>
    <row r="18" spans="1:49" x14ac:dyDescent="0.15">
      <c r="A18" s="1" t="s">
        <v>1827</v>
      </c>
      <c r="C18" s="2" t="s">
        <v>1854</v>
      </c>
      <c r="F18" s="1" t="s">
        <v>1855</v>
      </c>
      <c r="AW18" s="1" t="s">
        <v>0</v>
      </c>
    </row>
    <row r="19" spans="1:49" x14ac:dyDescent="0.15">
      <c r="A19" s="1" t="s">
        <v>1827</v>
      </c>
      <c r="C19" s="2" t="s">
        <v>1857</v>
      </c>
      <c r="F19" s="1" t="s">
        <v>1858</v>
      </c>
      <c r="AW19" s="1" t="s">
        <v>0</v>
      </c>
    </row>
    <row r="20" spans="1:49" x14ac:dyDescent="0.15">
      <c r="A20" s="1" t="s">
        <v>1827</v>
      </c>
      <c r="C20" s="2" t="s">
        <v>1864</v>
      </c>
      <c r="F20" s="1" t="s">
        <v>1865</v>
      </c>
      <c r="AW20" s="1" t="s">
        <v>0</v>
      </c>
    </row>
    <row r="21" spans="1:49" x14ac:dyDescent="0.15">
      <c r="A21" s="1" t="s">
        <v>1827</v>
      </c>
      <c r="C21" s="2" t="s">
        <v>1867</v>
      </c>
      <c r="F21" s="1" t="s">
        <v>1868</v>
      </c>
      <c r="AW21" s="1" t="s">
        <v>0</v>
      </c>
    </row>
    <row r="22" spans="1:49" x14ac:dyDescent="0.15">
      <c r="A22" s="1" t="s">
        <v>1827</v>
      </c>
      <c r="C22" s="2" t="s">
        <v>1870</v>
      </c>
      <c r="F22" s="1" t="s">
        <v>1871</v>
      </c>
      <c r="AW22" s="1" t="s">
        <v>0</v>
      </c>
    </row>
    <row r="23" spans="1:49" x14ac:dyDescent="0.15">
      <c r="A23" s="1" t="s">
        <v>1827</v>
      </c>
      <c r="C23" s="2" t="s">
        <v>1883</v>
      </c>
      <c r="F23" s="1" t="s">
        <v>1884</v>
      </c>
      <c r="AW23" s="1" t="s">
        <v>0</v>
      </c>
    </row>
    <row r="24" spans="1:49" x14ac:dyDescent="0.15">
      <c r="A24" s="1" t="s">
        <v>1827</v>
      </c>
      <c r="C24" s="2" t="s">
        <v>1885</v>
      </c>
      <c r="F24" s="1" t="s">
        <v>1886</v>
      </c>
      <c r="AW24" s="1" t="s">
        <v>0</v>
      </c>
    </row>
    <row r="25" spans="1:49" x14ac:dyDescent="0.15">
      <c r="A25" s="1" t="s">
        <v>1827</v>
      </c>
      <c r="C25" s="2" t="s">
        <v>1894</v>
      </c>
      <c r="F25" s="1" t="s">
        <v>1895</v>
      </c>
      <c r="AW25" s="1" t="s">
        <v>0</v>
      </c>
    </row>
    <row r="26" spans="1:49" x14ac:dyDescent="0.15">
      <c r="A26" s="1" t="s">
        <v>1827</v>
      </c>
      <c r="C26" s="2" t="s">
        <v>45</v>
      </c>
      <c r="F26" s="1" t="s">
        <v>1912</v>
      </c>
      <c r="AW26" s="1" t="s">
        <v>0</v>
      </c>
    </row>
    <row r="27" spans="1:49" x14ac:dyDescent="0.15">
      <c r="A27" s="1" t="s">
        <v>1827</v>
      </c>
      <c r="C27" s="2" t="s">
        <v>1917</v>
      </c>
      <c r="F27" s="1" t="s">
        <v>1918</v>
      </c>
      <c r="AW27" s="1" t="s">
        <v>0</v>
      </c>
    </row>
    <row r="28" spans="1:49" x14ac:dyDescent="0.15">
      <c r="A28" s="1" t="s">
        <v>1827</v>
      </c>
      <c r="C28" s="2" t="s">
        <v>1920</v>
      </c>
      <c r="F28" s="1" t="s">
        <v>1921</v>
      </c>
      <c r="AW28" s="1" t="s">
        <v>0</v>
      </c>
    </row>
    <row r="29" spans="1:49" x14ac:dyDescent="0.15">
      <c r="A29" s="1" t="s">
        <v>1827</v>
      </c>
      <c r="C29" s="2" t="s">
        <v>1923</v>
      </c>
      <c r="F29" s="1" t="s">
        <v>1924</v>
      </c>
      <c r="AW29" s="1" t="s">
        <v>0</v>
      </c>
    </row>
    <row r="30" spans="1:49" x14ac:dyDescent="0.15">
      <c r="A30" s="1" t="s">
        <v>1827</v>
      </c>
      <c r="C30" s="1" t="s">
        <v>1928</v>
      </c>
      <c r="F30" s="1" t="s">
        <v>1929</v>
      </c>
      <c r="AW30" s="1" t="s">
        <v>0</v>
      </c>
    </row>
    <row r="31" spans="1:49" x14ac:dyDescent="0.15">
      <c r="A31" s="1" t="s">
        <v>1827</v>
      </c>
      <c r="C31" s="1" t="s">
        <v>2007</v>
      </c>
      <c r="F31" s="1" t="s">
        <v>2008</v>
      </c>
      <c r="AW31" s="1" t="s">
        <v>2009</v>
      </c>
    </row>
    <row r="32" spans="1:49" x14ac:dyDescent="0.15">
      <c r="A32" s="1" t="s">
        <v>2012</v>
      </c>
      <c r="C32" s="2" t="s">
        <v>2013</v>
      </c>
      <c r="F32" s="1" t="s">
        <v>2014</v>
      </c>
      <c r="AW32" s="1" t="s">
        <v>155</v>
      </c>
    </row>
    <row r="33" spans="1:49" x14ac:dyDescent="0.15">
      <c r="A33" s="1" t="s">
        <v>2012</v>
      </c>
      <c r="C33" s="2" t="s">
        <v>2015</v>
      </c>
      <c r="F33" s="1" t="s">
        <v>2016</v>
      </c>
      <c r="AW33" s="1" t="s">
        <v>155</v>
      </c>
    </row>
    <row r="34" spans="1:49" x14ac:dyDescent="0.15">
      <c r="A34" s="1" t="s">
        <v>2012</v>
      </c>
      <c r="C34" s="2" t="s">
        <v>2017</v>
      </c>
      <c r="F34" s="1" t="s">
        <v>2018</v>
      </c>
      <c r="AW34" s="1" t="s">
        <v>155</v>
      </c>
    </row>
    <row r="35" spans="1:49" x14ac:dyDescent="0.15">
      <c r="A35" s="1" t="s">
        <v>2012</v>
      </c>
      <c r="C35" s="2" t="s">
        <v>2023</v>
      </c>
      <c r="F35" s="1" t="s">
        <v>2024</v>
      </c>
      <c r="AW35" s="1" t="s">
        <v>155</v>
      </c>
    </row>
    <row r="36" spans="1:49" x14ac:dyDescent="0.15">
      <c r="A36" s="1" t="s">
        <v>2012</v>
      </c>
      <c r="C36" s="2" t="s">
        <v>2025</v>
      </c>
      <c r="F36" s="1" t="s">
        <v>2026</v>
      </c>
      <c r="AW36" s="1" t="s">
        <v>155</v>
      </c>
    </row>
    <row r="37" spans="1:49" x14ac:dyDescent="0.15">
      <c r="A37" s="1" t="s">
        <v>2012</v>
      </c>
      <c r="C37" s="2" t="s">
        <v>2035</v>
      </c>
      <c r="F37" s="1" t="s">
        <v>2036</v>
      </c>
      <c r="AW37" s="1" t="s">
        <v>155</v>
      </c>
    </row>
    <row r="38" spans="1:49" x14ac:dyDescent="0.15">
      <c r="A38" s="1" t="s">
        <v>2012</v>
      </c>
      <c r="C38" s="2" t="s">
        <v>2038</v>
      </c>
      <c r="F38" s="1" t="s">
        <v>2039</v>
      </c>
      <c r="AW38" s="1" t="s">
        <v>155</v>
      </c>
    </row>
    <row r="39" spans="1:49" x14ac:dyDescent="0.15">
      <c r="A39" s="1" t="s">
        <v>2012</v>
      </c>
      <c r="C39" s="2" t="s">
        <v>2043</v>
      </c>
      <c r="F39" s="1" t="s">
        <v>2044</v>
      </c>
      <c r="AW39" s="1" t="s">
        <v>155</v>
      </c>
    </row>
    <row r="40" spans="1:49" x14ac:dyDescent="0.15">
      <c r="A40" s="1" t="s">
        <v>2012</v>
      </c>
      <c r="C40" s="2" t="s">
        <v>2055</v>
      </c>
      <c r="F40" s="1" t="s">
        <v>2056</v>
      </c>
      <c r="AW40" s="1" t="s">
        <v>155</v>
      </c>
    </row>
    <row r="41" spans="1:49" x14ac:dyDescent="0.15">
      <c r="A41" s="1" t="s">
        <v>2012</v>
      </c>
      <c r="C41" s="2" t="s">
        <v>2057</v>
      </c>
      <c r="F41" s="1" t="s">
        <v>2058</v>
      </c>
      <c r="AW41" s="1" t="s">
        <v>155</v>
      </c>
    </row>
    <row r="42" spans="1:49" x14ac:dyDescent="0.15">
      <c r="A42" s="1" t="s">
        <v>2012</v>
      </c>
      <c r="C42" s="2" t="s">
        <v>2063</v>
      </c>
      <c r="F42" s="1" t="s">
        <v>2064</v>
      </c>
      <c r="AW42" s="1" t="s">
        <v>155</v>
      </c>
    </row>
    <row r="43" spans="1:49" x14ac:dyDescent="0.15">
      <c r="A43" s="1" t="s">
        <v>2012</v>
      </c>
      <c r="C43" s="2" t="s">
        <v>2065</v>
      </c>
      <c r="F43" s="1" t="s">
        <v>2066</v>
      </c>
      <c r="AW43" s="1" t="s">
        <v>155</v>
      </c>
    </row>
    <row r="44" spans="1:49" x14ac:dyDescent="0.15">
      <c r="A44" s="1" t="s">
        <v>2012</v>
      </c>
      <c r="C44" s="2" t="s">
        <v>2072</v>
      </c>
      <c r="F44" s="1" t="s">
        <v>2073</v>
      </c>
      <c r="AW44" s="1" t="s">
        <v>155</v>
      </c>
    </row>
    <row r="45" spans="1:49" x14ac:dyDescent="0.15">
      <c r="A45" s="1" t="s">
        <v>2012</v>
      </c>
      <c r="C45" s="2" t="s">
        <v>2074</v>
      </c>
      <c r="F45" s="1" t="s">
        <v>2075</v>
      </c>
      <c r="AW45" s="1" t="s">
        <v>155</v>
      </c>
    </row>
    <row r="46" spans="1:49" x14ac:dyDescent="0.15">
      <c r="A46" s="1" t="s">
        <v>2012</v>
      </c>
      <c r="C46" s="2" t="s">
        <v>2078</v>
      </c>
      <c r="K46" s="1" t="s">
        <v>2080</v>
      </c>
    </row>
    <row r="47" spans="1:49" x14ac:dyDescent="0.15">
      <c r="A47" s="1" t="s">
        <v>2012</v>
      </c>
      <c r="C47" s="2" t="s">
        <v>2083</v>
      </c>
      <c r="F47" s="1" t="s">
        <v>2084</v>
      </c>
      <c r="AW47" s="1" t="s">
        <v>0</v>
      </c>
    </row>
    <row r="48" spans="1:49" x14ac:dyDescent="0.15">
      <c r="A48" s="1" t="s">
        <v>2012</v>
      </c>
      <c r="C48" s="2" t="s">
        <v>2088</v>
      </c>
      <c r="F48" s="1" t="s">
        <v>2089</v>
      </c>
      <c r="AW48" s="1" t="s">
        <v>0</v>
      </c>
    </row>
    <row r="49" spans="1:49" x14ac:dyDescent="0.15">
      <c r="A49" s="1" t="s">
        <v>2012</v>
      </c>
      <c r="C49" s="2" t="s">
        <v>3</v>
      </c>
      <c r="K49" s="1" t="s">
        <v>2090</v>
      </c>
    </row>
    <row r="50" spans="1:49" x14ac:dyDescent="0.15">
      <c r="A50" s="1" t="s">
        <v>2012</v>
      </c>
      <c r="C50" s="2" t="s">
        <v>2093</v>
      </c>
      <c r="F50" s="1" t="s">
        <v>2094</v>
      </c>
      <c r="AW50" s="1" t="s">
        <v>0</v>
      </c>
    </row>
    <row r="51" spans="1:49" x14ac:dyDescent="0.15">
      <c r="A51" s="1" t="s">
        <v>2012</v>
      </c>
      <c r="C51" s="1" t="s">
        <v>2098</v>
      </c>
      <c r="F51" s="1" t="s">
        <v>2099</v>
      </c>
      <c r="AW51" s="1" t="s">
        <v>80</v>
      </c>
    </row>
    <row r="52" spans="1:49" x14ac:dyDescent="0.15">
      <c r="A52" s="1" t="s">
        <v>2012</v>
      </c>
      <c r="C52" s="1" t="s">
        <v>2100</v>
      </c>
      <c r="F52" s="1" t="s">
        <v>2101</v>
      </c>
      <c r="AW52" s="1" t="s">
        <v>0</v>
      </c>
    </row>
    <row r="53" spans="1:49" x14ac:dyDescent="0.15">
      <c r="A53" s="1" t="s">
        <v>2012</v>
      </c>
      <c r="C53" s="2" t="s">
        <v>2102</v>
      </c>
      <c r="F53" s="1" t="s">
        <v>2103</v>
      </c>
      <c r="AW53" s="1" t="s">
        <v>0</v>
      </c>
    </row>
    <row r="54" spans="1:49" x14ac:dyDescent="0.15">
      <c r="A54" s="1" t="s">
        <v>2012</v>
      </c>
      <c r="C54" s="2" t="s">
        <v>2104</v>
      </c>
      <c r="F54" s="1" t="s">
        <v>2105</v>
      </c>
      <c r="AW54" s="1" t="s">
        <v>0</v>
      </c>
    </row>
    <row r="55" spans="1:49" x14ac:dyDescent="0.15">
      <c r="A55" s="1" t="s">
        <v>2012</v>
      </c>
      <c r="C55" s="1" t="s">
        <v>2107</v>
      </c>
      <c r="F55" s="1" t="s">
        <v>2108</v>
      </c>
      <c r="AW55" s="1" t="s">
        <v>0</v>
      </c>
    </row>
    <row r="56" spans="1:49" x14ac:dyDescent="0.15">
      <c r="A56" s="1" t="s">
        <v>2012</v>
      </c>
      <c r="C56" s="2" t="s">
        <v>2107</v>
      </c>
      <c r="E56" s="1" t="s">
        <v>2109</v>
      </c>
    </row>
    <row r="57" spans="1:49" x14ac:dyDescent="0.15">
      <c r="A57" s="1" t="s">
        <v>2012</v>
      </c>
      <c r="C57" s="2" t="s">
        <v>2112</v>
      </c>
      <c r="F57" s="1" t="s">
        <v>2113</v>
      </c>
      <c r="AW57" s="1" t="s">
        <v>0</v>
      </c>
    </row>
    <row r="58" spans="1:49" x14ac:dyDescent="0.15">
      <c r="A58" s="1" t="s">
        <v>2012</v>
      </c>
      <c r="C58" s="2" t="s">
        <v>2114</v>
      </c>
      <c r="F58" s="1" t="s">
        <v>2115</v>
      </c>
      <c r="AW58" s="1" t="s">
        <v>0</v>
      </c>
    </row>
    <row r="59" spans="1:49" x14ac:dyDescent="0.15">
      <c r="A59" s="1" t="s">
        <v>2012</v>
      </c>
      <c r="C59" s="2" t="s">
        <v>2120</v>
      </c>
      <c r="F59" s="1" t="s">
        <v>2121</v>
      </c>
      <c r="AW59" s="1" t="s">
        <v>0</v>
      </c>
    </row>
    <row r="60" spans="1:49" x14ac:dyDescent="0.15">
      <c r="A60" s="1" t="s">
        <v>2012</v>
      </c>
      <c r="C60" s="1" t="s">
        <v>2122</v>
      </c>
      <c r="F60" s="1" t="s">
        <v>2123</v>
      </c>
      <c r="AW60" s="1" t="s">
        <v>0</v>
      </c>
    </row>
    <row r="61" spans="1:49" x14ac:dyDescent="0.15">
      <c r="A61" s="1" t="s">
        <v>2012</v>
      </c>
      <c r="C61" s="1" t="s">
        <v>2122</v>
      </c>
      <c r="E61" s="1" t="s">
        <v>2124</v>
      </c>
    </row>
    <row r="62" spans="1:49" x14ac:dyDescent="0.15">
      <c r="A62" s="1" t="s">
        <v>2012</v>
      </c>
      <c r="C62" s="2" t="s">
        <v>2127</v>
      </c>
      <c r="E62" s="1" t="s">
        <v>2130</v>
      </c>
      <c r="F62" s="1" t="s">
        <v>2128</v>
      </c>
      <c r="AW62" s="1" t="s">
        <v>0</v>
      </c>
    </row>
    <row r="63" spans="1:49" x14ac:dyDescent="0.15">
      <c r="A63" s="1" t="s">
        <v>2012</v>
      </c>
      <c r="C63" s="2" t="s">
        <v>2135</v>
      </c>
      <c r="F63" s="1" t="s">
        <v>2136</v>
      </c>
      <c r="AW63" s="1" t="s">
        <v>0</v>
      </c>
    </row>
    <row r="64" spans="1:49" x14ac:dyDescent="0.15">
      <c r="A64" s="1" t="s">
        <v>2012</v>
      </c>
      <c r="C64" s="2" t="s">
        <v>2137</v>
      </c>
      <c r="F64" s="1" t="s">
        <v>2138</v>
      </c>
      <c r="AW64" s="1" t="s">
        <v>0</v>
      </c>
    </row>
    <row r="65" spans="1:49" x14ac:dyDescent="0.15">
      <c r="A65" s="1" t="s">
        <v>2012</v>
      </c>
      <c r="C65" s="2" t="s">
        <v>2139</v>
      </c>
      <c r="F65" s="1" t="s">
        <v>2140</v>
      </c>
      <c r="AW65" s="1" t="s">
        <v>0</v>
      </c>
    </row>
    <row r="66" spans="1:49" x14ac:dyDescent="0.15">
      <c r="A66" s="1" t="s">
        <v>2012</v>
      </c>
      <c r="C66" s="1" t="s">
        <v>2139</v>
      </c>
      <c r="E66" s="1" t="s">
        <v>2141</v>
      </c>
    </row>
    <row r="67" spans="1:49" x14ac:dyDescent="0.15">
      <c r="A67" s="1" t="s">
        <v>2012</v>
      </c>
      <c r="C67" s="2" t="s">
        <v>2144</v>
      </c>
      <c r="F67" s="1" t="s">
        <v>2145</v>
      </c>
      <c r="AW67" s="1" t="s">
        <v>0</v>
      </c>
    </row>
    <row r="68" spans="1:49" x14ac:dyDescent="0.15">
      <c r="A68" s="1" t="s">
        <v>2012</v>
      </c>
      <c r="C68" s="2" t="s">
        <v>2146</v>
      </c>
      <c r="F68" s="1" t="s">
        <v>2147</v>
      </c>
      <c r="AW68" s="1" t="s">
        <v>0</v>
      </c>
    </row>
    <row r="69" spans="1:49" x14ac:dyDescent="0.15">
      <c r="A69" s="1" t="s">
        <v>2012</v>
      </c>
      <c r="C69" s="2" t="s">
        <v>2149</v>
      </c>
      <c r="F69" s="1" t="s">
        <v>2150</v>
      </c>
      <c r="AW69" s="1" t="s">
        <v>0</v>
      </c>
    </row>
    <row r="70" spans="1:49" x14ac:dyDescent="0.15">
      <c r="A70" s="1" t="s">
        <v>2012</v>
      </c>
      <c r="C70" s="1" t="s">
        <v>2154</v>
      </c>
      <c r="F70" s="1" t="s">
        <v>2155</v>
      </c>
      <c r="AW70" s="1" t="s">
        <v>0</v>
      </c>
    </row>
    <row r="71" spans="1:49" x14ac:dyDescent="0.15">
      <c r="A71" s="1" t="s">
        <v>2012</v>
      </c>
      <c r="C71" s="1" t="s">
        <v>2158</v>
      </c>
      <c r="K71" s="1" t="s">
        <v>2160</v>
      </c>
    </row>
    <row r="72" spans="1:49" x14ac:dyDescent="0.15">
      <c r="A72" s="1" t="s">
        <v>2012</v>
      </c>
      <c r="C72" s="2" t="s">
        <v>2161</v>
      </c>
      <c r="F72" s="1" t="s">
        <v>2162</v>
      </c>
      <c r="AW72" s="1" t="s">
        <v>0</v>
      </c>
    </row>
    <row r="73" spans="1:49" x14ac:dyDescent="0.15">
      <c r="A73" s="1" t="s">
        <v>2012</v>
      </c>
      <c r="C73" s="2" t="s">
        <v>2163</v>
      </c>
      <c r="F73" s="1" t="s">
        <v>2164</v>
      </c>
      <c r="AW73" s="1" t="s">
        <v>0</v>
      </c>
    </row>
    <row r="74" spans="1:49" x14ac:dyDescent="0.15">
      <c r="A74" s="1" t="s">
        <v>2012</v>
      </c>
      <c r="C74" s="2" t="s">
        <v>2167</v>
      </c>
      <c r="F74" s="1" t="s">
        <v>2168</v>
      </c>
      <c r="AW74" s="1" t="s">
        <v>0</v>
      </c>
    </row>
    <row r="75" spans="1:49" x14ac:dyDescent="0.15">
      <c r="A75" s="1" t="s">
        <v>2012</v>
      </c>
      <c r="C75" s="2" t="s">
        <v>2173</v>
      </c>
      <c r="E75" s="1" t="s">
        <v>2175</v>
      </c>
      <c r="F75" s="1" t="s">
        <v>2174</v>
      </c>
      <c r="AW75" s="1" t="s">
        <v>0</v>
      </c>
    </row>
    <row r="76" spans="1:49" x14ac:dyDescent="0.15">
      <c r="A76" s="1" t="s">
        <v>2012</v>
      </c>
      <c r="C76" s="2" t="s">
        <v>2176</v>
      </c>
      <c r="F76" s="1" t="s">
        <v>2177</v>
      </c>
      <c r="AW76" s="1" t="s">
        <v>0</v>
      </c>
    </row>
    <row r="77" spans="1:49" x14ac:dyDescent="0.15">
      <c r="A77" s="1" t="s">
        <v>2012</v>
      </c>
      <c r="C77" s="2" t="s">
        <v>2180</v>
      </c>
      <c r="F77" s="1" t="s">
        <v>2181</v>
      </c>
      <c r="AW77" s="1" t="s">
        <v>0</v>
      </c>
    </row>
    <row r="78" spans="1:49" x14ac:dyDescent="0.15">
      <c r="A78" s="1" t="s">
        <v>2012</v>
      </c>
      <c r="C78" s="2" t="s">
        <v>2182</v>
      </c>
      <c r="F78" s="1" t="s">
        <v>2183</v>
      </c>
      <c r="AW78" s="1" t="s">
        <v>0</v>
      </c>
    </row>
    <row r="79" spans="1:49" x14ac:dyDescent="0.15">
      <c r="A79" s="1" t="s">
        <v>2012</v>
      </c>
      <c r="C79" s="1" t="s">
        <v>2184</v>
      </c>
      <c r="F79" s="1" t="s">
        <v>2185</v>
      </c>
      <c r="AW79" s="1" t="s">
        <v>0</v>
      </c>
    </row>
    <row r="80" spans="1:49" x14ac:dyDescent="0.15">
      <c r="A80" s="1" t="s">
        <v>2012</v>
      </c>
      <c r="C80" s="2" t="s">
        <v>2186</v>
      </c>
      <c r="E80" s="1" t="s">
        <v>2187</v>
      </c>
      <c r="F80" s="1" t="s">
        <v>18</v>
      </c>
      <c r="AG80" s="1" t="s">
        <v>2188</v>
      </c>
    </row>
    <row r="81" spans="1:49" x14ac:dyDescent="0.15">
      <c r="A81" s="1" t="s">
        <v>2012</v>
      </c>
      <c r="C81" s="2" t="s">
        <v>2189</v>
      </c>
      <c r="F81" s="1" t="s">
        <v>2190</v>
      </c>
      <c r="AW81" s="1" t="s">
        <v>0</v>
      </c>
    </row>
    <row r="82" spans="1:49" x14ac:dyDescent="0.15">
      <c r="A82" s="1" t="s">
        <v>2012</v>
      </c>
      <c r="C82" s="2" t="s">
        <v>2191</v>
      </c>
      <c r="F82" s="1" t="s">
        <v>2192</v>
      </c>
      <c r="AW82" s="1" t="s">
        <v>0</v>
      </c>
    </row>
    <row r="83" spans="1:49" x14ac:dyDescent="0.15">
      <c r="A83" s="1" t="s">
        <v>2012</v>
      </c>
      <c r="C83" s="1" t="s">
        <v>2193</v>
      </c>
      <c r="F83" s="1" t="s">
        <v>2194</v>
      </c>
      <c r="AW83" s="1" t="s">
        <v>0</v>
      </c>
    </row>
    <row r="84" spans="1:49" x14ac:dyDescent="0.15">
      <c r="A84" s="1" t="s">
        <v>2012</v>
      </c>
      <c r="C84" s="2" t="s">
        <v>2199</v>
      </c>
      <c r="F84" s="1" t="s">
        <v>2200</v>
      </c>
      <c r="AW84" s="1" t="s">
        <v>0</v>
      </c>
    </row>
    <row r="85" spans="1:49" x14ac:dyDescent="0.15">
      <c r="A85" s="1" t="s">
        <v>2012</v>
      </c>
      <c r="C85" s="2" t="s">
        <v>2203</v>
      </c>
      <c r="F85" s="1" t="s">
        <v>2204</v>
      </c>
      <c r="AW85" s="1" t="s">
        <v>0</v>
      </c>
    </row>
    <row r="86" spans="1:49" x14ac:dyDescent="0.15">
      <c r="A86" s="1" t="s">
        <v>2012</v>
      </c>
      <c r="C86" s="1" t="s">
        <v>2209</v>
      </c>
      <c r="F86" s="1" t="s">
        <v>2210</v>
      </c>
      <c r="AW86" s="1" t="s">
        <v>0</v>
      </c>
    </row>
    <row r="87" spans="1:49" x14ac:dyDescent="0.15">
      <c r="A87" s="1" t="s">
        <v>2012</v>
      </c>
      <c r="C87" s="2" t="s">
        <v>2213</v>
      </c>
      <c r="F87" s="1" t="s">
        <v>2214</v>
      </c>
      <c r="AW87" s="1" t="s">
        <v>0</v>
      </c>
    </row>
    <row r="88" spans="1:49" x14ac:dyDescent="0.15">
      <c r="A88" s="1" t="s">
        <v>2012</v>
      </c>
      <c r="C88" s="1" t="s">
        <v>2215</v>
      </c>
      <c r="F88" s="1" t="s">
        <v>2216</v>
      </c>
      <c r="AW88" s="1" t="s">
        <v>0</v>
      </c>
    </row>
    <row r="89" spans="1:49" x14ac:dyDescent="0.15">
      <c r="A89" s="1" t="s">
        <v>2012</v>
      </c>
      <c r="C89" s="2" t="s">
        <v>2221</v>
      </c>
      <c r="E89" s="1" t="s">
        <v>2223</v>
      </c>
      <c r="F89" s="1" t="s">
        <v>2222</v>
      </c>
      <c r="AW89" s="1" t="s">
        <v>0</v>
      </c>
    </row>
    <row r="90" spans="1:49" x14ac:dyDescent="0.15">
      <c r="A90" s="1" t="s">
        <v>2012</v>
      </c>
      <c r="C90" s="2" t="s">
        <v>2226</v>
      </c>
      <c r="F90" s="1" t="s">
        <v>2227</v>
      </c>
      <c r="AW90" s="1" t="s">
        <v>0</v>
      </c>
    </row>
    <row r="91" spans="1:49" x14ac:dyDescent="0.15">
      <c r="A91" s="1" t="s">
        <v>2012</v>
      </c>
      <c r="C91" s="2" t="s">
        <v>2228</v>
      </c>
      <c r="F91" s="1" t="s">
        <v>2229</v>
      </c>
      <c r="AW91" s="1" t="s">
        <v>0</v>
      </c>
    </row>
    <row r="92" spans="1:49" x14ac:dyDescent="0.15">
      <c r="A92" s="1" t="s">
        <v>2012</v>
      </c>
      <c r="C92" s="2" t="s">
        <v>2230</v>
      </c>
      <c r="F92" s="1" t="s">
        <v>2231</v>
      </c>
      <c r="AW92" s="1" t="s">
        <v>0</v>
      </c>
    </row>
    <row r="93" spans="1:49" x14ac:dyDescent="0.15">
      <c r="A93" s="1" t="s">
        <v>2012</v>
      </c>
      <c r="C93" s="1" t="s">
        <v>2234</v>
      </c>
      <c r="F93" s="1" t="s">
        <v>2235</v>
      </c>
      <c r="AW93" s="1" t="s">
        <v>0</v>
      </c>
    </row>
    <row r="94" spans="1:49" x14ac:dyDescent="0.15">
      <c r="A94" s="1" t="s">
        <v>2012</v>
      </c>
      <c r="C94" s="2" t="s">
        <v>2236</v>
      </c>
      <c r="F94" s="1" t="s">
        <v>2237</v>
      </c>
      <c r="AW94" s="1" t="s">
        <v>0</v>
      </c>
    </row>
    <row r="95" spans="1:49" x14ac:dyDescent="0.15">
      <c r="A95" s="1" t="s">
        <v>2012</v>
      </c>
      <c r="C95" s="1" t="s">
        <v>2238</v>
      </c>
      <c r="F95" s="1" t="s">
        <v>2239</v>
      </c>
      <c r="AW95" s="1" t="s">
        <v>0</v>
      </c>
    </row>
    <row r="96" spans="1:49" x14ac:dyDescent="0.15">
      <c r="A96" s="1" t="s">
        <v>2012</v>
      </c>
      <c r="C96" s="2" t="s">
        <v>2240</v>
      </c>
      <c r="E96" s="1" t="s">
        <v>2242</v>
      </c>
      <c r="F96" s="1" t="s">
        <v>2241</v>
      </c>
      <c r="AW96" s="1" t="s">
        <v>0</v>
      </c>
    </row>
    <row r="97" spans="1:49" x14ac:dyDescent="0.15">
      <c r="A97" s="1" t="s">
        <v>2012</v>
      </c>
      <c r="C97" s="2" t="s">
        <v>2247</v>
      </c>
      <c r="F97" s="1" t="s">
        <v>2248</v>
      </c>
      <c r="AW97" s="1" t="s">
        <v>0</v>
      </c>
    </row>
    <row r="98" spans="1:49" x14ac:dyDescent="0.15">
      <c r="A98" s="1" t="s">
        <v>2012</v>
      </c>
      <c r="C98" s="2" t="s">
        <v>2253</v>
      </c>
      <c r="F98" s="1" t="s">
        <v>2254</v>
      </c>
      <c r="AW98" s="1" t="s">
        <v>0</v>
      </c>
    </row>
    <row r="99" spans="1:49" x14ac:dyDescent="0.15">
      <c r="A99" s="1" t="s">
        <v>2012</v>
      </c>
      <c r="C99" s="1" t="s">
        <v>2253</v>
      </c>
      <c r="E99" s="1" t="s">
        <v>2255</v>
      </c>
    </row>
    <row r="100" spans="1:49" x14ac:dyDescent="0.15">
      <c r="A100" s="1" t="s">
        <v>2012</v>
      </c>
      <c r="C100" s="2" t="s">
        <v>2258</v>
      </c>
      <c r="F100" s="1" t="s">
        <v>2259</v>
      </c>
      <c r="AW100" s="1" t="s">
        <v>0</v>
      </c>
    </row>
    <row r="101" spans="1:49" x14ac:dyDescent="0.15">
      <c r="A101" s="1" t="s">
        <v>2012</v>
      </c>
      <c r="C101" s="2" t="s">
        <v>2263</v>
      </c>
      <c r="E101" s="1" t="s">
        <v>2265</v>
      </c>
      <c r="F101" s="1" t="s">
        <v>2264</v>
      </c>
      <c r="AW101" s="1" t="s">
        <v>0</v>
      </c>
    </row>
    <row r="102" spans="1:49" x14ac:dyDescent="0.15">
      <c r="A102" s="1" t="s">
        <v>2012</v>
      </c>
      <c r="C102" s="2" t="s">
        <v>2267</v>
      </c>
      <c r="F102" s="1" t="s">
        <v>2268</v>
      </c>
      <c r="AW102" s="1" t="s">
        <v>0</v>
      </c>
    </row>
    <row r="103" spans="1:49" x14ac:dyDescent="0.15">
      <c r="A103" s="1" t="s">
        <v>2012</v>
      </c>
      <c r="C103" s="1" t="s">
        <v>2272</v>
      </c>
      <c r="F103" s="1" t="s">
        <v>2273</v>
      </c>
      <c r="AW103" s="1" t="s">
        <v>0</v>
      </c>
    </row>
    <row r="104" spans="1:49" x14ac:dyDescent="0.15">
      <c r="A104" s="1" t="s">
        <v>2012</v>
      </c>
      <c r="C104" s="1" t="s">
        <v>2274</v>
      </c>
      <c r="F104" s="1" t="s">
        <v>2275</v>
      </c>
      <c r="AW104" s="1" t="s">
        <v>0</v>
      </c>
    </row>
    <row r="105" spans="1:49" x14ac:dyDescent="0.15">
      <c r="A105" s="1" t="s">
        <v>2012</v>
      </c>
      <c r="C105" s="1" t="s">
        <v>2276</v>
      </c>
      <c r="F105" s="1" t="s">
        <v>2277</v>
      </c>
      <c r="AW105" s="1" t="s">
        <v>0</v>
      </c>
    </row>
    <row r="106" spans="1:49" x14ac:dyDescent="0.15">
      <c r="A106" s="1" t="s">
        <v>2012</v>
      </c>
      <c r="C106" s="2" t="s">
        <v>2278</v>
      </c>
      <c r="F106" s="1" t="s">
        <v>2279</v>
      </c>
      <c r="AW106" s="1" t="s">
        <v>0</v>
      </c>
    </row>
    <row r="107" spans="1:49" x14ac:dyDescent="0.15">
      <c r="A107" s="1" t="s">
        <v>2012</v>
      </c>
      <c r="C107" s="2" t="s">
        <v>2280</v>
      </c>
      <c r="F107" s="1" t="s">
        <v>2281</v>
      </c>
      <c r="AW107" s="1" t="s">
        <v>0</v>
      </c>
    </row>
    <row r="108" spans="1:49" x14ac:dyDescent="0.15">
      <c r="A108" s="1" t="s">
        <v>2012</v>
      </c>
      <c r="C108" s="1" t="s">
        <v>2284</v>
      </c>
      <c r="F108" s="1" t="s">
        <v>2285</v>
      </c>
      <c r="AW108" s="1" t="s">
        <v>0</v>
      </c>
    </row>
    <row r="109" spans="1:49" x14ac:dyDescent="0.15">
      <c r="A109" s="1" t="s">
        <v>2012</v>
      </c>
      <c r="C109" s="2" t="s">
        <v>2288</v>
      </c>
      <c r="F109" s="1" t="s">
        <v>2289</v>
      </c>
      <c r="AW109" s="1" t="s">
        <v>0</v>
      </c>
    </row>
    <row r="110" spans="1:49" x14ac:dyDescent="0.15">
      <c r="A110" s="1" t="s">
        <v>2012</v>
      </c>
      <c r="C110" s="1" t="s">
        <v>2296</v>
      </c>
      <c r="F110" s="1" t="s">
        <v>2297</v>
      </c>
      <c r="AW110" s="1" t="s">
        <v>0</v>
      </c>
    </row>
    <row r="111" spans="1:49" x14ac:dyDescent="0.15">
      <c r="A111" s="1" t="s">
        <v>2012</v>
      </c>
      <c r="C111" s="2" t="s">
        <v>2298</v>
      </c>
      <c r="F111" s="1" t="s">
        <v>2299</v>
      </c>
      <c r="AW111" s="1" t="s">
        <v>0</v>
      </c>
    </row>
    <row r="112" spans="1:49" x14ac:dyDescent="0.15">
      <c r="A112" s="1" t="s">
        <v>2012</v>
      </c>
      <c r="C112" s="1" t="s">
        <v>2305</v>
      </c>
      <c r="F112" s="1" t="s">
        <v>2306</v>
      </c>
      <c r="AW112" s="1" t="s">
        <v>0</v>
      </c>
    </row>
    <row r="113" spans="1:49" x14ac:dyDescent="0.15">
      <c r="A113" s="1" t="s">
        <v>2012</v>
      </c>
      <c r="C113" s="1" t="s">
        <v>2307</v>
      </c>
      <c r="F113" s="1" t="s">
        <v>2308</v>
      </c>
      <c r="AW113" s="1" t="s">
        <v>0</v>
      </c>
    </row>
    <row r="114" spans="1:49" x14ac:dyDescent="0.15">
      <c r="A114" s="1" t="s">
        <v>2012</v>
      </c>
      <c r="C114" s="2" t="s">
        <v>2311</v>
      </c>
      <c r="F114" s="1" t="s">
        <v>2312</v>
      </c>
      <c r="AW114" s="1" t="s">
        <v>0</v>
      </c>
    </row>
    <row r="115" spans="1:49" x14ac:dyDescent="0.15">
      <c r="A115" s="1" t="s">
        <v>2012</v>
      </c>
      <c r="C115" s="2" t="s">
        <v>2313</v>
      </c>
      <c r="F115" s="1" t="s">
        <v>2314</v>
      </c>
      <c r="AW115" s="1" t="s">
        <v>0</v>
      </c>
    </row>
    <row r="116" spans="1:49" x14ac:dyDescent="0.15">
      <c r="A116" s="1" t="s">
        <v>2012</v>
      </c>
      <c r="C116" s="1" t="s">
        <v>2315</v>
      </c>
      <c r="F116" s="1" t="s">
        <v>2316</v>
      </c>
      <c r="AW116" s="1" t="s">
        <v>0</v>
      </c>
    </row>
    <row r="117" spans="1:49" x14ac:dyDescent="0.15">
      <c r="A117" s="1" t="s">
        <v>2012</v>
      </c>
      <c r="C117" s="2" t="s">
        <v>2317</v>
      </c>
      <c r="F117" s="1" t="s">
        <v>2318</v>
      </c>
      <c r="AW117" s="1" t="s">
        <v>0</v>
      </c>
    </row>
    <row r="118" spans="1:49" x14ac:dyDescent="0.15">
      <c r="A118" s="1" t="s">
        <v>2012</v>
      </c>
      <c r="C118" s="1" t="s">
        <v>2319</v>
      </c>
      <c r="F118" s="1" t="s">
        <v>2320</v>
      </c>
      <c r="AW118" s="1" t="s">
        <v>0</v>
      </c>
    </row>
    <row r="119" spans="1:49" x14ac:dyDescent="0.15">
      <c r="A119" s="1" t="s">
        <v>2012</v>
      </c>
      <c r="C119" s="2" t="s">
        <v>2321</v>
      </c>
      <c r="AW119" s="1" t="s">
        <v>0</v>
      </c>
    </row>
    <row r="120" spans="1:49" x14ac:dyDescent="0.15">
      <c r="A120" s="1" t="s">
        <v>2012</v>
      </c>
      <c r="C120" s="2" t="s">
        <v>2322</v>
      </c>
      <c r="F120" s="1" t="s">
        <v>2323</v>
      </c>
      <c r="AW120" s="1" t="s">
        <v>0</v>
      </c>
    </row>
    <row r="121" spans="1:49" x14ac:dyDescent="0.15">
      <c r="A121" s="1" t="s">
        <v>2012</v>
      </c>
      <c r="C121" s="2" t="s">
        <v>2324</v>
      </c>
      <c r="F121" s="1" t="s">
        <v>2325</v>
      </c>
      <c r="AW121" s="1" t="s">
        <v>0</v>
      </c>
    </row>
    <row r="122" spans="1:49" x14ac:dyDescent="0.15">
      <c r="A122" s="1" t="s">
        <v>2012</v>
      </c>
      <c r="C122" s="2" t="s">
        <v>2326</v>
      </c>
      <c r="F122" s="1" t="s">
        <v>2327</v>
      </c>
      <c r="AW122" s="1" t="s">
        <v>141</v>
      </c>
    </row>
    <row r="123" spans="1:49" x14ac:dyDescent="0.15">
      <c r="A123" s="1" t="s">
        <v>2012</v>
      </c>
      <c r="C123" s="2" t="s">
        <v>2330</v>
      </c>
      <c r="F123" s="1" t="s">
        <v>2331</v>
      </c>
      <c r="AW123" s="1" t="s">
        <v>0</v>
      </c>
    </row>
    <row r="124" spans="1:49" x14ac:dyDescent="0.15">
      <c r="A124" s="1" t="s">
        <v>2012</v>
      </c>
      <c r="C124" s="1" t="s">
        <v>2332</v>
      </c>
      <c r="F124" s="1" t="s">
        <v>2333</v>
      </c>
      <c r="AW124" s="1" t="s">
        <v>0</v>
      </c>
    </row>
    <row r="125" spans="1:49" x14ac:dyDescent="0.15">
      <c r="A125" s="1" t="s">
        <v>2012</v>
      </c>
      <c r="C125" s="2" t="s">
        <v>2334</v>
      </c>
      <c r="F125" s="1" t="s">
        <v>2335</v>
      </c>
      <c r="AW125" s="1" t="s">
        <v>0</v>
      </c>
    </row>
    <row r="126" spans="1:49" x14ac:dyDescent="0.15">
      <c r="A126" s="1" t="s">
        <v>2012</v>
      </c>
      <c r="C126" s="1" t="s">
        <v>2338</v>
      </c>
      <c r="F126" s="1" t="s">
        <v>2339</v>
      </c>
      <c r="AW126" s="1" t="s">
        <v>0</v>
      </c>
    </row>
    <row r="127" spans="1:49" x14ac:dyDescent="0.15">
      <c r="A127" s="1" t="s">
        <v>2012</v>
      </c>
      <c r="C127" s="2" t="s">
        <v>2340</v>
      </c>
      <c r="F127" s="1" t="s">
        <v>2341</v>
      </c>
      <c r="AW127" s="1" t="s">
        <v>0</v>
      </c>
    </row>
    <row r="128" spans="1:49" x14ac:dyDescent="0.15">
      <c r="A128" s="1" t="s">
        <v>2012</v>
      </c>
      <c r="C128" s="2" t="s">
        <v>2342</v>
      </c>
      <c r="F128" s="1" t="s">
        <v>2343</v>
      </c>
      <c r="AW128" s="1" t="s">
        <v>0</v>
      </c>
    </row>
    <row r="129" spans="1:49" x14ac:dyDescent="0.15">
      <c r="A129" s="1" t="s">
        <v>2012</v>
      </c>
      <c r="C129" s="1" t="s">
        <v>2344</v>
      </c>
      <c r="F129" s="1" t="s">
        <v>2345</v>
      </c>
      <c r="AW129" s="1" t="s">
        <v>0</v>
      </c>
    </row>
    <row r="130" spans="1:49" x14ac:dyDescent="0.15">
      <c r="A130" s="1" t="s">
        <v>2012</v>
      </c>
      <c r="C130" s="2" t="s">
        <v>2344</v>
      </c>
      <c r="E130" s="1" t="s">
        <v>2346</v>
      </c>
    </row>
    <row r="131" spans="1:49" x14ac:dyDescent="0.15">
      <c r="A131" s="1" t="s">
        <v>2012</v>
      </c>
      <c r="C131" s="1" t="s">
        <v>2351</v>
      </c>
      <c r="F131" s="1" t="s">
        <v>2352</v>
      </c>
      <c r="AW131" s="1" t="s">
        <v>0</v>
      </c>
    </row>
    <row r="132" spans="1:49" x14ac:dyDescent="0.15">
      <c r="A132" s="1" t="s">
        <v>2012</v>
      </c>
      <c r="C132" s="1" t="s">
        <v>2353</v>
      </c>
      <c r="F132" s="1" t="s">
        <v>2354</v>
      </c>
      <c r="AW132" s="1" t="s">
        <v>0</v>
      </c>
    </row>
    <row r="133" spans="1:49" x14ac:dyDescent="0.15">
      <c r="A133" s="1" t="s">
        <v>2012</v>
      </c>
      <c r="C133" s="1" t="s">
        <v>2358</v>
      </c>
      <c r="F133" s="1" t="s">
        <v>2359</v>
      </c>
      <c r="AW133" s="1" t="s">
        <v>0</v>
      </c>
    </row>
    <row r="134" spans="1:49" x14ac:dyDescent="0.15">
      <c r="A134" s="1" t="s">
        <v>2012</v>
      </c>
      <c r="C134" s="1" t="s">
        <v>2360</v>
      </c>
      <c r="F134" s="1" t="s">
        <v>2361</v>
      </c>
      <c r="AW134" s="1" t="s">
        <v>0</v>
      </c>
    </row>
    <row r="135" spans="1:49" x14ac:dyDescent="0.15">
      <c r="A135" s="1" t="s">
        <v>2012</v>
      </c>
      <c r="C135" s="2" t="s">
        <v>2364</v>
      </c>
      <c r="F135" s="1" t="s">
        <v>2365</v>
      </c>
      <c r="AW135" s="1" t="s">
        <v>0</v>
      </c>
    </row>
    <row r="136" spans="1:49" x14ac:dyDescent="0.15">
      <c r="A136" s="1" t="s">
        <v>2012</v>
      </c>
      <c r="C136" s="2" t="s">
        <v>2366</v>
      </c>
      <c r="F136" s="1" t="s">
        <v>2367</v>
      </c>
      <c r="AW136" s="1" t="s">
        <v>0</v>
      </c>
    </row>
    <row r="137" spans="1:49" x14ac:dyDescent="0.15">
      <c r="A137" s="1" t="s">
        <v>2012</v>
      </c>
      <c r="C137" s="1" t="s">
        <v>2368</v>
      </c>
      <c r="F137" s="1" t="s">
        <v>2369</v>
      </c>
      <c r="AW137" s="1" t="s">
        <v>0</v>
      </c>
    </row>
    <row r="138" spans="1:49" x14ac:dyDescent="0.15">
      <c r="A138" s="1" t="s">
        <v>2012</v>
      </c>
      <c r="C138" s="2" t="s">
        <v>2378</v>
      </c>
      <c r="F138" s="1" t="s">
        <v>2379</v>
      </c>
      <c r="AW138" s="1" t="s">
        <v>0</v>
      </c>
    </row>
    <row r="139" spans="1:49" x14ac:dyDescent="0.15">
      <c r="A139" s="1" t="s">
        <v>2012</v>
      </c>
      <c r="C139" s="2" t="s">
        <v>2380</v>
      </c>
      <c r="F139" s="1" t="s">
        <v>2381</v>
      </c>
      <c r="AW139" s="1" t="s">
        <v>0</v>
      </c>
    </row>
    <row r="140" spans="1:49" x14ac:dyDescent="0.15">
      <c r="A140" s="1" t="s">
        <v>2012</v>
      </c>
      <c r="C140" s="1" t="s">
        <v>2385</v>
      </c>
      <c r="F140" s="1" t="s">
        <v>2386</v>
      </c>
      <c r="AW140" s="1" t="s">
        <v>0</v>
      </c>
    </row>
    <row r="141" spans="1:49" x14ac:dyDescent="0.15">
      <c r="A141" s="1" t="s">
        <v>2012</v>
      </c>
      <c r="C141" s="1" t="s">
        <v>2389</v>
      </c>
      <c r="F141" s="1" t="s">
        <v>2390</v>
      </c>
      <c r="AW141" s="1" t="s">
        <v>0</v>
      </c>
    </row>
    <row r="142" spans="1:49" x14ac:dyDescent="0.15">
      <c r="A142" s="1" t="s">
        <v>2012</v>
      </c>
      <c r="C142" s="1" t="s">
        <v>2391</v>
      </c>
      <c r="F142" s="1" t="s">
        <v>2392</v>
      </c>
      <c r="AW142" s="1" t="s">
        <v>0</v>
      </c>
    </row>
    <row r="143" spans="1:49" x14ac:dyDescent="0.15">
      <c r="A143" s="1" t="s">
        <v>2012</v>
      </c>
      <c r="C143" s="2" t="s">
        <v>2393</v>
      </c>
      <c r="F143" s="1" t="s">
        <v>2394</v>
      </c>
      <c r="AW143" s="1" t="s">
        <v>0</v>
      </c>
    </row>
    <row r="144" spans="1:49" x14ac:dyDescent="0.15">
      <c r="A144" s="1" t="s">
        <v>2012</v>
      </c>
      <c r="C144" s="1" t="s">
        <v>2395</v>
      </c>
      <c r="F144" s="1" t="s">
        <v>2396</v>
      </c>
      <c r="AW144" s="1" t="s">
        <v>0</v>
      </c>
    </row>
    <row r="145" spans="1:49" x14ac:dyDescent="0.15">
      <c r="A145" s="1" t="s">
        <v>2012</v>
      </c>
      <c r="C145" s="2" t="s">
        <v>2397</v>
      </c>
      <c r="F145" s="1" t="s">
        <v>2398</v>
      </c>
      <c r="AW145" s="1" t="s">
        <v>0</v>
      </c>
    </row>
    <row r="146" spans="1:49" x14ac:dyDescent="0.15">
      <c r="A146" s="1" t="s">
        <v>2012</v>
      </c>
      <c r="C146" s="1" t="s">
        <v>2397</v>
      </c>
      <c r="K146" s="1" t="s">
        <v>2399</v>
      </c>
    </row>
    <row r="147" spans="1:49" x14ac:dyDescent="0.15">
      <c r="A147" s="1" t="s">
        <v>2012</v>
      </c>
      <c r="C147" s="2" t="s">
        <v>2400</v>
      </c>
      <c r="F147" s="1" t="s">
        <v>2401</v>
      </c>
      <c r="AW147" s="1" t="s">
        <v>0</v>
      </c>
    </row>
    <row r="148" spans="1:49" x14ac:dyDescent="0.15">
      <c r="A148" s="1" t="s">
        <v>2012</v>
      </c>
      <c r="C148" s="1" t="s">
        <v>2400</v>
      </c>
      <c r="E148" s="1" t="s">
        <v>2402</v>
      </c>
    </row>
    <row r="149" spans="1:49" x14ac:dyDescent="0.15">
      <c r="A149" s="1" t="s">
        <v>2012</v>
      </c>
      <c r="C149" s="1" t="s">
        <v>2403</v>
      </c>
      <c r="F149" s="1" t="s">
        <v>2404</v>
      </c>
      <c r="AW149" s="1" t="s">
        <v>0</v>
      </c>
    </row>
    <row r="150" spans="1:49" x14ac:dyDescent="0.15">
      <c r="A150" s="1" t="s">
        <v>2012</v>
      </c>
      <c r="C150" s="2" t="s">
        <v>2405</v>
      </c>
      <c r="F150" s="1" t="s">
        <v>2406</v>
      </c>
      <c r="AW150" s="1" t="s">
        <v>0</v>
      </c>
    </row>
    <row r="151" spans="1:49" x14ac:dyDescent="0.15">
      <c r="A151" s="1" t="s">
        <v>2012</v>
      </c>
      <c r="C151" s="2" t="s">
        <v>2408</v>
      </c>
      <c r="F151" s="1" t="s">
        <v>2409</v>
      </c>
      <c r="AW151" s="1" t="s">
        <v>0</v>
      </c>
    </row>
    <row r="152" spans="1:49" x14ac:dyDescent="0.15">
      <c r="A152" s="1" t="s">
        <v>2012</v>
      </c>
      <c r="C152" s="1" t="s">
        <v>2414</v>
      </c>
      <c r="F152" s="1" t="s">
        <v>2415</v>
      </c>
      <c r="AW152" s="1" t="s">
        <v>0</v>
      </c>
    </row>
    <row r="153" spans="1:49" x14ac:dyDescent="0.15">
      <c r="A153" s="1" t="s">
        <v>2012</v>
      </c>
      <c r="C153" s="1" t="s">
        <v>2418</v>
      </c>
      <c r="F153" s="1" t="s">
        <v>2419</v>
      </c>
      <c r="AW153" s="1" t="s">
        <v>0</v>
      </c>
    </row>
    <row r="154" spans="1:49" x14ac:dyDescent="0.15">
      <c r="A154" s="1" t="s">
        <v>2012</v>
      </c>
      <c r="C154" s="2" t="s">
        <v>2420</v>
      </c>
      <c r="F154" s="1" t="s">
        <v>2421</v>
      </c>
      <c r="AW154" s="1" t="s">
        <v>0</v>
      </c>
    </row>
    <row r="155" spans="1:49" x14ac:dyDescent="0.15">
      <c r="A155" s="1" t="s">
        <v>2012</v>
      </c>
      <c r="C155" s="2" t="s">
        <v>2430</v>
      </c>
      <c r="F155" s="1" t="s">
        <v>2431</v>
      </c>
      <c r="AW155" s="1" t="s">
        <v>0</v>
      </c>
    </row>
    <row r="156" spans="1:49" x14ac:dyDescent="0.15">
      <c r="A156" s="1" t="s">
        <v>2012</v>
      </c>
      <c r="C156" s="2" t="s">
        <v>2432</v>
      </c>
      <c r="F156" s="1" t="s">
        <v>2433</v>
      </c>
      <c r="AW156" s="1" t="s">
        <v>0</v>
      </c>
    </row>
    <row r="157" spans="1:49" x14ac:dyDescent="0.15">
      <c r="A157" s="1" t="s">
        <v>2012</v>
      </c>
      <c r="C157" s="1" t="s">
        <v>2432</v>
      </c>
      <c r="E157" s="1" t="s">
        <v>2434</v>
      </c>
    </row>
    <row r="158" spans="1:49" x14ac:dyDescent="0.15">
      <c r="A158" s="1" t="s">
        <v>2012</v>
      </c>
      <c r="C158" s="1" t="s">
        <v>2437</v>
      </c>
      <c r="F158" s="1" t="s">
        <v>2438</v>
      </c>
      <c r="AW158" s="1" t="s">
        <v>0</v>
      </c>
    </row>
    <row r="159" spans="1:49" x14ac:dyDescent="0.15">
      <c r="A159" s="1" t="s">
        <v>2012</v>
      </c>
      <c r="C159" s="1" t="s">
        <v>2439</v>
      </c>
      <c r="F159" s="1" t="s">
        <v>2440</v>
      </c>
      <c r="AW159" s="1" t="s">
        <v>0</v>
      </c>
    </row>
    <row r="160" spans="1:49" x14ac:dyDescent="0.15">
      <c r="A160" s="1" t="s">
        <v>2012</v>
      </c>
      <c r="C160" s="2" t="s">
        <v>2441</v>
      </c>
      <c r="F160" s="1" t="s">
        <v>2442</v>
      </c>
      <c r="AW160" s="1" t="s">
        <v>0</v>
      </c>
    </row>
    <row r="161" spans="1:49" x14ac:dyDescent="0.15">
      <c r="A161" s="1" t="s">
        <v>2012</v>
      </c>
      <c r="C161" s="1" t="s">
        <v>2445</v>
      </c>
      <c r="F161" s="1" t="s">
        <v>2446</v>
      </c>
      <c r="AW161" s="1" t="s">
        <v>0</v>
      </c>
    </row>
    <row r="162" spans="1:49" x14ac:dyDescent="0.15">
      <c r="A162" s="1" t="s">
        <v>2012</v>
      </c>
      <c r="C162" s="1" t="s">
        <v>2450</v>
      </c>
      <c r="F162" s="1" t="s">
        <v>2451</v>
      </c>
      <c r="AW162" s="1" t="s">
        <v>0</v>
      </c>
    </row>
    <row r="163" spans="1:49" x14ac:dyDescent="0.15">
      <c r="A163" s="1" t="s">
        <v>2012</v>
      </c>
      <c r="C163" s="1" t="s">
        <v>2452</v>
      </c>
      <c r="F163" s="1" t="s">
        <v>2453</v>
      </c>
      <c r="AW163" s="1" t="s">
        <v>0</v>
      </c>
    </row>
    <row r="164" spans="1:49" x14ac:dyDescent="0.15">
      <c r="A164" s="1" t="s">
        <v>2012</v>
      </c>
      <c r="C164" s="2" t="s">
        <v>2457</v>
      </c>
      <c r="F164" s="1" t="s">
        <v>2458</v>
      </c>
      <c r="AW164" s="1" t="s">
        <v>0</v>
      </c>
    </row>
    <row r="165" spans="1:49" x14ac:dyDescent="0.15">
      <c r="A165" s="1" t="s">
        <v>2012</v>
      </c>
      <c r="C165" s="2" t="s">
        <v>2460</v>
      </c>
      <c r="F165" s="1" t="s">
        <v>2461</v>
      </c>
      <c r="AW165" s="1" t="s">
        <v>0</v>
      </c>
    </row>
    <row r="166" spans="1:49" x14ac:dyDescent="0.15">
      <c r="A166" s="1" t="s">
        <v>2012</v>
      </c>
      <c r="C166" s="1" t="s">
        <v>2465</v>
      </c>
      <c r="AW166" s="1" t="s">
        <v>0</v>
      </c>
    </row>
    <row r="167" spans="1:49" x14ac:dyDescent="0.15">
      <c r="A167" s="1" t="s">
        <v>2012</v>
      </c>
      <c r="C167" s="2" t="s">
        <v>2466</v>
      </c>
      <c r="F167" s="1" t="s">
        <v>2467</v>
      </c>
      <c r="AW167" s="1" t="s">
        <v>0</v>
      </c>
    </row>
    <row r="168" spans="1:49" x14ac:dyDescent="0.15">
      <c r="A168" s="1" t="s">
        <v>2012</v>
      </c>
      <c r="C168" s="1" t="s">
        <v>2468</v>
      </c>
      <c r="F168" s="1" t="s">
        <v>2469</v>
      </c>
      <c r="AW168" s="1" t="s">
        <v>0</v>
      </c>
    </row>
    <row r="169" spans="1:49" x14ac:dyDescent="0.15">
      <c r="A169" s="1" t="s">
        <v>2012</v>
      </c>
      <c r="C169" s="1" t="s">
        <v>2476</v>
      </c>
      <c r="F169" s="1" t="s">
        <v>2477</v>
      </c>
      <c r="AW169" s="1" t="s">
        <v>0</v>
      </c>
    </row>
    <row r="170" spans="1:49" x14ac:dyDescent="0.15">
      <c r="A170" s="1" t="s">
        <v>2012</v>
      </c>
      <c r="C170" s="2" t="s">
        <v>2482</v>
      </c>
      <c r="F170" s="1" t="s">
        <v>2483</v>
      </c>
      <c r="AW170" s="1" t="s">
        <v>0</v>
      </c>
    </row>
    <row r="171" spans="1:49" x14ac:dyDescent="0.15">
      <c r="A171" s="1" t="s">
        <v>2012</v>
      </c>
      <c r="C171" s="2" t="s">
        <v>2486</v>
      </c>
      <c r="F171" s="1" t="s">
        <v>2487</v>
      </c>
      <c r="AW171" s="1" t="s">
        <v>0</v>
      </c>
    </row>
    <row r="172" spans="1:49" x14ac:dyDescent="0.15">
      <c r="A172" s="1" t="s">
        <v>2012</v>
      </c>
      <c r="C172" s="2" t="s">
        <v>2492</v>
      </c>
      <c r="F172" s="1" t="s">
        <v>2493</v>
      </c>
      <c r="AW172" s="1" t="s">
        <v>0</v>
      </c>
    </row>
    <row r="173" spans="1:49" x14ac:dyDescent="0.15">
      <c r="A173" s="1" t="s">
        <v>2012</v>
      </c>
      <c r="C173" s="2" t="s">
        <v>2494</v>
      </c>
      <c r="F173" s="1" t="s">
        <v>2495</v>
      </c>
      <c r="AW173" s="1" t="s">
        <v>0</v>
      </c>
    </row>
    <row r="174" spans="1:49" x14ac:dyDescent="0.15">
      <c r="A174" s="1" t="s">
        <v>2012</v>
      </c>
      <c r="C174" s="2" t="s">
        <v>2496</v>
      </c>
      <c r="F174" s="1" t="s">
        <v>2497</v>
      </c>
      <c r="AW174" s="1" t="s">
        <v>0</v>
      </c>
    </row>
    <row r="175" spans="1:49" x14ac:dyDescent="0.15">
      <c r="A175" s="1" t="s">
        <v>2012</v>
      </c>
      <c r="C175" s="1" t="s">
        <v>2499</v>
      </c>
      <c r="F175" s="1" t="s">
        <v>2500</v>
      </c>
      <c r="AW175" s="1" t="s">
        <v>0</v>
      </c>
    </row>
    <row r="176" spans="1:49" x14ac:dyDescent="0.15">
      <c r="A176" s="1" t="s">
        <v>2503</v>
      </c>
      <c r="C176" s="2" t="s">
        <v>2504</v>
      </c>
      <c r="K176" s="1" t="s">
        <v>2505</v>
      </c>
    </row>
    <row r="177" spans="1:49" x14ac:dyDescent="0.15">
      <c r="A177" s="1" t="s">
        <v>2503</v>
      </c>
      <c r="C177" s="2" t="s">
        <v>2511</v>
      </c>
      <c r="K177" s="1" t="s">
        <v>2512</v>
      </c>
    </row>
    <row r="178" spans="1:49" x14ac:dyDescent="0.15">
      <c r="A178" s="1" t="s">
        <v>2503</v>
      </c>
      <c r="C178" s="1" t="s">
        <v>2513</v>
      </c>
      <c r="K178" s="1" t="s">
        <v>2514</v>
      </c>
    </row>
    <row r="179" spans="1:49" x14ac:dyDescent="0.15">
      <c r="A179" s="1" t="s">
        <v>2503</v>
      </c>
      <c r="C179" s="2" t="s">
        <v>2515</v>
      </c>
      <c r="F179" s="1" t="s">
        <v>2516</v>
      </c>
      <c r="AW179" s="1" t="s">
        <v>155</v>
      </c>
    </row>
    <row r="180" spans="1:49" x14ac:dyDescent="0.15">
      <c r="A180" s="1" t="s">
        <v>2503</v>
      </c>
      <c r="C180" s="2" t="s">
        <v>2517</v>
      </c>
      <c r="E180" s="1" t="s">
        <v>2518</v>
      </c>
    </row>
    <row r="181" spans="1:49" x14ac:dyDescent="0.15">
      <c r="A181" s="1" t="s">
        <v>2503</v>
      </c>
      <c r="C181" s="2" t="s">
        <v>433</v>
      </c>
      <c r="F181" s="1" t="s">
        <v>2521</v>
      </c>
      <c r="AW181" s="1" t="s">
        <v>141</v>
      </c>
    </row>
    <row r="182" spans="1:49" x14ac:dyDescent="0.15">
      <c r="A182" s="1" t="s">
        <v>2503</v>
      </c>
      <c r="C182" s="2" t="s">
        <v>2525</v>
      </c>
      <c r="K182" s="1" t="s">
        <v>2526</v>
      </c>
    </row>
    <row r="183" spans="1:49" x14ac:dyDescent="0.15">
      <c r="A183" s="1" t="s">
        <v>2503</v>
      </c>
      <c r="B183" s="1" t="s">
        <v>2527</v>
      </c>
      <c r="E183" s="1" t="s">
        <v>2528</v>
      </c>
    </row>
    <row r="184" spans="1:49" x14ac:dyDescent="0.15">
      <c r="A184" s="1" t="s">
        <v>2503</v>
      </c>
      <c r="C184" s="2" t="s">
        <v>2529</v>
      </c>
      <c r="F184" s="1" t="s">
        <v>2530</v>
      </c>
      <c r="K184" s="1" t="s">
        <v>2531</v>
      </c>
      <c r="N184" s="1" t="s">
        <v>148</v>
      </c>
      <c r="O184" s="1" t="s">
        <v>149</v>
      </c>
      <c r="AW184" s="1" t="s">
        <v>145</v>
      </c>
    </row>
    <row r="185" spans="1:49" x14ac:dyDescent="0.15">
      <c r="A185" s="1" t="s">
        <v>2503</v>
      </c>
      <c r="C185" s="2" t="s">
        <v>2532</v>
      </c>
      <c r="K185" s="1" t="s">
        <v>2533</v>
      </c>
    </row>
    <row r="186" spans="1:49" x14ac:dyDescent="0.15">
      <c r="A186" s="1" t="s">
        <v>2503</v>
      </c>
      <c r="C186" s="1" t="s">
        <v>2535</v>
      </c>
      <c r="AW186" s="1" t="s">
        <v>0</v>
      </c>
    </row>
    <row r="187" spans="1:49" x14ac:dyDescent="0.15">
      <c r="A187" s="1" t="s">
        <v>2503</v>
      </c>
      <c r="C187" s="2" t="s">
        <v>2536</v>
      </c>
      <c r="F187" s="1" t="s">
        <v>2537</v>
      </c>
      <c r="AW187" s="1" t="s">
        <v>141</v>
      </c>
    </row>
    <row r="188" spans="1:49" x14ac:dyDescent="0.15">
      <c r="A188" s="1" t="s">
        <v>2503</v>
      </c>
      <c r="C188" s="2" t="s">
        <v>2539</v>
      </c>
      <c r="K188" s="1" t="s">
        <v>2540</v>
      </c>
    </row>
    <row r="189" spans="1:49" x14ac:dyDescent="0.15">
      <c r="A189" s="1" t="s">
        <v>2503</v>
      </c>
      <c r="B189" s="1" t="s">
        <v>2541</v>
      </c>
      <c r="E189" s="1" t="s">
        <v>2542</v>
      </c>
    </row>
    <row r="190" spans="1:49" x14ac:dyDescent="0.15">
      <c r="A190" s="1" t="s">
        <v>2503</v>
      </c>
      <c r="C190" s="2" t="s">
        <v>2543</v>
      </c>
      <c r="E190" s="1" t="s">
        <v>2544</v>
      </c>
    </row>
    <row r="191" spans="1:49" x14ac:dyDescent="0.15">
      <c r="A191" s="1" t="s">
        <v>2503</v>
      </c>
      <c r="C191" s="1" t="s">
        <v>2548</v>
      </c>
      <c r="K191" s="1" t="s">
        <v>2549</v>
      </c>
    </row>
    <row r="192" spans="1:49" x14ac:dyDescent="0.15">
      <c r="A192" s="1" t="s">
        <v>2503</v>
      </c>
      <c r="C192" s="1" t="s">
        <v>2550</v>
      </c>
      <c r="AW192" s="1" t="s">
        <v>0</v>
      </c>
    </row>
    <row r="193" spans="1:49" x14ac:dyDescent="0.15">
      <c r="A193" s="1" t="s">
        <v>2503</v>
      </c>
      <c r="C193" s="1" t="s">
        <v>2551</v>
      </c>
      <c r="K193" s="1" t="s">
        <v>2552</v>
      </c>
    </row>
    <row r="194" spans="1:49" x14ac:dyDescent="0.15">
      <c r="A194" s="1" t="s">
        <v>2503</v>
      </c>
      <c r="C194" s="2" t="s">
        <v>2553</v>
      </c>
      <c r="F194" s="1" t="s">
        <v>2554</v>
      </c>
      <c r="AW194" s="1" t="s">
        <v>141</v>
      </c>
    </row>
    <row r="195" spans="1:49" x14ac:dyDescent="0.15">
      <c r="A195" s="1" t="s">
        <v>2503</v>
      </c>
      <c r="C195" s="2" t="s">
        <v>2555</v>
      </c>
      <c r="E195" s="1" t="s">
        <v>2556</v>
      </c>
    </row>
    <row r="196" spans="1:49" x14ac:dyDescent="0.15">
      <c r="A196" s="1" t="s">
        <v>2503</v>
      </c>
      <c r="C196" s="2" t="s">
        <v>2557</v>
      </c>
      <c r="E196" s="1" t="s">
        <v>2558</v>
      </c>
      <c r="K196" s="1" t="s">
        <v>2559</v>
      </c>
    </row>
    <row r="197" spans="1:49" x14ac:dyDescent="0.15">
      <c r="A197" s="1" t="s">
        <v>2503</v>
      </c>
      <c r="C197" s="2" t="s">
        <v>2560</v>
      </c>
      <c r="AW197" s="1" t="s">
        <v>0</v>
      </c>
    </row>
    <row r="198" spans="1:49" x14ac:dyDescent="0.15">
      <c r="A198" s="1" t="s">
        <v>2503</v>
      </c>
      <c r="C198" s="2" t="s">
        <v>2562</v>
      </c>
      <c r="F198" s="1" t="s">
        <v>2563</v>
      </c>
      <c r="AW198" s="1" t="s">
        <v>0</v>
      </c>
    </row>
    <row r="199" spans="1:49" x14ac:dyDescent="0.15">
      <c r="A199" s="1" t="s">
        <v>2503</v>
      </c>
      <c r="B199" s="1" t="s">
        <v>2565</v>
      </c>
      <c r="E199" s="1" t="s">
        <v>2566</v>
      </c>
    </row>
    <row r="200" spans="1:49" x14ac:dyDescent="0.15">
      <c r="A200" s="1" t="s">
        <v>2503</v>
      </c>
      <c r="C200" s="2" t="s">
        <v>2575</v>
      </c>
      <c r="E200" s="1" t="s">
        <v>2576</v>
      </c>
      <c r="AG200" s="1" t="s">
        <v>2577</v>
      </c>
    </row>
    <row r="201" spans="1:49" x14ac:dyDescent="0.15">
      <c r="A201" s="1" t="s">
        <v>2503</v>
      </c>
      <c r="C201" s="2" t="s">
        <v>2578</v>
      </c>
      <c r="E201" s="1" t="s">
        <v>2579</v>
      </c>
    </row>
    <row r="202" spans="1:49" x14ac:dyDescent="0.15">
      <c r="A202" s="1" t="s">
        <v>2503</v>
      </c>
      <c r="C202" s="1" t="s">
        <v>674</v>
      </c>
      <c r="E202" s="1" t="s">
        <v>2580</v>
      </c>
    </row>
    <row r="203" spans="1:49" x14ac:dyDescent="0.15">
      <c r="A203" s="1" t="s">
        <v>2503</v>
      </c>
      <c r="C203" s="2" t="s">
        <v>2581</v>
      </c>
      <c r="E203" s="1" t="s">
        <v>2582</v>
      </c>
    </row>
    <row r="204" spans="1:49" x14ac:dyDescent="0.15">
      <c r="A204" s="1" t="s">
        <v>2503</v>
      </c>
      <c r="C204" s="2" t="s">
        <v>2583</v>
      </c>
      <c r="F204" s="1" t="s">
        <v>2584</v>
      </c>
      <c r="AW204" s="1" t="s">
        <v>0</v>
      </c>
    </row>
    <row r="205" spans="1:49" x14ac:dyDescent="0.15">
      <c r="A205" s="1" t="s">
        <v>2503</v>
      </c>
      <c r="C205" s="1" t="s">
        <v>2585</v>
      </c>
      <c r="K205" s="1" t="s">
        <v>2586</v>
      </c>
    </row>
    <row r="206" spans="1:49" x14ac:dyDescent="0.15">
      <c r="A206" s="1" t="s">
        <v>2503</v>
      </c>
      <c r="C206" s="2" t="s">
        <v>2587</v>
      </c>
      <c r="E206" s="1" t="s">
        <v>2588</v>
      </c>
    </row>
    <row r="207" spans="1:49" x14ac:dyDescent="0.15">
      <c r="A207" s="1" t="s">
        <v>2503</v>
      </c>
      <c r="C207" s="2" t="s">
        <v>2589</v>
      </c>
      <c r="F207" s="1" t="s">
        <v>2590</v>
      </c>
      <c r="AW207" s="1" t="s">
        <v>141</v>
      </c>
    </row>
    <row r="208" spans="1:49" x14ac:dyDescent="0.15">
      <c r="A208" s="1" t="s">
        <v>2503</v>
      </c>
      <c r="C208" s="1" t="s">
        <v>2591</v>
      </c>
      <c r="K208" s="1" t="s">
        <v>2592</v>
      </c>
    </row>
    <row r="209" spans="1:49" x14ac:dyDescent="0.15">
      <c r="A209" s="1" t="s">
        <v>2503</v>
      </c>
      <c r="C209" s="2" t="s">
        <v>2593</v>
      </c>
      <c r="F209" s="1" t="s">
        <v>2594</v>
      </c>
      <c r="AW209" s="1" t="s">
        <v>0</v>
      </c>
    </row>
    <row r="210" spans="1:49" x14ac:dyDescent="0.15">
      <c r="A210" s="1" t="s">
        <v>2503</v>
      </c>
      <c r="C210" s="2" t="s">
        <v>2595</v>
      </c>
      <c r="K210" s="1" t="s">
        <v>2596</v>
      </c>
    </row>
    <row r="211" spans="1:49" x14ac:dyDescent="0.15">
      <c r="A211" s="1" t="s">
        <v>2503</v>
      </c>
      <c r="C211" s="2" t="s">
        <v>2597</v>
      </c>
      <c r="F211" s="1" t="s">
        <v>2598</v>
      </c>
      <c r="N211" s="1" t="s">
        <v>148</v>
      </c>
      <c r="O211" s="1" t="s">
        <v>149</v>
      </c>
      <c r="AW211" s="1" t="s">
        <v>145</v>
      </c>
    </row>
    <row r="212" spans="1:49" x14ac:dyDescent="0.15">
      <c r="A212" s="1" t="s">
        <v>2503</v>
      </c>
      <c r="C212" s="1" t="s">
        <v>2597</v>
      </c>
      <c r="K212" s="1" t="s">
        <v>2599</v>
      </c>
    </row>
    <row r="213" spans="1:49" x14ac:dyDescent="0.15">
      <c r="A213" s="1" t="s">
        <v>2503</v>
      </c>
      <c r="C213" s="1" t="s">
        <v>2597</v>
      </c>
      <c r="K213" s="1" t="s">
        <v>2600</v>
      </c>
    </row>
    <row r="214" spans="1:49" x14ac:dyDescent="0.15">
      <c r="A214" s="1" t="s">
        <v>2503</v>
      </c>
      <c r="C214" s="1" t="s">
        <v>2601</v>
      </c>
      <c r="K214" s="1" t="s">
        <v>2602</v>
      </c>
    </row>
    <row r="215" spans="1:49" x14ac:dyDescent="0.15">
      <c r="A215" s="1" t="s">
        <v>2503</v>
      </c>
      <c r="C215" s="2" t="s">
        <v>2603</v>
      </c>
      <c r="F215" s="1" t="s">
        <v>2604</v>
      </c>
      <c r="AW215" s="1" t="s">
        <v>0</v>
      </c>
    </row>
    <row r="216" spans="1:49" x14ac:dyDescent="0.15">
      <c r="A216" s="1" t="s">
        <v>2503</v>
      </c>
      <c r="C216" s="2" t="s">
        <v>2605</v>
      </c>
      <c r="E216" s="1" t="s">
        <v>2606</v>
      </c>
    </row>
    <row r="217" spans="1:49" x14ac:dyDescent="0.15">
      <c r="A217" s="1" t="s">
        <v>2503</v>
      </c>
      <c r="C217" s="2" t="s">
        <v>2607</v>
      </c>
      <c r="F217" s="1" t="s">
        <v>2608</v>
      </c>
      <c r="AW217" s="1" t="s">
        <v>0</v>
      </c>
    </row>
    <row r="218" spans="1:49" x14ac:dyDescent="0.15">
      <c r="A218" s="1" t="s">
        <v>2503</v>
      </c>
      <c r="C218" s="2" t="s">
        <v>2610</v>
      </c>
      <c r="E218" s="1" t="s">
        <v>2611</v>
      </c>
    </row>
    <row r="219" spans="1:49" x14ac:dyDescent="0.15">
      <c r="A219" s="1" t="s">
        <v>2503</v>
      </c>
      <c r="C219" s="2" t="s">
        <v>2612</v>
      </c>
      <c r="E219" s="1" t="s">
        <v>2613</v>
      </c>
    </row>
    <row r="220" spans="1:49" x14ac:dyDescent="0.15">
      <c r="A220" s="1" t="s">
        <v>2503</v>
      </c>
      <c r="C220" s="2" t="s">
        <v>2616</v>
      </c>
      <c r="F220" s="1" t="s">
        <v>2617</v>
      </c>
      <c r="AW220" s="1" t="s">
        <v>141</v>
      </c>
    </row>
    <row r="221" spans="1:49" x14ac:dyDescent="0.15">
      <c r="A221" s="1" t="s">
        <v>2503</v>
      </c>
      <c r="C221" s="1" t="s">
        <v>2616</v>
      </c>
      <c r="E221" s="1" t="s">
        <v>2618</v>
      </c>
    </row>
    <row r="222" spans="1:49" x14ac:dyDescent="0.15">
      <c r="A222" s="1" t="s">
        <v>2503</v>
      </c>
      <c r="C222" s="2" t="s">
        <v>2619</v>
      </c>
      <c r="E222" s="1" t="s">
        <v>2620</v>
      </c>
    </row>
    <row r="223" spans="1:49" x14ac:dyDescent="0.15">
      <c r="A223" s="1" t="s">
        <v>2503</v>
      </c>
      <c r="C223" s="2" t="s">
        <v>2623</v>
      </c>
      <c r="E223" s="1" t="s">
        <v>2624</v>
      </c>
    </row>
    <row r="224" spans="1:49" x14ac:dyDescent="0.15">
      <c r="A224" s="1" t="s">
        <v>2503</v>
      </c>
      <c r="C224" s="2" t="s">
        <v>2628</v>
      </c>
      <c r="F224" s="1" t="s">
        <v>2629</v>
      </c>
      <c r="AW224" s="1" t="s">
        <v>0</v>
      </c>
    </row>
    <row r="225" spans="1:49" x14ac:dyDescent="0.15">
      <c r="A225" s="1" t="s">
        <v>2503</v>
      </c>
      <c r="C225" s="1" t="s">
        <v>2631</v>
      </c>
      <c r="F225" s="1" t="s">
        <v>2632</v>
      </c>
      <c r="K225" s="1" t="s">
        <v>2633</v>
      </c>
      <c r="N225" s="1" t="s">
        <v>148</v>
      </c>
      <c r="O225" s="1" t="s">
        <v>149</v>
      </c>
      <c r="AW225" s="1" t="s">
        <v>145</v>
      </c>
    </row>
    <row r="226" spans="1:49" x14ac:dyDescent="0.15">
      <c r="A226" s="1" t="s">
        <v>2503</v>
      </c>
      <c r="C226" s="1" t="s">
        <v>2634</v>
      </c>
      <c r="K226" s="1" t="s">
        <v>2635</v>
      </c>
    </row>
    <row r="227" spans="1:49" x14ac:dyDescent="0.15">
      <c r="A227" s="1" t="s">
        <v>2503</v>
      </c>
      <c r="C227" s="2" t="s">
        <v>2636</v>
      </c>
      <c r="F227" s="1" t="s">
        <v>2637</v>
      </c>
      <c r="AW227" s="1" t="s">
        <v>141</v>
      </c>
    </row>
    <row r="228" spans="1:49" x14ac:dyDescent="0.15">
      <c r="A228" s="1" t="s">
        <v>2503</v>
      </c>
      <c r="C228" s="2" t="s">
        <v>2639</v>
      </c>
      <c r="F228" s="1" t="s">
        <v>2640</v>
      </c>
      <c r="AW228" s="1" t="s">
        <v>0</v>
      </c>
    </row>
    <row r="229" spans="1:49" x14ac:dyDescent="0.15">
      <c r="A229" s="1" t="s">
        <v>2503</v>
      </c>
      <c r="C229" s="2" t="s">
        <v>2641</v>
      </c>
      <c r="F229" s="1" t="s">
        <v>2642</v>
      </c>
      <c r="AW229" s="1" t="s">
        <v>141</v>
      </c>
    </row>
    <row r="230" spans="1:49" x14ac:dyDescent="0.15">
      <c r="A230" s="1" t="s">
        <v>2503</v>
      </c>
      <c r="C230" s="2" t="s">
        <v>2643</v>
      </c>
      <c r="F230" s="1" t="s">
        <v>2644</v>
      </c>
      <c r="AW230" s="1" t="s">
        <v>0</v>
      </c>
    </row>
    <row r="231" spans="1:49" x14ac:dyDescent="0.15">
      <c r="A231" s="1" t="s">
        <v>2503</v>
      </c>
      <c r="C231" s="2" t="s">
        <v>2646</v>
      </c>
      <c r="F231" s="1" t="s">
        <v>2647</v>
      </c>
      <c r="AW231" s="1" t="s">
        <v>0</v>
      </c>
    </row>
    <row r="232" spans="1:49" x14ac:dyDescent="0.15">
      <c r="A232" s="1" t="s">
        <v>2503</v>
      </c>
      <c r="C232" s="2" t="s">
        <v>2648</v>
      </c>
      <c r="K232" s="1" t="s">
        <v>2649</v>
      </c>
    </row>
    <row r="233" spans="1:49" x14ac:dyDescent="0.15">
      <c r="A233" s="1" t="s">
        <v>2503</v>
      </c>
      <c r="C233" s="2" t="s">
        <v>2653</v>
      </c>
      <c r="F233" s="1" t="s">
        <v>2654</v>
      </c>
      <c r="N233" s="1" t="s">
        <v>148</v>
      </c>
      <c r="O233" s="1" t="s">
        <v>149</v>
      </c>
      <c r="AW233" s="1" t="s">
        <v>145</v>
      </c>
    </row>
    <row r="234" spans="1:49" x14ac:dyDescent="0.15">
      <c r="A234" s="1" t="s">
        <v>2503</v>
      </c>
      <c r="C234" s="2" t="s">
        <v>2655</v>
      </c>
      <c r="K234" s="1" t="s">
        <v>2656</v>
      </c>
    </row>
    <row r="235" spans="1:49" x14ac:dyDescent="0.15">
      <c r="A235" s="1" t="s">
        <v>2503</v>
      </c>
      <c r="C235" s="1" t="s">
        <v>49</v>
      </c>
      <c r="E235" s="1" t="s">
        <v>2659</v>
      </c>
      <c r="F235" s="1" t="s">
        <v>2660</v>
      </c>
      <c r="K235" s="1" t="s">
        <v>2661</v>
      </c>
      <c r="R235" s="1" t="s">
        <v>2662</v>
      </c>
      <c r="X235" s="1" t="s">
        <v>2663</v>
      </c>
    </row>
    <row r="236" spans="1:49" x14ac:dyDescent="0.15">
      <c r="A236" s="1" t="s">
        <v>2503</v>
      </c>
      <c r="C236" s="2" t="s">
        <v>2664</v>
      </c>
      <c r="E236" s="1" t="s">
        <v>2665</v>
      </c>
    </row>
    <row r="237" spans="1:49" x14ac:dyDescent="0.15">
      <c r="A237" s="1" t="s">
        <v>2503</v>
      </c>
      <c r="C237" s="2" t="s">
        <v>2666</v>
      </c>
      <c r="K237" s="1" t="s">
        <v>2667</v>
      </c>
    </row>
    <row r="238" spans="1:49" x14ac:dyDescent="0.15">
      <c r="A238" s="1" t="s">
        <v>2503</v>
      </c>
      <c r="C238" s="2" t="s">
        <v>2668</v>
      </c>
      <c r="F238" s="1" t="s">
        <v>2669</v>
      </c>
      <c r="AW238" s="1" t="s">
        <v>0</v>
      </c>
    </row>
    <row r="239" spans="1:49" x14ac:dyDescent="0.15">
      <c r="A239" s="1" t="s">
        <v>2503</v>
      </c>
      <c r="C239" s="1" t="s">
        <v>2668</v>
      </c>
      <c r="E239" s="1" t="s">
        <v>2670</v>
      </c>
    </row>
    <row r="240" spans="1:49" x14ac:dyDescent="0.15">
      <c r="A240" s="1" t="s">
        <v>2503</v>
      </c>
      <c r="C240" s="2" t="s">
        <v>2674</v>
      </c>
      <c r="E240" s="1" t="s">
        <v>2676</v>
      </c>
      <c r="K240" s="1" t="s">
        <v>2675</v>
      </c>
    </row>
    <row r="241" spans="1:49" x14ac:dyDescent="0.15">
      <c r="A241" s="1" t="s">
        <v>2503</v>
      </c>
      <c r="C241" s="2" t="s">
        <v>2677</v>
      </c>
      <c r="E241" s="1" t="s">
        <v>2679</v>
      </c>
      <c r="K241" s="1" t="s">
        <v>2678</v>
      </c>
    </row>
    <row r="242" spans="1:49" x14ac:dyDescent="0.15">
      <c r="A242" s="1" t="s">
        <v>2503</v>
      </c>
      <c r="C242" s="1" t="s">
        <v>2680</v>
      </c>
      <c r="F242" s="1" t="s">
        <v>2681</v>
      </c>
      <c r="AW242" s="1" t="s">
        <v>0</v>
      </c>
    </row>
    <row r="243" spans="1:49" x14ac:dyDescent="0.15">
      <c r="A243" s="1" t="s">
        <v>2503</v>
      </c>
      <c r="C243" s="2" t="s">
        <v>2682</v>
      </c>
      <c r="F243" s="1" t="s">
        <v>2683</v>
      </c>
      <c r="N243" s="1" t="s">
        <v>148</v>
      </c>
      <c r="O243" s="1" t="s">
        <v>149</v>
      </c>
      <c r="AW243" s="1" t="s">
        <v>145</v>
      </c>
    </row>
    <row r="244" spans="1:49" x14ac:dyDescent="0.15">
      <c r="A244" s="1" t="s">
        <v>2503</v>
      </c>
      <c r="C244" s="1" t="s">
        <v>2682</v>
      </c>
      <c r="E244" s="1" t="s">
        <v>2685</v>
      </c>
    </row>
    <row r="245" spans="1:49" x14ac:dyDescent="0.15">
      <c r="A245" s="1" t="s">
        <v>2503</v>
      </c>
      <c r="C245" s="1" t="s">
        <v>2682</v>
      </c>
      <c r="K245" s="1" t="s">
        <v>2686</v>
      </c>
    </row>
    <row r="246" spans="1:49" x14ac:dyDescent="0.15">
      <c r="A246" s="1" t="s">
        <v>2503</v>
      </c>
      <c r="C246" s="2" t="s">
        <v>2687</v>
      </c>
      <c r="E246" s="1" t="s">
        <v>2689</v>
      </c>
      <c r="F246" s="1" t="s">
        <v>2688</v>
      </c>
      <c r="AW246" s="1" t="s">
        <v>141</v>
      </c>
    </row>
    <row r="247" spans="1:49" x14ac:dyDescent="0.15">
      <c r="A247" s="1" t="s">
        <v>2503</v>
      </c>
      <c r="C247" s="1" t="s">
        <v>2692</v>
      </c>
      <c r="E247" s="1" t="s">
        <v>2694</v>
      </c>
    </row>
    <row r="248" spans="1:49" x14ac:dyDescent="0.15">
      <c r="A248" s="1" t="s">
        <v>2503</v>
      </c>
      <c r="C248" s="1" t="s">
        <v>2695</v>
      </c>
      <c r="E248" s="1" t="s">
        <v>2696</v>
      </c>
    </row>
    <row r="249" spans="1:49" x14ac:dyDescent="0.15">
      <c r="A249" s="1" t="s">
        <v>2503</v>
      </c>
      <c r="C249" s="1" t="s">
        <v>2697</v>
      </c>
      <c r="E249" s="1" t="s">
        <v>2699</v>
      </c>
    </row>
    <row r="250" spans="1:49" x14ac:dyDescent="0.15">
      <c r="A250" s="1" t="s">
        <v>2503</v>
      </c>
      <c r="C250" s="2" t="s">
        <v>2700</v>
      </c>
      <c r="F250" s="1" t="s">
        <v>2701</v>
      </c>
      <c r="AW250" s="1" t="s">
        <v>0</v>
      </c>
    </row>
    <row r="251" spans="1:49" x14ac:dyDescent="0.15">
      <c r="A251" s="1" t="s">
        <v>2705</v>
      </c>
      <c r="C251" s="2" t="s">
        <v>2718</v>
      </c>
      <c r="F251" s="1" t="s">
        <v>2719</v>
      </c>
      <c r="AW251" s="1" t="s">
        <v>0</v>
      </c>
    </row>
    <row r="252" spans="1:49" x14ac:dyDescent="0.15">
      <c r="A252" s="1" t="s">
        <v>2705</v>
      </c>
      <c r="C252" s="1" t="s">
        <v>2718</v>
      </c>
      <c r="K252" s="1" t="s">
        <v>2720</v>
      </c>
    </row>
    <row r="253" spans="1:49" x14ac:dyDescent="0.15">
      <c r="A253" s="1" t="s">
        <v>2705</v>
      </c>
      <c r="C253" s="1" t="s">
        <v>2723</v>
      </c>
      <c r="F253" s="1" t="s">
        <v>2724</v>
      </c>
      <c r="K253" s="1" t="s">
        <v>2725</v>
      </c>
      <c r="AW253" s="1" t="s">
        <v>0</v>
      </c>
    </row>
    <row r="254" spans="1:49" x14ac:dyDescent="0.15">
      <c r="A254" s="1" t="s">
        <v>651</v>
      </c>
      <c r="C254" s="2" t="s">
        <v>652</v>
      </c>
      <c r="F254" s="1" t="s">
        <v>653</v>
      </c>
      <c r="AW254" s="1" t="s">
        <v>155</v>
      </c>
    </row>
    <row r="255" spans="1:49" x14ac:dyDescent="0.15">
      <c r="A255" s="1" t="s">
        <v>651</v>
      </c>
      <c r="C255" s="1" t="s">
        <v>652</v>
      </c>
      <c r="E255" s="1" t="s">
        <v>654</v>
      </c>
    </row>
    <row r="256" spans="1:49" x14ac:dyDescent="0.15">
      <c r="A256" s="1" t="s">
        <v>651</v>
      </c>
      <c r="C256" s="2" t="s">
        <v>655</v>
      </c>
      <c r="F256" s="1" t="s">
        <v>656</v>
      </c>
      <c r="AW256" s="1" t="s">
        <v>141</v>
      </c>
    </row>
    <row r="257" spans="1:49" x14ac:dyDescent="0.15">
      <c r="A257" s="1" t="s">
        <v>651</v>
      </c>
      <c r="C257" s="1" t="s">
        <v>655</v>
      </c>
      <c r="E257" s="1" t="s">
        <v>657</v>
      </c>
    </row>
    <row r="258" spans="1:49" x14ac:dyDescent="0.15">
      <c r="A258" s="1" t="s">
        <v>651</v>
      </c>
      <c r="C258" s="1" t="s">
        <v>659</v>
      </c>
      <c r="E258" s="1" t="s">
        <v>658</v>
      </c>
      <c r="F258" s="1" t="s">
        <v>142</v>
      </c>
    </row>
    <row r="259" spans="1:49" x14ac:dyDescent="0.15">
      <c r="A259" s="1" t="s">
        <v>651</v>
      </c>
      <c r="C259" s="2" t="s">
        <v>660</v>
      </c>
      <c r="F259" s="1" t="s">
        <v>661</v>
      </c>
      <c r="AW259" s="1" t="s">
        <v>141</v>
      </c>
    </row>
    <row r="260" spans="1:49" x14ac:dyDescent="0.15">
      <c r="A260" s="1" t="s">
        <v>651</v>
      </c>
      <c r="C260" s="2" t="s">
        <v>662</v>
      </c>
      <c r="F260" s="1" t="s">
        <v>663</v>
      </c>
      <c r="AW260" s="1" t="s">
        <v>141</v>
      </c>
    </row>
    <row r="261" spans="1:49" x14ac:dyDescent="0.15">
      <c r="A261" s="1" t="s">
        <v>651</v>
      </c>
      <c r="C261" s="1" t="s">
        <v>143</v>
      </c>
      <c r="E261" s="1" t="s">
        <v>664</v>
      </c>
    </row>
    <row r="262" spans="1:49" x14ac:dyDescent="0.15">
      <c r="A262" s="1" t="s">
        <v>651</v>
      </c>
      <c r="C262" s="1" t="s">
        <v>665</v>
      </c>
      <c r="F262" s="1" t="s">
        <v>666</v>
      </c>
      <c r="AW262" s="1" t="s">
        <v>141</v>
      </c>
    </row>
    <row r="263" spans="1:49" x14ac:dyDescent="0.15">
      <c r="A263" s="1" t="s">
        <v>651</v>
      </c>
      <c r="C263" s="2" t="s">
        <v>667</v>
      </c>
      <c r="E263" s="1" t="s">
        <v>669</v>
      </c>
      <c r="F263" s="1" t="s">
        <v>668</v>
      </c>
      <c r="AW263" s="1" t="s">
        <v>141</v>
      </c>
    </row>
    <row r="264" spans="1:49" x14ac:dyDescent="0.15">
      <c r="A264" s="1" t="s">
        <v>651</v>
      </c>
      <c r="C264" s="1" t="s">
        <v>667</v>
      </c>
    </row>
    <row r="265" spans="1:49" x14ac:dyDescent="0.15">
      <c r="A265" s="1" t="s">
        <v>651</v>
      </c>
      <c r="C265" s="2" t="s">
        <v>670</v>
      </c>
      <c r="F265" s="1" t="s">
        <v>671</v>
      </c>
      <c r="AW265" s="1" t="s">
        <v>141</v>
      </c>
    </row>
    <row r="266" spans="1:49" x14ac:dyDescent="0.15">
      <c r="A266" s="1" t="s">
        <v>651</v>
      </c>
      <c r="C266" s="2" t="s">
        <v>672</v>
      </c>
      <c r="F266" s="1" t="s">
        <v>673</v>
      </c>
      <c r="AW266" s="1" t="s">
        <v>141</v>
      </c>
    </row>
    <row r="267" spans="1:49" x14ac:dyDescent="0.15">
      <c r="A267" s="1" t="s">
        <v>651</v>
      </c>
      <c r="C267" s="2" t="s">
        <v>674</v>
      </c>
      <c r="F267" s="1" t="s">
        <v>675</v>
      </c>
      <c r="AW267" s="1" t="s">
        <v>141</v>
      </c>
    </row>
    <row r="268" spans="1:49" x14ac:dyDescent="0.15">
      <c r="A268" s="1" t="s">
        <v>651</v>
      </c>
      <c r="C268" s="2" t="s">
        <v>676</v>
      </c>
      <c r="F268" s="1" t="s">
        <v>677</v>
      </c>
      <c r="AW268" s="1" t="s">
        <v>141</v>
      </c>
    </row>
    <row r="269" spans="1:49" x14ac:dyDescent="0.15">
      <c r="A269" s="1" t="s">
        <v>651</v>
      </c>
      <c r="C269" s="1" t="s">
        <v>678</v>
      </c>
      <c r="F269" s="1" t="s">
        <v>679</v>
      </c>
      <c r="AW269" s="1" t="s">
        <v>141</v>
      </c>
    </row>
    <row r="270" spans="1:49" x14ac:dyDescent="0.15">
      <c r="A270" s="1" t="s">
        <v>651</v>
      </c>
      <c r="C270" s="1" t="s">
        <v>680</v>
      </c>
      <c r="F270" s="1" t="s">
        <v>681</v>
      </c>
      <c r="AW270" s="1" t="s">
        <v>141</v>
      </c>
    </row>
    <row r="271" spans="1:49" x14ac:dyDescent="0.15">
      <c r="A271" s="1" t="s">
        <v>651</v>
      </c>
      <c r="C271" s="1" t="s">
        <v>682</v>
      </c>
      <c r="F271" s="1" t="s">
        <v>683</v>
      </c>
      <c r="AW271" s="1" t="s">
        <v>141</v>
      </c>
    </row>
    <row r="272" spans="1:49" x14ac:dyDescent="0.15">
      <c r="A272" s="1" t="s">
        <v>651</v>
      </c>
      <c r="C272" s="2" t="s">
        <v>684</v>
      </c>
      <c r="E272" s="1" t="s">
        <v>686</v>
      </c>
      <c r="F272" s="1" t="s">
        <v>685</v>
      </c>
      <c r="AW272" s="1" t="s">
        <v>141</v>
      </c>
    </row>
    <row r="273" spans="1:49" x14ac:dyDescent="0.15">
      <c r="A273" s="1" t="s">
        <v>651</v>
      </c>
      <c r="C273" s="2" t="s">
        <v>687</v>
      </c>
      <c r="F273" s="1" t="s">
        <v>688</v>
      </c>
      <c r="AW273" s="1" t="s">
        <v>141</v>
      </c>
    </row>
    <row r="274" spans="1:49" x14ac:dyDescent="0.15">
      <c r="A274" s="1" t="s">
        <v>651</v>
      </c>
      <c r="C274" s="1" t="s">
        <v>687</v>
      </c>
      <c r="E274" s="1" t="s">
        <v>689</v>
      </c>
    </row>
    <row r="275" spans="1:49" x14ac:dyDescent="0.15">
      <c r="A275" s="1" t="s">
        <v>651</v>
      </c>
      <c r="C275" s="2" t="s">
        <v>690</v>
      </c>
      <c r="E275" s="1" t="s">
        <v>693</v>
      </c>
      <c r="F275" s="1" t="s">
        <v>691</v>
      </c>
      <c r="AW275" s="1" t="s">
        <v>0</v>
      </c>
    </row>
    <row r="276" spans="1:49" x14ac:dyDescent="0.15">
      <c r="A276" s="1" t="s">
        <v>2926</v>
      </c>
      <c r="C276" s="1" t="s">
        <v>2927</v>
      </c>
      <c r="F276" s="1" t="s">
        <v>2928</v>
      </c>
      <c r="AW276" s="1" t="s">
        <v>155</v>
      </c>
    </row>
    <row r="277" spans="1:49" x14ac:dyDescent="0.15">
      <c r="A277" s="1" t="s">
        <v>2926</v>
      </c>
      <c r="C277" s="1" t="s">
        <v>2932</v>
      </c>
      <c r="F277" s="1" t="s">
        <v>2933</v>
      </c>
      <c r="AW277" s="1" t="s">
        <v>0</v>
      </c>
    </row>
    <row r="278" spans="1:49" x14ac:dyDescent="0.15">
      <c r="A278" s="1" t="s">
        <v>2926</v>
      </c>
      <c r="C278" s="2" t="s">
        <v>1</v>
      </c>
      <c r="E278" s="1" t="s">
        <v>2934</v>
      </c>
      <c r="K278" s="1" t="s">
        <v>2935</v>
      </c>
    </row>
    <row r="279" spans="1:49" x14ac:dyDescent="0.15">
      <c r="A279" s="1" t="s">
        <v>2926</v>
      </c>
      <c r="B279" s="1" t="s">
        <v>2936</v>
      </c>
      <c r="F279" s="1" t="s">
        <v>2937</v>
      </c>
    </row>
    <row r="280" spans="1:49" x14ac:dyDescent="0.15">
      <c r="A280" s="1" t="s">
        <v>2926</v>
      </c>
      <c r="C280" s="1" t="s">
        <v>2938</v>
      </c>
      <c r="F280" s="1" t="s">
        <v>4</v>
      </c>
    </row>
    <row r="281" spans="1:49" x14ac:dyDescent="0.15">
      <c r="A281" s="1" t="s">
        <v>2926</v>
      </c>
      <c r="C281" s="1" t="s">
        <v>2946</v>
      </c>
      <c r="K281" s="1" t="s">
        <v>2947</v>
      </c>
    </row>
    <row r="282" spans="1:49" x14ac:dyDescent="0.15">
      <c r="A282" s="1" t="s">
        <v>2926</v>
      </c>
      <c r="C282" s="1" t="s">
        <v>1296</v>
      </c>
      <c r="F282" s="1" t="s">
        <v>2948</v>
      </c>
      <c r="AW282" s="1" t="s">
        <v>141</v>
      </c>
    </row>
    <row r="283" spans="1:49" x14ac:dyDescent="0.15">
      <c r="A283" s="1" t="s">
        <v>2926</v>
      </c>
      <c r="C283" s="2" t="s">
        <v>2949</v>
      </c>
      <c r="F283" s="1" t="s">
        <v>2950</v>
      </c>
      <c r="AW283" s="1" t="s">
        <v>0</v>
      </c>
    </row>
    <row r="284" spans="1:49" x14ac:dyDescent="0.15">
      <c r="A284" s="1" t="s">
        <v>2926</v>
      </c>
      <c r="C284" s="1" t="s">
        <v>2949</v>
      </c>
      <c r="E284" s="1" t="s">
        <v>2951</v>
      </c>
    </row>
    <row r="285" spans="1:49" x14ac:dyDescent="0.15">
      <c r="A285" s="1" t="s">
        <v>2926</v>
      </c>
      <c r="C285" s="2" t="s">
        <v>2952</v>
      </c>
      <c r="F285" s="1" t="s">
        <v>2953</v>
      </c>
      <c r="AW285" s="1" t="s">
        <v>0</v>
      </c>
    </row>
    <row r="286" spans="1:49" x14ac:dyDescent="0.15">
      <c r="A286" s="1" t="s">
        <v>2926</v>
      </c>
      <c r="C286" s="1" t="s">
        <v>2952</v>
      </c>
      <c r="E286" s="1" t="s">
        <v>2954</v>
      </c>
    </row>
    <row r="287" spans="1:49" x14ac:dyDescent="0.15">
      <c r="A287" s="1" t="s">
        <v>2926</v>
      </c>
      <c r="C287" s="1" t="s">
        <v>2955</v>
      </c>
      <c r="F287" s="1" t="s">
        <v>2956</v>
      </c>
      <c r="AW287" s="1" t="s">
        <v>0</v>
      </c>
    </row>
    <row r="288" spans="1:49" x14ac:dyDescent="0.15">
      <c r="A288" s="1" t="s">
        <v>2926</v>
      </c>
      <c r="C288" s="1" t="s">
        <v>2957</v>
      </c>
      <c r="K288" s="1" t="s">
        <v>2958</v>
      </c>
    </row>
    <row r="289" spans="1:49" x14ac:dyDescent="0.15">
      <c r="A289" s="1" t="s">
        <v>2926</v>
      </c>
      <c r="C289" s="2" t="s">
        <v>2959</v>
      </c>
      <c r="AW289" s="1" t="s">
        <v>0</v>
      </c>
    </row>
    <row r="290" spans="1:49" x14ac:dyDescent="0.15">
      <c r="A290" s="1" t="s">
        <v>2926</v>
      </c>
      <c r="C290" s="1" t="s">
        <v>2960</v>
      </c>
      <c r="F290" s="1" t="s">
        <v>2961</v>
      </c>
      <c r="AW290" s="1" t="s">
        <v>0</v>
      </c>
    </row>
    <row r="291" spans="1:49" x14ac:dyDescent="0.15">
      <c r="A291" s="1" t="s">
        <v>2926</v>
      </c>
      <c r="C291" s="1" t="s">
        <v>2962</v>
      </c>
      <c r="F291" s="1" t="s">
        <v>2963</v>
      </c>
      <c r="AW291" s="1" t="s">
        <v>0</v>
      </c>
    </row>
    <row r="292" spans="1:49" x14ac:dyDescent="0.15">
      <c r="A292" s="1" t="s">
        <v>2926</v>
      </c>
      <c r="C292" s="1" t="s">
        <v>2962</v>
      </c>
      <c r="K292" s="1" t="s">
        <v>2964</v>
      </c>
    </row>
    <row r="293" spans="1:49" x14ac:dyDescent="0.15">
      <c r="A293" s="1" t="s">
        <v>2926</v>
      </c>
      <c r="C293" s="1" t="s">
        <v>2967</v>
      </c>
      <c r="F293" s="1" t="s">
        <v>2968</v>
      </c>
      <c r="AW293" s="1" t="s">
        <v>0</v>
      </c>
    </row>
    <row r="294" spans="1:49" x14ac:dyDescent="0.15">
      <c r="A294" s="1" t="s">
        <v>2926</v>
      </c>
      <c r="C294" s="2" t="s">
        <v>2969</v>
      </c>
      <c r="E294" s="1" t="s">
        <v>2971</v>
      </c>
      <c r="F294" s="1" t="s">
        <v>2970</v>
      </c>
      <c r="AW294" s="1" t="s">
        <v>0</v>
      </c>
    </row>
    <row r="295" spans="1:49" x14ac:dyDescent="0.15">
      <c r="A295" s="1" t="s">
        <v>2926</v>
      </c>
      <c r="C295" s="2" t="s">
        <v>2973</v>
      </c>
      <c r="F295" s="1" t="s">
        <v>2974</v>
      </c>
      <c r="AW295" s="1" t="s">
        <v>0</v>
      </c>
    </row>
    <row r="296" spans="1:49" x14ac:dyDescent="0.15">
      <c r="A296" s="1" t="s">
        <v>2926</v>
      </c>
      <c r="C296" s="2" t="s">
        <v>2976</v>
      </c>
      <c r="F296" s="1" t="s">
        <v>2977</v>
      </c>
      <c r="AW296" s="1" t="s">
        <v>0</v>
      </c>
    </row>
    <row r="297" spans="1:49" x14ac:dyDescent="0.15">
      <c r="A297" s="1" t="s">
        <v>2926</v>
      </c>
      <c r="C297" s="1" t="s">
        <v>2979</v>
      </c>
      <c r="F297" s="1" t="s">
        <v>2980</v>
      </c>
      <c r="AW297" s="1" t="s">
        <v>0</v>
      </c>
    </row>
    <row r="298" spans="1:49" x14ac:dyDescent="0.15">
      <c r="A298" s="1" t="s">
        <v>2926</v>
      </c>
      <c r="C298" s="2" t="s">
        <v>2981</v>
      </c>
      <c r="F298" s="1" t="s">
        <v>2982</v>
      </c>
      <c r="AW298" s="1" t="s">
        <v>0</v>
      </c>
    </row>
    <row r="299" spans="1:49" x14ac:dyDescent="0.15">
      <c r="A299" s="1" t="s">
        <v>2820</v>
      </c>
      <c r="C299" s="2" t="s">
        <v>2825</v>
      </c>
      <c r="E299" s="1" t="s">
        <v>2827</v>
      </c>
      <c r="F299" s="1" t="s">
        <v>2826</v>
      </c>
      <c r="AW299" s="1" t="s">
        <v>155</v>
      </c>
    </row>
    <row r="300" spans="1:49" x14ac:dyDescent="0.15">
      <c r="A300" s="1" t="s">
        <v>2820</v>
      </c>
      <c r="C300" s="1" t="s">
        <v>2839</v>
      </c>
      <c r="F300" s="1" t="s">
        <v>2840</v>
      </c>
      <c r="AW300" s="1" t="s">
        <v>155</v>
      </c>
    </row>
    <row r="301" spans="1:49" x14ac:dyDescent="0.15">
      <c r="A301" s="1" t="s">
        <v>2820</v>
      </c>
      <c r="C301" s="2" t="s">
        <v>2843</v>
      </c>
      <c r="F301" s="1" t="s">
        <v>2844</v>
      </c>
      <c r="AW301" s="1" t="s">
        <v>0</v>
      </c>
    </row>
    <row r="302" spans="1:49" x14ac:dyDescent="0.15">
      <c r="A302" s="1" t="s">
        <v>2820</v>
      </c>
      <c r="C302" s="2" t="s">
        <v>2845</v>
      </c>
      <c r="F302" s="1" t="s">
        <v>2846</v>
      </c>
      <c r="AW302" s="1" t="s">
        <v>0</v>
      </c>
    </row>
    <row r="303" spans="1:49" x14ac:dyDescent="0.15">
      <c r="A303" s="1" t="s">
        <v>2820</v>
      </c>
      <c r="C303" s="1" t="s">
        <v>2848</v>
      </c>
      <c r="F303" s="1" t="s">
        <v>2849</v>
      </c>
      <c r="AW303" s="1" t="s">
        <v>0</v>
      </c>
    </row>
    <row r="304" spans="1:49" x14ac:dyDescent="0.15">
      <c r="A304" s="1" t="s">
        <v>2820</v>
      </c>
      <c r="C304" s="2" t="s">
        <v>2850</v>
      </c>
      <c r="K304" s="1" t="s">
        <v>2851</v>
      </c>
    </row>
    <row r="305" spans="1:49" x14ac:dyDescent="0.15">
      <c r="A305" s="1" t="s">
        <v>2820</v>
      </c>
      <c r="C305" s="2" t="s">
        <v>2860</v>
      </c>
      <c r="F305" s="1" t="s">
        <v>2859</v>
      </c>
      <c r="K305" s="1" t="s">
        <v>2861</v>
      </c>
    </row>
    <row r="306" spans="1:49" x14ac:dyDescent="0.15">
      <c r="A306" s="1" t="s">
        <v>2820</v>
      </c>
      <c r="C306" s="1" t="s">
        <v>2865</v>
      </c>
      <c r="K306" s="1" t="s">
        <v>2866</v>
      </c>
    </row>
    <row r="307" spans="1:49" x14ac:dyDescent="0.15">
      <c r="A307" s="1" t="s">
        <v>2820</v>
      </c>
      <c r="C307" s="2" t="s">
        <v>2867</v>
      </c>
      <c r="E307" s="1" t="s">
        <v>2868</v>
      </c>
    </row>
    <row r="308" spans="1:49" x14ac:dyDescent="0.15">
      <c r="A308" s="1" t="s">
        <v>2820</v>
      </c>
      <c r="C308" s="2" t="s">
        <v>2871</v>
      </c>
      <c r="F308" s="1" t="s">
        <v>2872</v>
      </c>
      <c r="AW308" s="1" t="s">
        <v>0</v>
      </c>
    </row>
    <row r="309" spans="1:49" x14ac:dyDescent="0.15">
      <c r="A309" s="1" t="s">
        <v>2820</v>
      </c>
      <c r="B309" s="1" t="s">
        <v>2873</v>
      </c>
      <c r="E309" s="1" t="s">
        <v>2874</v>
      </c>
      <c r="F309" s="1" t="s">
        <v>2875</v>
      </c>
      <c r="AG309" s="1" t="s">
        <v>2876</v>
      </c>
      <c r="AH309" s="1" t="s">
        <v>2877</v>
      </c>
    </row>
    <row r="310" spans="1:49" x14ac:dyDescent="0.15">
      <c r="A310" s="1" t="s">
        <v>2820</v>
      </c>
      <c r="C310" s="1" t="s">
        <v>2882</v>
      </c>
      <c r="F310" s="1" t="s">
        <v>2883</v>
      </c>
      <c r="AW310" s="1" t="s">
        <v>0</v>
      </c>
    </row>
    <row r="311" spans="1:49" x14ac:dyDescent="0.15">
      <c r="A311" s="1" t="s">
        <v>2820</v>
      </c>
      <c r="C311" s="2" t="s">
        <v>2884</v>
      </c>
      <c r="E311" s="1" t="s">
        <v>2885</v>
      </c>
    </row>
    <row r="312" spans="1:49" x14ac:dyDescent="0.15">
      <c r="A312" s="1" t="s">
        <v>2820</v>
      </c>
      <c r="C312" s="2" t="s">
        <v>2886</v>
      </c>
      <c r="E312" s="1" t="s">
        <v>2887</v>
      </c>
      <c r="AG312" s="1" t="s">
        <v>2888</v>
      </c>
    </row>
    <row r="313" spans="1:49" x14ac:dyDescent="0.15">
      <c r="A313" s="1" t="s">
        <v>2820</v>
      </c>
      <c r="C313" s="2" t="s">
        <v>2889</v>
      </c>
      <c r="K313" s="1" t="s">
        <v>2890</v>
      </c>
    </row>
    <row r="314" spans="1:49" x14ac:dyDescent="0.15">
      <c r="A314" s="1" t="s">
        <v>2820</v>
      </c>
      <c r="C314" s="1" t="s">
        <v>2891</v>
      </c>
      <c r="K314" s="1" t="s">
        <v>2892</v>
      </c>
    </row>
    <row r="315" spans="1:49" x14ac:dyDescent="0.15">
      <c r="A315" s="1" t="s">
        <v>2820</v>
      </c>
      <c r="C315" s="2" t="s">
        <v>2893</v>
      </c>
      <c r="F315" s="1" t="s">
        <v>2894</v>
      </c>
      <c r="AW315" s="1" t="s">
        <v>0</v>
      </c>
    </row>
    <row r="316" spans="1:49" x14ac:dyDescent="0.15">
      <c r="A316" s="1" t="s">
        <v>2820</v>
      </c>
      <c r="C316" s="1" t="s">
        <v>2893</v>
      </c>
      <c r="E316" s="1" t="s">
        <v>2895</v>
      </c>
    </row>
    <row r="317" spans="1:49" x14ac:dyDescent="0.15">
      <c r="A317" s="1" t="s">
        <v>2820</v>
      </c>
      <c r="C317" s="2" t="s">
        <v>2896</v>
      </c>
      <c r="K317" s="1" t="s">
        <v>2897</v>
      </c>
    </row>
    <row r="318" spans="1:49" x14ac:dyDescent="0.15">
      <c r="A318" s="1" t="s">
        <v>2820</v>
      </c>
      <c r="C318" s="1" t="s">
        <v>2898</v>
      </c>
      <c r="K318" s="1" t="s">
        <v>518</v>
      </c>
    </row>
    <row r="319" spans="1:49" x14ac:dyDescent="0.15">
      <c r="A319" s="1" t="s">
        <v>2820</v>
      </c>
      <c r="C319" s="2" t="s">
        <v>2899</v>
      </c>
      <c r="F319" s="1" t="s">
        <v>2900</v>
      </c>
      <c r="AW319" s="1" t="s">
        <v>0</v>
      </c>
    </row>
    <row r="320" spans="1:49" x14ac:dyDescent="0.15">
      <c r="A320" s="1" t="s">
        <v>2820</v>
      </c>
      <c r="C320" s="2" t="s">
        <v>2903</v>
      </c>
      <c r="K320" s="1" t="s">
        <v>2904</v>
      </c>
    </row>
    <row r="321" spans="1:49" x14ac:dyDescent="0.15">
      <c r="A321" s="1" t="s">
        <v>2820</v>
      </c>
      <c r="C321" s="2" t="s">
        <v>2905</v>
      </c>
      <c r="K321" s="1" t="s">
        <v>2906</v>
      </c>
    </row>
    <row r="322" spans="1:49" x14ac:dyDescent="0.15">
      <c r="A322" s="1" t="s">
        <v>2820</v>
      </c>
      <c r="C322" s="2" t="s">
        <v>2911</v>
      </c>
      <c r="K322" s="1" t="s">
        <v>2912</v>
      </c>
    </row>
    <row r="323" spans="1:49" x14ac:dyDescent="0.15">
      <c r="A323" s="1" t="s">
        <v>2820</v>
      </c>
      <c r="C323" s="1" t="s">
        <v>55</v>
      </c>
      <c r="E323" s="1" t="s">
        <v>2922</v>
      </c>
    </row>
    <row r="324" spans="1:49" x14ac:dyDescent="0.15">
      <c r="A324" s="1" t="s">
        <v>2820</v>
      </c>
      <c r="C324" s="2" t="s">
        <v>2923</v>
      </c>
      <c r="F324" s="1" t="s">
        <v>2924</v>
      </c>
    </row>
    <row r="325" spans="1:49" x14ac:dyDescent="0.15">
      <c r="A325" s="1" t="s">
        <v>2820</v>
      </c>
      <c r="C325" s="1" t="s">
        <v>2925</v>
      </c>
      <c r="F325" s="1" t="s">
        <v>56</v>
      </c>
    </row>
    <row r="326" spans="1:49" x14ac:dyDescent="0.15">
      <c r="A326" s="1" t="s">
        <v>58</v>
      </c>
      <c r="C326" s="2" t="s">
        <v>59</v>
      </c>
      <c r="F326" s="1" t="s">
        <v>60</v>
      </c>
      <c r="AW326" s="1" t="s">
        <v>61</v>
      </c>
    </row>
    <row r="327" spans="1:49" x14ac:dyDescent="0.15">
      <c r="A327" s="1" t="s">
        <v>58</v>
      </c>
      <c r="C327" s="1" t="s">
        <v>62</v>
      </c>
      <c r="F327" s="1" t="s">
        <v>63</v>
      </c>
    </row>
    <row r="328" spans="1:49" x14ac:dyDescent="0.15">
      <c r="A328" s="1" t="s">
        <v>58</v>
      </c>
      <c r="C328" s="1" t="s">
        <v>64</v>
      </c>
      <c r="F328" s="1" t="s">
        <v>65</v>
      </c>
    </row>
    <row r="329" spans="1:49" x14ac:dyDescent="0.15">
      <c r="A329" s="1" t="s">
        <v>58</v>
      </c>
      <c r="C329" s="2" t="s">
        <v>66</v>
      </c>
      <c r="F329" s="1" t="s">
        <v>67</v>
      </c>
    </row>
    <row r="330" spans="1:49" x14ac:dyDescent="0.15">
      <c r="A330" s="1" t="s">
        <v>58</v>
      </c>
      <c r="C330" s="1" t="s">
        <v>68</v>
      </c>
      <c r="F330" s="1" t="s">
        <v>69</v>
      </c>
    </row>
    <row r="331" spans="1:49" x14ac:dyDescent="0.15">
      <c r="A331" s="1" t="s">
        <v>58</v>
      </c>
      <c r="C331" s="2" t="s">
        <v>72</v>
      </c>
      <c r="F331" s="1" t="s">
        <v>73</v>
      </c>
      <c r="G331" s="4" t="s">
        <v>3213</v>
      </c>
    </row>
    <row r="332" spans="1:49" x14ac:dyDescent="0.15">
      <c r="A332" s="1" t="s">
        <v>58</v>
      </c>
      <c r="C332" s="1" t="s">
        <v>76</v>
      </c>
      <c r="F332" s="1" t="s">
        <v>77</v>
      </c>
    </row>
    <row r="333" spans="1:49" x14ac:dyDescent="0.15">
      <c r="A333" s="1" t="s">
        <v>141</v>
      </c>
      <c r="C333" s="2" t="s">
        <v>5</v>
      </c>
      <c r="F333" s="1" t="s">
        <v>142</v>
      </c>
    </row>
    <row r="334" spans="1:49" x14ac:dyDescent="0.15">
      <c r="A334" s="1" t="s">
        <v>141</v>
      </c>
      <c r="C334" s="2" t="s">
        <v>143</v>
      </c>
      <c r="F334" s="1" t="s">
        <v>144</v>
      </c>
    </row>
    <row r="335" spans="1:49" x14ac:dyDescent="0.15">
      <c r="A335" s="1" t="s">
        <v>61</v>
      </c>
      <c r="C335" s="1" t="s">
        <v>59</v>
      </c>
      <c r="F335" s="1" t="s">
        <v>60</v>
      </c>
    </row>
    <row r="336" spans="1:49" x14ac:dyDescent="0.15">
      <c r="A336" s="1" t="s">
        <v>61</v>
      </c>
      <c r="B336" s="1" t="s">
        <v>152</v>
      </c>
      <c r="C336" s="2" t="s">
        <v>153</v>
      </c>
      <c r="F336" s="1" t="s">
        <v>154</v>
      </c>
      <c r="AW336" s="1" t="s">
        <v>155</v>
      </c>
    </row>
    <row r="337" spans="1:49" x14ac:dyDescent="0.15">
      <c r="A337" s="1" t="s">
        <v>61</v>
      </c>
      <c r="C337" s="1" t="s">
        <v>156</v>
      </c>
      <c r="F337" s="1" t="s">
        <v>157</v>
      </c>
    </row>
    <row r="338" spans="1:49" x14ac:dyDescent="0.15">
      <c r="A338" s="1" t="s">
        <v>61</v>
      </c>
      <c r="C338" s="1" t="s">
        <v>158</v>
      </c>
      <c r="F338" s="1" t="s">
        <v>159</v>
      </c>
      <c r="K338" s="1" t="s">
        <v>160</v>
      </c>
    </row>
    <row r="339" spans="1:49" x14ac:dyDescent="0.15">
      <c r="A339" s="1" t="s">
        <v>61</v>
      </c>
      <c r="B339" s="1" t="s">
        <v>161</v>
      </c>
      <c r="C339" s="2" t="s">
        <v>162</v>
      </c>
      <c r="F339" s="1" t="s">
        <v>163</v>
      </c>
      <c r="AW339" s="1" t="s">
        <v>155</v>
      </c>
    </row>
    <row r="340" spans="1:49" x14ac:dyDescent="0.15">
      <c r="A340" s="1" t="s">
        <v>164</v>
      </c>
      <c r="C340" s="1" t="s">
        <v>165</v>
      </c>
      <c r="F340" s="1" t="s">
        <v>166</v>
      </c>
    </row>
    <row r="341" spans="1:49" x14ac:dyDescent="0.15">
      <c r="A341" s="1" t="s">
        <v>164</v>
      </c>
      <c r="C341" s="1" t="s">
        <v>167</v>
      </c>
      <c r="F341" s="1" t="s">
        <v>168</v>
      </c>
    </row>
    <row r="342" spans="1:49" x14ac:dyDescent="0.15">
      <c r="A342" s="1" t="s">
        <v>164</v>
      </c>
      <c r="C342" s="1" t="s">
        <v>169</v>
      </c>
      <c r="F342" s="1" t="s">
        <v>170</v>
      </c>
    </row>
    <row r="343" spans="1:49" x14ac:dyDescent="0.15">
      <c r="A343" s="1" t="s">
        <v>164</v>
      </c>
      <c r="C343" s="1" t="s">
        <v>171</v>
      </c>
      <c r="F343" s="1" t="s">
        <v>172</v>
      </c>
      <c r="AW343" s="1" t="s">
        <v>155</v>
      </c>
    </row>
    <row r="344" spans="1:49" x14ac:dyDescent="0.15">
      <c r="A344" s="1" t="s">
        <v>164</v>
      </c>
      <c r="C344" s="1" t="s">
        <v>173</v>
      </c>
      <c r="F344" s="1" t="s">
        <v>174</v>
      </c>
      <c r="K344" s="1" t="s">
        <v>175</v>
      </c>
    </row>
    <row r="345" spans="1:49" x14ac:dyDescent="0.15">
      <c r="A345" s="1" t="s">
        <v>164</v>
      </c>
      <c r="C345" s="1" t="s">
        <v>176</v>
      </c>
      <c r="F345" s="1" t="s">
        <v>177</v>
      </c>
    </row>
    <row r="346" spans="1:49" x14ac:dyDescent="0.15">
      <c r="A346" s="1" t="s">
        <v>164</v>
      </c>
      <c r="C346" s="1" t="s">
        <v>178</v>
      </c>
      <c r="F346" s="1" t="s">
        <v>179</v>
      </c>
    </row>
    <row r="347" spans="1:49" x14ac:dyDescent="0.15">
      <c r="A347" s="1" t="s">
        <v>164</v>
      </c>
      <c r="C347" s="1" t="s">
        <v>180</v>
      </c>
      <c r="F347" s="1" t="s">
        <v>181</v>
      </c>
    </row>
    <row r="348" spans="1:49" x14ac:dyDescent="0.15">
      <c r="A348" s="1" t="s">
        <v>164</v>
      </c>
      <c r="C348" s="1" t="s">
        <v>182</v>
      </c>
      <c r="F348" s="1" t="s">
        <v>183</v>
      </c>
    </row>
    <row r="349" spans="1:49" x14ac:dyDescent="0.15">
      <c r="A349" s="1" t="s">
        <v>164</v>
      </c>
      <c r="C349" s="1" t="s">
        <v>184</v>
      </c>
      <c r="F349" s="1" t="s">
        <v>185</v>
      </c>
    </row>
    <row r="350" spans="1:49" x14ac:dyDescent="0.15">
      <c r="A350" s="1" t="s">
        <v>164</v>
      </c>
      <c r="C350" s="1" t="s">
        <v>186</v>
      </c>
      <c r="F350" s="1" t="s">
        <v>187</v>
      </c>
    </row>
    <row r="351" spans="1:49" x14ac:dyDescent="0.15">
      <c r="A351" s="1" t="s">
        <v>164</v>
      </c>
      <c r="C351" s="1" t="s">
        <v>188</v>
      </c>
      <c r="F351" s="1" t="s">
        <v>189</v>
      </c>
      <c r="AW351" s="1" t="s">
        <v>155</v>
      </c>
    </row>
    <row r="352" spans="1:49" x14ac:dyDescent="0.15">
      <c r="A352" s="1" t="s">
        <v>164</v>
      </c>
      <c r="C352" s="1" t="s">
        <v>190</v>
      </c>
      <c r="F352" s="1" t="s">
        <v>191</v>
      </c>
      <c r="AW352" s="1" t="s">
        <v>155</v>
      </c>
    </row>
    <row r="353" spans="1:50" x14ac:dyDescent="0.15">
      <c r="A353" s="1" t="s">
        <v>164</v>
      </c>
      <c r="C353" s="1" t="s">
        <v>192</v>
      </c>
      <c r="F353" s="1" t="s">
        <v>193</v>
      </c>
    </row>
    <row r="354" spans="1:50" x14ac:dyDescent="0.15">
      <c r="A354" s="1" t="s">
        <v>164</v>
      </c>
      <c r="C354" s="1" t="s">
        <v>194</v>
      </c>
      <c r="F354" s="1" t="s">
        <v>195</v>
      </c>
    </row>
    <row r="355" spans="1:50" x14ac:dyDescent="0.15">
      <c r="A355" s="1" t="s">
        <v>164</v>
      </c>
      <c r="C355" s="1" t="s">
        <v>196</v>
      </c>
      <c r="F355" s="1" t="s">
        <v>195</v>
      </c>
      <c r="AW355" s="1" t="s">
        <v>155</v>
      </c>
    </row>
    <row r="356" spans="1:50" x14ac:dyDescent="0.15">
      <c r="A356" s="1" t="s">
        <v>164</v>
      </c>
      <c r="C356" s="1" t="s">
        <v>197</v>
      </c>
      <c r="F356" s="1" t="s">
        <v>198</v>
      </c>
    </row>
    <row r="357" spans="1:50" x14ac:dyDescent="0.15">
      <c r="A357" s="1" t="s">
        <v>164</v>
      </c>
      <c r="C357" s="1" t="s">
        <v>199</v>
      </c>
      <c r="F357" s="1" t="s">
        <v>200</v>
      </c>
    </row>
    <row r="358" spans="1:50" x14ac:dyDescent="0.15">
      <c r="A358" s="1" t="s">
        <v>164</v>
      </c>
      <c r="C358" s="1" t="s">
        <v>201</v>
      </c>
      <c r="F358" s="1" t="s">
        <v>202</v>
      </c>
    </row>
    <row r="359" spans="1:50" x14ac:dyDescent="0.15">
      <c r="A359" s="1" t="s">
        <v>164</v>
      </c>
      <c r="C359" s="1" t="s">
        <v>203</v>
      </c>
      <c r="F359" s="1" t="s">
        <v>204</v>
      </c>
    </row>
    <row r="360" spans="1:50" x14ac:dyDescent="0.15">
      <c r="A360" s="1" t="s">
        <v>164</v>
      </c>
      <c r="C360" s="1" t="s">
        <v>205</v>
      </c>
      <c r="F360" s="1" t="s">
        <v>206</v>
      </c>
    </row>
    <row r="361" spans="1:50" x14ac:dyDescent="0.15">
      <c r="A361" s="1" t="s">
        <v>164</v>
      </c>
      <c r="C361" s="1" t="s">
        <v>207</v>
      </c>
      <c r="F361" s="1" t="s">
        <v>208</v>
      </c>
    </row>
    <row r="362" spans="1:50" x14ac:dyDescent="0.15">
      <c r="A362" s="1" t="s">
        <v>164</v>
      </c>
      <c r="C362" s="1" t="s">
        <v>209</v>
      </c>
      <c r="F362" s="1" t="s">
        <v>210</v>
      </c>
    </row>
    <row r="363" spans="1:50" x14ac:dyDescent="0.15">
      <c r="A363" s="1" t="s">
        <v>164</v>
      </c>
      <c r="C363" s="1" t="s">
        <v>211</v>
      </c>
      <c r="F363" s="1" t="s">
        <v>212</v>
      </c>
      <c r="AW363" s="1" t="s">
        <v>155</v>
      </c>
    </row>
    <row r="364" spans="1:50" x14ac:dyDescent="0.15">
      <c r="A364" s="1" t="s">
        <v>218</v>
      </c>
      <c r="B364" s="1" t="s">
        <v>221</v>
      </c>
      <c r="E364" s="1" t="s">
        <v>222</v>
      </c>
      <c r="AG364" s="1" t="s">
        <v>223</v>
      </c>
      <c r="AH364" s="1" t="s">
        <v>224</v>
      </c>
      <c r="AW364" s="1" t="s">
        <v>155</v>
      </c>
    </row>
    <row r="365" spans="1:50" x14ac:dyDescent="0.15">
      <c r="A365" s="1" t="s">
        <v>225</v>
      </c>
      <c r="C365" s="1" t="s">
        <v>226</v>
      </c>
      <c r="E365" s="1" t="s">
        <v>227</v>
      </c>
      <c r="F365" s="1" t="s">
        <v>228</v>
      </c>
      <c r="AW365" s="1" t="s">
        <v>164</v>
      </c>
      <c r="AX365" s="1" t="s">
        <v>155</v>
      </c>
    </row>
    <row r="366" spans="1:50" x14ac:dyDescent="0.15">
      <c r="A366" s="1" t="s">
        <v>225</v>
      </c>
      <c r="C366" s="1" t="s">
        <v>229</v>
      </c>
      <c r="E366" s="1" t="s">
        <v>230</v>
      </c>
      <c r="F366" s="1" t="s">
        <v>231</v>
      </c>
      <c r="AW366" s="1" t="s">
        <v>61</v>
      </c>
      <c r="AX366" s="1" t="s">
        <v>164</v>
      </c>
    </row>
    <row r="367" spans="1:50" x14ac:dyDescent="0.15">
      <c r="A367" s="1" t="s">
        <v>225</v>
      </c>
      <c r="C367" s="1" t="s">
        <v>232</v>
      </c>
      <c r="E367" s="1" t="s">
        <v>233</v>
      </c>
      <c r="F367" s="1" t="s">
        <v>234</v>
      </c>
      <c r="AW367" s="1" t="s">
        <v>164</v>
      </c>
    </row>
    <row r="368" spans="1:50" x14ac:dyDescent="0.15">
      <c r="A368" s="1" t="s">
        <v>225</v>
      </c>
      <c r="C368" s="1" t="s">
        <v>235</v>
      </c>
      <c r="E368" s="1" t="s">
        <v>236</v>
      </c>
      <c r="F368" s="1" t="s">
        <v>237</v>
      </c>
      <c r="AW368" s="1" t="s">
        <v>164</v>
      </c>
    </row>
    <row r="369" spans="1:50" x14ac:dyDescent="0.15">
      <c r="A369" s="1" t="s">
        <v>225</v>
      </c>
      <c r="C369" s="1" t="s">
        <v>238</v>
      </c>
      <c r="F369" s="1" t="s">
        <v>239</v>
      </c>
      <c r="G369" s="1" t="s">
        <v>240</v>
      </c>
      <c r="AI369" s="1" t="s">
        <v>241</v>
      </c>
      <c r="AJ369" s="1" t="s">
        <v>241</v>
      </c>
      <c r="AS369" s="1" t="s">
        <v>242</v>
      </c>
      <c r="AT369" s="1" t="s">
        <v>242</v>
      </c>
      <c r="AW369" s="1" t="s">
        <v>164</v>
      </c>
    </row>
    <row r="370" spans="1:50" x14ac:dyDescent="0.15">
      <c r="A370" s="1" t="s">
        <v>225</v>
      </c>
      <c r="C370" s="1" t="s">
        <v>243</v>
      </c>
      <c r="E370" s="1" t="s">
        <v>244</v>
      </c>
      <c r="F370" s="1" t="s">
        <v>245</v>
      </c>
      <c r="K370" s="1" t="s">
        <v>246</v>
      </c>
      <c r="AG370" s="1" t="s">
        <v>247</v>
      </c>
      <c r="AH370" s="1" t="s">
        <v>247</v>
      </c>
      <c r="AQ370" s="1" t="s">
        <v>246</v>
      </c>
      <c r="AR370" s="1" t="s">
        <v>246</v>
      </c>
      <c r="AW370" s="1" t="s">
        <v>164</v>
      </c>
      <c r="AX370" s="1" t="s">
        <v>218</v>
      </c>
    </row>
    <row r="371" spans="1:50" x14ac:dyDescent="0.15">
      <c r="A371" s="1" t="s">
        <v>225</v>
      </c>
      <c r="C371" s="1" t="s">
        <v>248</v>
      </c>
      <c r="E371" s="1" t="s">
        <v>249</v>
      </c>
      <c r="F371" s="1" t="s">
        <v>250</v>
      </c>
      <c r="AG371" s="1" t="s">
        <v>249</v>
      </c>
      <c r="AW371" s="1" t="s">
        <v>164</v>
      </c>
    </row>
    <row r="372" spans="1:50" x14ac:dyDescent="0.15">
      <c r="A372" s="1" t="s">
        <v>225</v>
      </c>
      <c r="C372" s="1" t="s">
        <v>251</v>
      </c>
      <c r="E372" s="1" t="s">
        <v>252</v>
      </c>
      <c r="F372" s="1" t="s">
        <v>253</v>
      </c>
      <c r="AW372" s="1" t="s">
        <v>164</v>
      </c>
    </row>
    <row r="373" spans="1:50" x14ac:dyDescent="0.15">
      <c r="A373" s="1" t="s">
        <v>225</v>
      </c>
      <c r="C373" s="1" t="s">
        <v>254</v>
      </c>
      <c r="E373" s="1" t="s">
        <v>255</v>
      </c>
      <c r="F373" s="1" t="s">
        <v>256</v>
      </c>
      <c r="AW373" s="1" t="s">
        <v>164</v>
      </c>
    </row>
    <row r="374" spans="1:50" x14ac:dyDescent="0.15">
      <c r="A374" s="1" t="s">
        <v>225</v>
      </c>
      <c r="C374" s="1" t="s">
        <v>257</v>
      </c>
      <c r="E374" s="1" t="s">
        <v>258</v>
      </c>
      <c r="F374" s="1" t="s">
        <v>259</v>
      </c>
      <c r="AW374" s="1" t="s">
        <v>164</v>
      </c>
    </row>
    <row r="375" spans="1:50" x14ac:dyDescent="0.15">
      <c r="A375" s="1" t="s">
        <v>260</v>
      </c>
      <c r="B375" s="1" t="s">
        <v>261</v>
      </c>
      <c r="C375" s="1" t="s">
        <v>262</v>
      </c>
      <c r="D375" s="1" t="s">
        <v>263</v>
      </c>
      <c r="E375" s="1" t="s">
        <v>264</v>
      </c>
      <c r="F375" s="1" t="s">
        <v>265</v>
      </c>
      <c r="G375" s="1" t="s">
        <v>266</v>
      </c>
      <c r="H375" s="1" t="s">
        <v>267</v>
      </c>
      <c r="I375" s="1" t="s">
        <v>268</v>
      </c>
      <c r="J375" s="1" t="s">
        <v>269</v>
      </c>
      <c r="K375" s="1" t="s">
        <v>270</v>
      </c>
      <c r="L375" s="1" t="s">
        <v>271</v>
      </c>
      <c r="M375" s="1" t="s">
        <v>272</v>
      </c>
      <c r="N375" s="1" t="s">
        <v>273</v>
      </c>
      <c r="O375" s="1" t="s">
        <v>274</v>
      </c>
      <c r="P375" s="1" t="s">
        <v>275</v>
      </c>
      <c r="Q375" s="1" t="s">
        <v>276</v>
      </c>
      <c r="R375" s="1" t="s">
        <v>277</v>
      </c>
      <c r="S375" s="1" t="s">
        <v>278</v>
      </c>
      <c r="T375" s="1" t="s">
        <v>279</v>
      </c>
      <c r="U375" s="1" t="s">
        <v>280</v>
      </c>
      <c r="V375" s="1" t="s">
        <v>281</v>
      </c>
      <c r="W375" s="1" t="s">
        <v>282</v>
      </c>
      <c r="X375" s="1" t="s">
        <v>283</v>
      </c>
      <c r="Y375" s="1" t="s">
        <v>284</v>
      </c>
      <c r="Z375" s="1" t="s">
        <v>285</v>
      </c>
      <c r="AA375" s="1" t="s">
        <v>286</v>
      </c>
      <c r="AB375" s="1" t="s">
        <v>287</v>
      </c>
      <c r="AC375" s="1" t="s">
        <v>288</v>
      </c>
      <c r="AD375" s="1" t="s">
        <v>289</v>
      </c>
      <c r="AE375" s="1" t="s">
        <v>290</v>
      </c>
      <c r="AF375" s="1" t="s">
        <v>291</v>
      </c>
      <c r="AG375" s="1" t="s">
        <v>292</v>
      </c>
      <c r="AH375" s="1" t="s">
        <v>293</v>
      </c>
      <c r="AI375" s="1" t="s">
        <v>294</v>
      </c>
      <c r="AJ375" s="1" t="s">
        <v>295</v>
      </c>
      <c r="AK375" s="1" t="s">
        <v>296</v>
      </c>
      <c r="AL375" s="1" t="s">
        <v>297</v>
      </c>
      <c r="AM375" s="1" t="s">
        <v>298</v>
      </c>
      <c r="AN375" s="1" t="s">
        <v>299</v>
      </c>
      <c r="AO375" s="1" t="s">
        <v>300</v>
      </c>
      <c r="AP375" s="1" t="s">
        <v>301</v>
      </c>
      <c r="AQ375" s="1" t="s">
        <v>302</v>
      </c>
      <c r="AR375" s="1" t="s">
        <v>303</v>
      </c>
      <c r="AS375" s="1" t="s">
        <v>304</v>
      </c>
      <c r="AT375" s="1" t="s">
        <v>305</v>
      </c>
      <c r="AU375" s="1" t="s">
        <v>306</v>
      </c>
      <c r="AV375" s="1" t="s">
        <v>307</v>
      </c>
      <c r="AW375" s="1" t="s">
        <v>308</v>
      </c>
      <c r="AX375" s="1" t="s">
        <v>309</v>
      </c>
    </row>
    <row r="376" spans="1:50" x14ac:dyDescent="0.15">
      <c r="A376" s="1" t="s">
        <v>155</v>
      </c>
      <c r="C376" s="1" t="s">
        <v>394</v>
      </c>
      <c r="F376" s="1" t="s">
        <v>395</v>
      </c>
    </row>
    <row r="377" spans="1:50" x14ac:dyDescent="0.15">
      <c r="A377" s="1" t="s">
        <v>155</v>
      </c>
      <c r="C377" s="2" t="s">
        <v>396</v>
      </c>
      <c r="F377" s="1" t="s">
        <v>397</v>
      </c>
    </row>
    <row r="378" spans="1:50" x14ac:dyDescent="0.15">
      <c r="A378" s="1" t="s">
        <v>155</v>
      </c>
      <c r="C378" s="1" t="s">
        <v>402</v>
      </c>
      <c r="F378" s="1" t="s">
        <v>403</v>
      </c>
    </row>
    <row r="379" spans="1:50" x14ac:dyDescent="0.15">
      <c r="A379" s="1" t="s">
        <v>155</v>
      </c>
      <c r="C379" s="1" t="s">
        <v>406</v>
      </c>
      <c r="E379" s="1" t="s">
        <v>407</v>
      </c>
      <c r="F379" s="1" t="s">
        <v>408</v>
      </c>
    </row>
    <row r="380" spans="1:50" x14ac:dyDescent="0.15">
      <c r="A380" s="1" t="s">
        <v>155</v>
      </c>
      <c r="C380" s="1" t="s">
        <v>415</v>
      </c>
      <c r="K380" s="1" t="s">
        <v>416</v>
      </c>
    </row>
    <row r="381" spans="1:50" x14ac:dyDescent="0.15">
      <c r="A381" s="1" t="s">
        <v>155</v>
      </c>
      <c r="C381" s="1" t="s">
        <v>417</v>
      </c>
    </row>
    <row r="382" spans="1:50" x14ac:dyDescent="0.15">
      <c r="A382" s="1" t="s">
        <v>155</v>
      </c>
      <c r="C382" s="2" t="s">
        <v>425</v>
      </c>
      <c r="F382" s="1" t="s">
        <v>424</v>
      </c>
    </row>
    <row r="383" spans="1:50" x14ac:dyDescent="0.15">
      <c r="A383" s="1" t="s">
        <v>155</v>
      </c>
      <c r="B383" s="1" t="s">
        <v>433</v>
      </c>
      <c r="E383" s="1" t="s">
        <v>434</v>
      </c>
    </row>
    <row r="384" spans="1:50" x14ac:dyDescent="0.15">
      <c r="A384" s="1" t="s">
        <v>155</v>
      </c>
      <c r="C384" s="2" t="s">
        <v>441</v>
      </c>
      <c r="E384" s="1" t="s">
        <v>442</v>
      </c>
      <c r="G384" s="1" t="s">
        <v>443</v>
      </c>
    </row>
    <row r="385" spans="1:33" x14ac:dyDescent="0.15">
      <c r="A385" s="1" t="s">
        <v>155</v>
      </c>
      <c r="C385" s="2" t="s">
        <v>444</v>
      </c>
      <c r="E385" s="1" t="s">
        <v>445</v>
      </c>
      <c r="G385" s="1" t="s">
        <v>446</v>
      </c>
    </row>
    <row r="386" spans="1:33" x14ac:dyDescent="0.15">
      <c r="A386" s="1" t="s">
        <v>155</v>
      </c>
      <c r="B386" s="1" t="s">
        <v>451</v>
      </c>
      <c r="C386" s="2"/>
      <c r="E386" s="1" t="s">
        <v>452</v>
      </c>
    </row>
    <row r="387" spans="1:33" x14ac:dyDescent="0.15">
      <c r="A387" s="1" t="s">
        <v>155</v>
      </c>
      <c r="B387" s="1" t="s">
        <v>457</v>
      </c>
      <c r="E387" s="1" t="s">
        <v>458</v>
      </c>
    </row>
    <row r="388" spans="1:33" x14ac:dyDescent="0.15">
      <c r="A388" s="1" t="s">
        <v>155</v>
      </c>
      <c r="B388" s="1" t="s">
        <v>463</v>
      </c>
      <c r="C388" s="2"/>
      <c r="E388" s="1" t="s">
        <v>464</v>
      </c>
      <c r="AG388" s="1" t="s">
        <v>465</v>
      </c>
    </row>
    <row r="389" spans="1:33" x14ac:dyDescent="0.15">
      <c r="A389" s="1" t="s">
        <v>155</v>
      </c>
      <c r="C389" s="1" t="s">
        <v>467</v>
      </c>
      <c r="K389" s="1" t="s">
        <v>468</v>
      </c>
    </row>
    <row r="390" spans="1:33" x14ac:dyDescent="0.15">
      <c r="A390" s="1" t="s">
        <v>155</v>
      </c>
      <c r="B390" s="1" t="s">
        <v>470</v>
      </c>
      <c r="C390" s="1" t="s">
        <v>471</v>
      </c>
      <c r="D390" s="1" t="s">
        <v>472</v>
      </c>
      <c r="F390" s="1" t="s">
        <v>473</v>
      </c>
      <c r="I390" s="1" t="s">
        <v>474</v>
      </c>
      <c r="T390" s="1" t="s">
        <v>475</v>
      </c>
      <c r="U390" s="1" t="s">
        <v>476</v>
      </c>
      <c r="V390" s="1" t="s">
        <v>477</v>
      </c>
      <c r="AD390" s="1" t="s">
        <v>478</v>
      </c>
    </row>
    <row r="391" spans="1:33" x14ac:dyDescent="0.15">
      <c r="A391" s="1" t="s">
        <v>155</v>
      </c>
      <c r="B391" s="1" t="s">
        <v>479</v>
      </c>
      <c r="E391" s="1" t="s">
        <v>480</v>
      </c>
    </row>
    <row r="392" spans="1:33" x14ac:dyDescent="0.15">
      <c r="A392" s="1" t="s">
        <v>155</v>
      </c>
      <c r="C392" s="1" t="s">
        <v>481</v>
      </c>
      <c r="E392" s="1" t="s">
        <v>407</v>
      </c>
    </row>
    <row r="393" spans="1:33" x14ac:dyDescent="0.15">
      <c r="A393" s="1" t="s">
        <v>155</v>
      </c>
      <c r="B393" s="1" t="s">
        <v>482</v>
      </c>
      <c r="C393" s="1" t="s">
        <v>483</v>
      </c>
      <c r="E393" s="1" t="s">
        <v>484</v>
      </c>
    </row>
    <row r="394" spans="1:33" x14ac:dyDescent="0.15">
      <c r="A394" s="1" t="s">
        <v>155</v>
      </c>
      <c r="B394" s="1" t="s">
        <v>491</v>
      </c>
      <c r="F394" s="1" t="s">
        <v>181</v>
      </c>
    </row>
    <row r="395" spans="1:33" x14ac:dyDescent="0.15">
      <c r="A395" s="1" t="s">
        <v>155</v>
      </c>
      <c r="C395" s="1" t="s">
        <v>492</v>
      </c>
    </row>
    <row r="396" spans="1:33" x14ac:dyDescent="0.15">
      <c r="A396" s="1" t="s">
        <v>155</v>
      </c>
      <c r="C396" s="1" t="s">
        <v>496</v>
      </c>
      <c r="E396" s="1" t="s">
        <v>497</v>
      </c>
    </row>
    <row r="397" spans="1:33" x14ac:dyDescent="0.15">
      <c r="A397" s="1" t="s">
        <v>155</v>
      </c>
      <c r="B397" s="1" t="s">
        <v>500</v>
      </c>
      <c r="C397" s="2"/>
      <c r="E397" s="1" t="s">
        <v>501</v>
      </c>
      <c r="AG397" s="1" t="s">
        <v>502</v>
      </c>
    </row>
    <row r="398" spans="1:33" x14ac:dyDescent="0.15">
      <c r="A398" s="1" t="s">
        <v>155</v>
      </c>
      <c r="C398" s="1" t="s">
        <v>503</v>
      </c>
      <c r="F398" s="1" t="s">
        <v>239</v>
      </c>
    </row>
    <row r="399" spans="1:33" x14ac:dyDescent="0.15">
      <c r="A399" s="1" t="s">
        <v>155</v>
      </c>
      <c r="C399" s="1" t="s">
        <v>506</v>
      </c>
    </row>
    <row r="400" spans="1:33" x14ac:dyDescent="0.15">
      <c r="A400" s="1" t="s">
        <v>155</v>
      </c>
      <c r="C400" s="1" t="s">
        <v>507</v>
      </c>
      <c r="F400" s="1" t="s">
        <v>508</v>
      </c>
    </row>
    <row r="401" spans="1:49" x14ac:dyDescent="0.15">
      <c r="A401" s="1" t="s">
        <v>155</v>
      </c>
      <c r="C401" s="1" t="s">
        <v>511</v>
      </c>
    </row>
    <row r="402" spans="1:49" x14ac:dyDescent="0.15">
      <c r="A402" s="1" t="s">
        <v>155</v>
      </c>
      <c r="B402" s="1" t="s">
        <v>515</v>
      </c>
      <c r="F402" s="1" t="s">
        <v>516</v>
      </c>
    </row>
    <row r="403" spans="1:49" x14ac:dyDescent="0.15">
      <c r="A403" s="1" t="s">
        <v>155</v>
      </c>
      <c r="B403" s="1" t="s">
        <v>517</v>
      </c>
      <c r="E403" s="1" t="s">
        <v>518</v>
      </c>
    </row>
    <row r="404" spans="1:49" x14ac:dyDescent="0.15">
      <c r="A404" s="1" t="s">
        <v>155</v>
      </c>
      <c r="C404" s="1" t="s">
        <v>519</v>
      </c>
      <c r="K404" s="1" t="s">
        <v>520</v>
      </c>
    </row>
    <row r="405" spans="1:49" x14ac:dyDescent="0.15">
      <c r="A405" s="1" t="s">
        <v>155</v>
      </c>
      <c r="B405" s="1" t="s">
        <v>521</v>
      </c>
      <c r="F405" s="1" t="s">
        <v>208</v>
      </c>
    </row>
    <row r="406" spans="1:49" x14ac:dyDescent="0.15">
      <c r="A406" s="1" t="s">
        <v>155</v>
      </c>
      <c r="B406" s="1" t="s">
        <v>533</v>
      </c>
      <c r="E406" s="1" t="s">
        <v>534</v>
      </c>
    </row>
    <row r="407" spans="1:49" x14ac:dyDescent="0.15">
      <c r="A407" s="1" t="s">
        <v>155</v>
      </c>
      <c r="C407" s="1" t="s">
        <v>547</v>
      </c>
      <c r="E407" s="1" t="s">
        <v>548</v>
      </c>
    </row>
    <row r="408" spans="1:49" x14ac:dyDescent="0.15">
      <c r="A408" s="1" t="s">
        <v>155</v>
      </c>
      <c r="C408" s="1" t="s">
        <v>569</v>
      </c>
    </row>
    <row r="409" spans="1:49" x14ac:dyDescent="0.15">
      <c r="A409" s="1" t="s">
        <v>155</v>
      </c>
      <c r="C409" s="2" t="s">
        <v>581</v>
      </c>
    </row>
    <row r="410" spans="1:49" x14ac:dyDescent="0.15">
      <c r="A410" s="1" t="s">
        <v>155</v>
      </c>
      <c r="C410" s="2" t="s">
        <v>620</v>
      </c>
      <c r="E410" s="1" t="s">
        <v>621</v>
      </c>
    </row>
    <row r="411" spans="1:49" x14ac:dyDescent="0.15">
      <c r="A411" s="1" t="s">
        <v>155</v>
      </c>
      <c r="C411" s="2" t="s">
        <v>640</v>
      </c>
    </row>
    <row r="412" spans="1:49" x14ac:dyDescent="0.15">
      <c r="A412" s="1" t="s">
        <v>155</v>
      </c>
      <c r="C412" s="1" t="s">
        <v>641</v>
      </c>
    </row>
    <row r="413" spans="1:49" x14ac:dyDescent="0.15">
      <c r="A413" s="1" t="s">
        <v>694</v>
      </c>
      <c r="B413" s="1" t="s">
        <v>695</v>
      </c>
      <c r="E413" s="1" t="s">
        <v>696</v>
      </c>
      <c r="AW413" s="1" t="s">
        <v>697</v>
      </c>
    </row>
    <row r="414" spans="1:49" x14ac:dyDescent="0.15">
      <c r="A414" s="1" t="s">
        <v>694</v>
      </c>
      <c r="C414" s="1" t="s">
        <v>698</v>
      </c>
      <c r="K414" s="1" t="s">
        <v>699</v>
      </c>
      <c r="AW414" s="1" t="s">
        <v>697</v>
      </c>
    </row>
    <row r="415" spans="1:49" x14ac:dyDescent="0.15">
      <c r="A415" s="1" t="s">
        <v>694</v>
      </c>
      <c r="B415" s="1" t="s">
        <v>700</v>
      </c>
      <c r="E415" s="1" t="s">
        <v>701</v>
      </c>
      <c r="F415" s="1" t="s">
        <v>702</v>
      </c>
      <c r="AW415" s="1" t="s">
        <v>697</v>
      </c>
    </row>
    <row r="416" spans="1:49" x14ac:dyDescent="0.15">
      <c r="A416" s="1" t="s">
        <v>694</v>
      </c>
      <c r="C416" s="1" t="s">
        <v>703</v>
      </c>
      <c r="K416" s="1" t="s">
        <v>704</v>
      </c>
      <c r="AW416" s="1" t="s">
        <v>697</v>
      </c>
    </row>
    <row r="417" spans="1:50" x14ac:dyDescent="0.15">
      <c r="A417" s="1" t="s">
        <v>694</v>
      </c>
      <c r="C417" s="1" t="s">
        <v>705</v>
      </c>
      <c r="F417" s="1" t="s">
        <v>706</v>
      </c>
      <c r="AW417" s="1" t="s">
        <v>697</v>
      </c>
      <c r="AX417" s="1" t="s">
        <v>164</v>
      </c>
    </row>
    <row r="418" spans="1:50" x14ac:dyDescent="0.15">
      <c r="A418" s="1" t="s">
        <v>694</v>
      </c>
      <c r="C418" s="1" t="s">
        <v>707</v>
      </c>
      <c r="K418" s="1" t="s">
        <v>708</v>
      </c>
      <c r="R418" s="1" t="s">
        <v>709</v>
      </c>
      <c r="AW418" s="1" t="s">
        <v>697</v>
      </c>
    </row>
    <row r="419" spans="1:50" x14ac:dyDescent="0.15">
      <c r="A419" s="1" t="s">
        <v>694</v>
      </c>
      <c r="B419" s="1" t="s">
        <v>710</v>
      </c>
      <c r="C419" s="1" t="s">
        <v>178</v>
      </c>
      <c r="F419" s="1" t="s">
        <v>179</v>
      </c>
      <c r="K419" s="1" t="s">
        <v>711</v>
      </c>
      <c r="AW419" s="1" t="s">
        <v>697</v>
      </c>
    </row>
    <row r="420" spans="1:50" x14ac:dyDescent="0.15">
      <c r="A420" s="1" t="s">
        <v>694</v>
      </c>
      <c r="C420" s="1" t="s">
        <v>184</v>
      </c>
      <c r="E420" s="1" t="s">
        <v>712</v>
      </c>
      <c r="K420" s="1" t="s">
        <v>713</v>
      </c>
      <c r="AG420" s="1" t="s">
        <v>712</v>
      </c>
      <c r="AW420" s="1" t="s">
        <v>697</v>
      </c>
    </row>
    <row r="421" spans="1:50" x14ac:dyDescent="0.15">
      <c r="A421" s="1" t="s">
        <v>694</v>
      </c>
      <c r="C421" s="1" t="s">
        <v>186</v>
      </c>
      <c r="K421" s="1" t="s">
        <v>714</v>
      </c>
      <c r="AW421" s="1" t="s">
        <v>697</v>
      </c>
    </row>
    <row r="422" spans="1:50" x14ac:dyDescent="0.15">
      <c r="A422" s="1" t="s">
        <v>694</v>
      </c>
      <c r="C422" s="1" t="s">
        <v>715</v>
      </c>
      <c r="K422" s="1" t="s">
        <v>716</v>
      </c>
      <c r="AW422" s="1" t="s">
        <v>697</v>
      </c>
    </row>
    <row r="423" spans="1:50" x14ac:dyDescent="0.15">
      <c r="A423" s="1" t="s">
        <v>694</v>
      </c>
      <c r="B423" s="1" t="s">
        <v>717</v>
      </c>
      <c r="E423" s="1" t="s">
        <v>718</v>
      </c>
      <c r="AW423" s="1" t="s">
        <v>697</v>
      </c>
    </row>
    <row r="424" spans="1:50" x14ac:dyDescent="0.15">
      <c r="A424" s="1" t="s">
        <v>694</v>
      </c>
      <c r="B424" s="1" t="s">
        <v>717</v>
      </c>
      <c r="C424" s="1" t="s">
        <v>719</v>
      </c>
      <c r="E424" s="1" t="s">
        <v>718</v>
      </c>
      <c r="F424" s="1" t="s">
        <v>720</v>
      </c>
    </row>
    <row r="425" spans="1:50" x14ac:dyDescent="0.15">
      <c r="A425" s="1" t="s">
        <v>694</v>
      </c>
      <c r="B425" s="1"/>
      <c r="C425" s="1" t="s">
        <v>196</v>
      </c>
      <c r="E425" s="1" t="s">
        <v>721</v>
      </c>
      <c r="F425" s="1" t="s">
        <v>195</v>
      </c>
      <c r="AG425" s="1" t="s">
        <v>722</v>
      </c>
      <c r="AH425" s="1" t="s">
        <v>722</v>
      </c>
      <c r="AS425" s="1" t="s">
        <v>723</v>
      </c>
      <c r="AT425" s="1" t="s">
        <v>723</v>
      </c>
      <c r="AW425" s="1" t="s">
        <v>697</v>
      </c>
    </row>
    <row r="426" spans="1:50" x14ac:dyDescent="0.15">
      <c r="A426" s="1" t="s">
        <v>694</v>
      </c>
      <c r="B426" s="1" t="s">
        <v>515</v>
      </c>
      <c r="C426" s="1" t="s">
        <v>515</v>
      </c>
      <c r="F426" s="1" t="s">
        <v>198</v>
      </c>
      <c r="K426" s="1" t="s">
        <v>724</v>
      </c>
      <c r="AW426" s="1" t="s">
        <v>697</v>
      </c>
    </row>
    <row r="427" spans="1:50" x14ac:dyDescent="0.15">
      <c r="A427" s="1" t="s">
        <v>694</v>
      </c>
      <c r="B427" s="1" t="s">
        <v>725</v>
      </c>
      <c r="E427" s="1" t="s">
        <v>726</v>
      </c>
      <c r="F427" s="1" t="s">
        <v>727</v>
      </c>
    </row>
    <row r="428" spans="1:50" x14ac:dyDescent="0.15">
      <c r="A428" s="1" t="s">
        <v>694</v>
      </c>
      <c r="C428" s="1" t="s">
        <v>728</v>
      </c>
      <c r="E428" s="1" t="s">
        <v>729</v>
      </c>
      <c r="K428" s="1" t="s">
        <v>730</v>
      </c>
      <c r="AQ428" s="1" t="s">
        <v>730</v>
      </c>
      <c r="AW428" s="1" t="s">
        <v>697</v>
      </c>
    </row>
    <row r="429" spans="1:50" x14ac:dyDescent="0.15">
      <c r="A429" s="1" t="s">
        <v>694</v>
      </c>
      <c r="B429" s="1" t="s">
        <v>731</v>
      </c>
      <c r="C429" s="1" t="s">
        <v>732</v>
      </c>
      <c r="E429" s="1" t="s">
        <v>548</v>
      </c>
      <c r="F429" s="1" t="s">
        <v>733</v>
      </c>
    </row>
    <row r="430" spans="1:50" x14ac:dyDescent="0.15">
      <c r="A430" s="1" t="s">
        <v>694</v>
      </c>
      <c r="B430" s="1" t="s">
        <v>734</v>
      </c>
      <c r="C430" s="1" t="s">
        <v>735</v>
      </c>
      <c r="E430" s="1" t="s">
        <v>736</v>
      </c>
      <c r="F430" s="1" t="s">
        <v>737</v>
      </c>
      <c r="AW430" s="1" t="s">
        <v>697</v>
      </c>
    </row>
    <row r="431" spans="1:50" x14ac:dyDescent="0.15">
      <c r="A431" s="1" t="s">
        <v>694</v>
      </c>
      <c r="C431" s="1" t="s">
        <v>738</v>
      </c>
      <c r="K431" s="1" t="s">
        <v>739</v>
      </c>
      <c r="AW431" s="1" t="s">
        <v>697</v>
      </c>
    </row>
    <row r="432" spans="1:50" x14ac:dyDescent="0.15">
      <c r="A432" s="1" t="s">
        <v>694</v>
      </c>
      <c r="B432" s="1" t="s">
        <v>740</v>
      </c>
      <c r="E432" s="1" t="s">
        <v>741</v>
      </c>
      <c r="F432" s="1" t="s">
        <v>256</v>
      </c>
      <c r="AW432" s="1" t="s">
        <v>697</v>
      </c>
    </row>
    <row r="433" spans="1:49" x14ac:dyDescent="0.15">
      <c r="A433" s="1" t="s">
        <v>694</v>
      </c>
      <c r="C433" s="1" t="s">
        <v>742</v>
      </c>
      <c r="K433" s="1" t="s">
        <v>743</v>
      </c>
      <c r="AW433" s="1" t="s">
        <v>697</v>
      </c>
    </row>
    <row r="434" spans="1:49" x14ac:dyDescent="0.15">
      <c r="A434" s="1" t="s">
        <v>694</v>
      </c>
      <c r="B434" s="1" t="s">
        <v>533</v>
      </c>
      <c r="E434" s="1" t="s">
        <v>744</v>
      </c>
      <c r="AW434" s="1" t="s">
        <v>697</v>
      </c>
    </row>
    <row r="435" spans="1:49" x14ac:dyDescent="0.15">
      <c r="A435" s="1" t="s">
        <v>807</v>
      </c>
      <c r="B435" s="1" t="s">
        <v>808</v>
      </c>
      <c r="E435" s="1" t="s">
        <v>809</v>
      </c>
      <c r="F435" s="1" t="s">
        <v>228</v>
      </c>
      <c r="AW435" s="1" t="s">
        <v>697</v>
      </c>
    </row>
    <row r="436" spans="1:49" x14ac:dyDescent="0.15">
      <c r="A436" s="1" t="s">
        <v>807</v>
      </c>
      <c r="B436" s="1" t="s">
        <v>810</v>
      </c>
      <c r="E436" s="1" t="s">
        <v>811</v>
      </c>
      <c r="F436" s="1" t="s">
        <v>234</v>
      </c>
      <c r="K436" s="1" t="s">
        <v>812</v>
      </c>
      <c r="AQ436" s="1" t="s">
        <v>812</v>
      </c>
      <c r="AW436" s="1" t="s">
        <v>697</v>
      </c>
    </row>
    <row r="437" spans="1:49" x14ac:dyDescent="0.15">
      <c r="A437" s="1" t="s">
        <v>807</v>
      </c>
      <c r="B437" s="1" t="s">
        <v>813</v>
      </c>
      <c r="E437" s="1" t="s">
        <v>814</v>
      </c>
      <c r="F437" s="1" t="s">
        <v>237</v>
      </c>
      <c r="AW437" s="1" t="s">
        <v>697</v>
      </c>
    </row>
    <row r="438" spans="1:49" x14ac:dyDescent="0.15">
      <c r="A438" s="1" t="s">
        <v>807</v>
      </c>
      <c r="B438" s="1" t="s">
        <v>815</v>
      </c>
      <c r="E438" s="1" t="s">
        <v>816</v>
      </c>
      <c r="AW438" s="1" t="s">
        <v>697</v>
      </c>
    </row>
    <row r="439" spans="1:49" x14ac:dyDescent="0.15">
      <c r="A439" s="1" t="s">
        <v>807</v>
      </c>
      <c r="B439" s="1" t="s">
        <v>817</v>
      </c>
      <c r="C439" s="1" t="s">
        <v>818</v>
      </c>
    </row>
    <row r="440" spans="1:49" x14ac:dyDescent="0.15">
      <c r="A440" s="1" t="s">
        <v>807</v>
      </c>
      <c r="B440" s="1" t="s">
        <v>819</v>
      </c>
      <c r="E440" s="1" t="s">
        <v>820</v>
      </c>
      <c r="F440" s="1" t="s">
        <v>250</v>
      </c>
      <c r="AG440" s="1" t="s">
        <v>821</v>
      </c>
      <c r="AH440" s="1" t="s">
        <v>821</v>
      </c>
      <c r="AW440" s="1" t="s">
        <v>697</v>
      </c>
    </row>
    <row r="441" spans="1:49" x14ac:dyDescent="0.15">
      <c r="A441" s="1" t="s">
        <v>807</v>
      </c>
      <c r="B441" s="1" t="s">
        <v>238</v>
      </c>
      <c r="E441" s="1" t="s">
        <v>822</v>
      </c>
      <c r="F441" s="1" t="s">
        <v>242</v>
      </c>
      <c r="R441" s="1" t="s">
        <v>823</v>
      </c>
      <c r="AW441" s="1" t="s">
        <v>697</v>
      </c>
    </row>
    <row r="442" spans="1:49" x14ac:dyDescent="0.15">
      <c r="A442" s="1" t="s">
        <v>807</v>
      </c>
      <c r="B442" s="1" t="s">
        <v>824</v>
      </c>
      <c r="E442" s="1" t="s">
        <v>825</v>
      </c>
      <c r="F442" s="1" t="s">
        <v>253</v>
      </c>
      <c r="AW442" s="1" t="s">
        <v>697</v>
      </c>
    </row>
    <row r="443" spans="1:49" x14ac:dyDescent="0.15">
      <c r="A443" s="1" t="s">
        <v>807</v>
      </c>
      <c r="B443" s="1" t="s">
        <v>826</v>
      </c>
      <c r="E443" s="1" t="s">
        <v>827</v>
      </c>
      <c r="F443" s="1" t="s">
        <v>259</v>
      </c>
      <c r="AW443" s="1" t="s">
        <v>697</v>
      </c>
    </row>
    <row r="444" spans="1:49" x14ac:dyDescent="0.15">
      <c r="A444" s="1" t="s">
        <v>807</v>
      </c>
      <c r="B444" s="1" t="s">
        <v>828</v>
      </c>
      <c r="AW444" s="1" t="s">
        <v>697</v>
      </c>
    </row>
    <row r="445" spans="1:49" x14ac:dyDescent="0.15">
      <c r="A445" s="1" t="s">
        <v>807</v>
      </c>
      <c r="B445" s="1" t="s">
        <v>829</v>
      </c>
      <c r="C445" s="1" t="s">
        <v>830</v>
      </c>
      <c r="AW445" s="1" t="s">
        <v>697</v>
      </c>
    </row>
    <row r="446" spans="1:49" x14ac:dyDescent="0.15">
      <c r="A446" s="1" t="s">
        <v>807</v>
      </c>
      <c r="B446" s="1" t="s">
        <v>831</v>
      </c>
      <c r="E446" s="1" t="s">
        <v>832</v>
      </c>
      <c r="AW446" s="1" t="s">
        <v>697</v>
      </c>
    </row>
    <row r="447" spans="1:49" x14ac:dyDescent="0.15">
      <c r="A447" s="1" t="s">
        <v>807</v>
      </c>
      <c r="B447" s="1" t="s">
        <v>833</v>
      </c>
      <c r="AW447" s="1" t="s">
        <v>697</v>
      </c>
    </row>
    <row r="448" spans="1:49" x14ac:dyDescent="0.15">
      <c r="A448" s="1" t="s">
        <v>846</v>
      </c>
      <c r="C448" s="1" t="s">
        <v>847</v>
      </c>
      <c r="F448" s="1" t="s">
        <v>848</v>
      </c>
      <c r="N448" s="1" t="s">
        <v>148</v>
      </c>
      <c r="O448" s="1" t="s">
        <v>149</v>
      </c>
      <c r="AW448" s="1" t="s">
        <v>145</v>
      </c>
    </row>
    <row r="449" spans="1:49" x14ac:dyDescent="0.15">
      <c r="A449" s="1" t="s">
        <v>846</v>
      </c>
      <c r="C449" s="1" t="s">
        <v>849</v>
      </c>
      <c r="F449" s="1" t="s">
        <v>850</v>
      </c>
      <c r="N449" s="1" t="s">
        <v>148</v>
      </c>
      <c r="O449" s="1" t="s">
        <v>149</v>
      </c>
      <c r="AW449" s="1" t="s">
        <v>145</v>
      </c>
    </row>
    <row r="450" spans="1:49" x14ac:dyDescent="0.15">
      <c r="A450" s="1" t="s">
        <v>846</v>
      </c>
      <c r="C450" s="1" t="s">
        <v>849</v>
      </c>
      <c r="K450" s="1" t="s">
        <v>851</v>
      </c>
    </row>
    <row r="451" spans="1:49" x14ac:dyDescent="0.15">
      <c r="A451" s="1" t="s">
        <v>846</v>
      </c>
      <c r="C451" s="1" t="s">
        <v>852</v>
      </c>
      <c r="F451" s="1" t="s">
        <v>853</v>
      </c>
      <c r="N451" s="1" t="s">
        <v>148</v>
      </c>
      <c r="O451" s="1" t="s">
        <v>149</v>
      </c>
      <c r="AW451" s="1" t="s">
        <v>145</v>
      </c>
    </row>
    <row r="452" spans="1:49" x14ac:dyDescent="0.15">
      <c r="A452" s="1" t="s">
        <v>846</v>
      </c>
      <c r="C452" s="1" t="s">
        <v>852</v>
      </c>
      <c r="K452" s="1" t="s">
        <v>854</v>
      </c>
    </row>
    <row r="453" spans="1:49" x14ac:dyDescent="0.15">
      <c r="A453" s="1" t="s">
        <v>855</v>
      </c>
      <c r="C453" s="1" t="s">
        <v>864</v>
      </c>
      <c r="E453" s="1" t="s">
        <v>865</v>
      </c>
      <c r="K453" s="1" t="s">
        <v>866</v>
      </c>
    </row>
    <row r="454" spans="1:49" x14ac:dyDescent="0.15">
      <c r="A454" s="1" t="s">
        <v>855</v>
      </c>
      <c r="C454" s="1" t="s">
        <v>867</v>
      </c>
      <c r="K454" s="1" t="s">
        <v>868</v>
      </c>
    </row>
    <row r="455" spans="1:49" x14ac:dyDescent="0.15">
      <c r="A455" s="1" t="s">
        <v>855</v>
      </c>
      <c r="C455" s="1" t="s">
        <v>871</v>
      </c>
      <c r="K455" s="1" t="s">
        <v>872</v>
      </c>
    </row>
    <row r="456" spans="1:49" x14ac:dyDescent="0.15">
      <c r="A456" s="1" t="s">
        <v>855</v>
      </c>
      <c r="C456" s="1" t="s">
        <v>873</v>
      </c>
      <c r="E456" s="1" t="s">
        <v>874</v>
      </c>
    </row>
    <row r="457" spans="1:49" x14ac:dyDescent="0.15">
      <c r="A457" s="1" t="s">
        <v>855</v>
      </c>
      <c r="C457" s="1" t="s">
        <v>875</v>
      </c>
      <c r="K457" s="1" t="s">
        <v>876</v>
      </c>
    </row>
    <row r="458" spans="1:49" x14ac:dyDescent="0.15">
      <c r="A458" s="1" t="s">
        <v>855</v>
      </c>
      <c r="C458" s="1" t="s">
        <v>877</v>
      </c>
      <c r="K458" s="1" t="s">
        <v>878</v>
      </c>
    </row>
    <row r="459" spans="1:49" x14ac:dyDescent="0.15">
      <c r="A459" s="1" t="s">
        <v>855</v>
      </c>
      <c r="C459" s="1" t="s">
        <v>879</v>
      </c>
      <c r="K459" s="1" t="s">
        <v>880</v>
      </c>
    </row>
    <row r="460" spans="1:49" x14ac:dyDescent="0.15">
      <c r="A460" s="1" t="s">
        <v>855</v>
      </c>
      <c r="C460" s="1" t="s">
        <v>881</v>
      </c>
      <c r="K460" s="1" t="s">
        <v>882</v>
      </c>
    </row>
    <row r="461" spans="1:49" x14ac:dyDescent="0.15">
      <c r="A461" s="1" t="s">
        <v>855</v>
      </c>
      <c r="C461" s="1" t="s">
        <v>883</v>
      </c>
      <c r="K461" s="1" t="s">
        <v>884</v>
      </c>
    </row>
    <row r="462" spans="1:49" x14ac:dyDescent="0.15">
      <c r="A462" s="1" t="s">
        <v>855</v>
      </c>
      <c r="C462" s="1" t="s">
        <v>885</v>
      </c>
      <c r="E462" s="1" t="s">
        <v>886</v>
      </c>
    </row>
    <row r="463" spans="1:49" x14ac:dyDescent="0.15">
      <c r="A463" s="1" t="s">
        <v>855</v>
      </c>
      <c r="C463" s="2" t="s">
        <v>887</v>
      </c>
      <c r="E463" s="1" t="s">
        <v>888</v>
      </c>
    </row>
    <row r="464" spans="1:49" x14ac:dyDescent="0.15">
      <c r="A464" s="1" t="s">
        <v>855</v>
      </c>
      <c r="C464" s="1" t="s">
        <v>889</v>
      </c>
      <c r="K464" s="1" t="s">
        <v>890</v>
      </c>
    </row>
    <row r="465" spans="1:50" x14ac:dyDescent="0.15">
      <c r="A465" s="1" t="s">
        <v>855</v>
      </c>
      <c r="C465" s="1" t="s">
        <v>891</v>
      </c>
      <c r="E465" s="1" t="s">
        <v>892</v>
      </c>
    </row>
    <row r="466" spans="1:50" x14ac:dyDescent="0.15">
      <c r="A466" s="1" t="s">
        <v>855</v>
      </c>
      <c r="C466" s="1" t="s">
        <v>893</v>
      </c>
      <c r="F466" s="1" t="s">
        <v>894</v>
      </c>
      <c r="AW466" s="1" t="s">
        <v>80</v>
      </c>
    </row>
    <row r="467" spans="1:50" x14ac:dyDescent="0.15">
      <c r="A467" s="1" t="s">
        <v>855</v>
      </c>
      <c r="C467" s="1" t="s">
        <v>895</v>
      </c>
      <c r="K467" s="1" t="s">
        <v>896</v>
      </c>
    </row>
    <row r="468" spans="1:50" x14ac:dyDescent="0.15">
      <c r="A468" s="1" t="s">
        <v>855</v>
      </c>
      <c r="C468" s="1" t="s">
        <v>897</v>
      </c>
      <c r="AW468" s="1" t="s">
        <v>0</v>
      </c>
    </row>
    <row r="469" spans="1:50" x14ac:dyDescent="0.15">
      <c r="A469" s="1" t="s">
        <v>855</v>
      </c>
      <c r="C469" s="1" t="s">
        <v>898</v>
      </c>
      <c r="K469" s="1" t="s">
        <v>899</v>
      </c>
    </row>
    <row r="470" spans="1:50" x14ac:dyDescent="0.15">
      <c r="A470" s="1" t="s">
        <v>855</v>
      </c>
      <c r="C470" s="1" t="s">
        <v>900</v>
      </c>
      <c r="K470" s="1" t="s">
        <v>901</v>
      </c>
    </row>
    <row r="471" spans="1:50" x14ac:dyDescent="0.15">
      <c r="A471" s="1" t="s">
        <v>855</v>
      </c>
      <c r="C471" s="1" t="s">
        <v>902</v>
      </c>
      <c r="K471" s="1" t="s">
        <v>903</v>
      </c>
    </row>
    <row r="472" spans="1:50" x14ac:dyDescent="0.15">
      <c r="A472" s="1" t="s">
        <v>855</v>
      </c>
      <c r="C472" s="1" t="s">
        <v>908</v>
      </c>
      <c r="E472" s="1" t="s">
        <v>909</v>
      </c>
    </row>
    <row r="473" spans="1:50" x14ac:dyDescent="0.15">
      <c r="A473" s="1" t="s">
        <v>855</v>
      </c>
      <c r="C473" s="1" t="s">
        <v>910</v>
      </c>
      <c r="K473" s="1" t="s">
        <v>911</v>
      </c>
    </row>
    <row r="474" spans="1:50" x14ac:dyDescent="0.15">
      <c r="A474" s="1" t="s">
        <v>855</v>
      </c>
      <c r="C474" s="1" t="s">
        <v>914</v>
      </c>
      <c r="K474" s="1" t="s">
        <v>915</v>
      </c>
    </row>
    <row r="475" spans="1:50" x14ac:dyDescent="0.15">
      <c r="A475" s="1" t="s">
        <v>855</v>
      </c>
      <c r="C475" s="1" t="s">
        <v>916</v>
      </c>
      <c r="K475" s="1" t="s">
        <v>917</v>
      </c>
    </row>
    <row r="476" spans="1:50" x14ac:dyDescent="0.15">
      <c r="A476" s="1" t="s">
        <v>928</v>
      </c>
      <c r="B476" s="1" t="s">
        <v>929</v>
      </c>
      <c r="C476" s="1" t="s">
        <v>930</v>
      </c>
      <c r="E476" s="1" t="s">
        <v>931</v>
      </c>
      <c r="F476" s="1" t="s">
        <v>932</v>
      </c>
      <c r="G476" s="1" t="s">
        <v>933</v>
      </c>
      <c r="R476" s="1" t="s">
        <v>934</v>
      </c>
      <c r="S476" s="1" t="s">
        <v>935</v>
      </c>
      <c r="T476" s="1" t="s">
        <v>936</v>
      </c>
      <c r="U476" s="1" t="s">
        <v>937</v>
      </c>
      <c r="V476" s="1" t="s">
        <v>938</v>
      </c>
      <c r="AG476" s="1" t="s">
        <v>931</v>
      </c>
      <c r="AH476" s="1" t="s">
        <v>931</v>
      </c>
      <c r="AI476" s="1" t="s">
        <v>939</v>
      </c>
      <c r="AJ476" s="1" t="s">
        <v>939</v>
      </c>
      <c r="AW476" s="1" t="s">
        <v>745</v>
      </c>
      <c r="AX476" s="1" t="s">
        <v>940</v>
      </c>
    </row>
    <row r="477" spans="1:50" x14ac:dyDescent="0.15">
      <c r="A477" s="1" t="s">
        <v>928</v>
      </c>
      <c r="B477" s="1" t="s">
        <v>952</v>
      </c>
      <c r="C477" s="1" t="s">
        <v>953</v>
      </c>
      <c r="E477" s="1" t="s">
        <v>954</v>
      </c>
      <c r="F477" s="1" t="s">
        <v>955</v>
      </c>
      <c r="G477" s="1" t="s">
        <v>956</v>
      </c>
      <c r="R477" s="1" t="s">
        <v>957</v>
      </c>
      <c r="S477" s="1" t="s">
        <v>958</v>
      </c>
      <c r="U477" s="1"/>
      <c r="V477" s="1" t="s">
        <v>959</v>
      </c>
      <c r="AD477" s="1" t="s">
        <v>960</v>
      </c>
      <c r="AG477" s="1" t="s">
        <v>954</v>
      </c>
      <c r="AH477" s="1" t="s">
        <v>954</v>
      </c>
      <c r="AW477" s="1" t="s">
        <v>745</v>
      </c>
      <c r="AX477" s="1" t="s">
        <v>940</v>
      </c>
    </row>
    <row r="478" spans="1:50" x14ac:dyDescent="0.15">
      <c r="A478" s="1" t="s">
        <v>928</v>
      </c>
      <c r="C478" s="1" t="s">
        <v>980</v>
      </c>
      <c r="K478" s="1" t="s">
        <v>981</v>
      </c>
    </row>
    <row r="479" spans="1:50" x14ac:dyDescent="0.15">
      <c r="A479" s="1" t="s">
        <v>928</v>
      </c>
      <c r="C479" s="1" t="s">
        <v>986</v>
      </c>
      <c r="K479" s="1" t="s">
        <v>987</v>
      </c>
    </row>
    <row r="480" spans="1:50" x14ac:dyDescent="0.15">
      <c r="A480" s="1" t="s">
        <v>928</v>
      </c>
      <c r="B480" s="1" t="s">
        <v>152</v>
      </c>
      <c r="C480" s="1" t="s">
        <v>990</v>
      </c>
      <c r="E480" s="1" t="s">
        <v>991</v>
      </c>
      <c r="F480" s="1" t="s">
        <v>992</v>
      </c>
      <c r="G480" s="1" t="s">
        <v>993</v>
      </c>
      <c r="R480" s="1" t="s">
        <v>994</v>
      </c>
      <c r="T480" s="1" t="s">
        <v>995</v>
      </c>
      <c r="U480" s="1" t="s">
        <v>996</v>
      </c>
      <c r="V480" s="1" t="s">
        <v>997</v>
      </c>
      <c r="AD480" s="1" t="s">
        <v>998</v>
      </c>
      <c r="AG480" s="1" t="s">
        <v>991</v>
      </c>
      <c r="AH480" s="1" t="s">
        <v>991</v>
      </c>
      <c r="AI480" s="1" t="s">
        <v>999</v>
      </c>
      <c r="AJ480" s="1" t="s">
        <v>999</v>
      </c>
      <c r="AW480" s="1" t="s">
        <v>745</v>
      </c>
      <c r="AX480" s="1" t="s">
        <v>940</v>
      </c>
    </row>
    <row r="481" spans="1:33" x14ac:dyDescent="0.15">
      <c r="A481" s="1" t="s">
        <v>928</v>
      </c>
      <c r="B481" s="1" t="s">
        <v>1000</v>
      </c>
      <c r="E481" s="1" t="s">
        <v>1001</v>
      </c>
      <c r="H481" s="1" t="s">
        <v>1002</v>
      </c>
      <c r="AG481" s="1" t="s">
        <v>1003</v>
      </c>
    </row>
    <row r="482" spans="1:33" x14ac:dyDescent="0.15">
      <c r="A482" s="1" t="s">
        <v>928</v>
      </c>
      <c r="B482" s="1" t="s">
        <v>1007</v>
      </c>
      <c r="C482" s="1" t="s">
        <v>1008</v>
      </c>
      <c r="E482" s="1" t="s">
        <v>1009</v>
      </c>
    </row>
    <row r="483" spans="1:33" x14ac:dyDescent="0.15">
      <c r="A483" s="1" t="s">
        <v>928</v>
      </c>
      <c r="C483" s="1" t="s">
        <v>1010</v>
      </c>
      <c r="K483" s="1" t="s">
        <v>1011</v>
      </c>
      <c r="R483" s="1" t="s">
        <v>1012</v>
      </c>
    </row>
    <row r="484" spans="1:33" x14ac:dyDescent="0.15">
      <c r="A484" s="1" t="s">
        <v>928</v>
      </c>
      <c r="B484" s="1" t="s">
        <v>1013</v>
      </c>
      <c r="C484" s="2" t="s">
        <v>1014</v>
      </c>
      <c r="E484" s="1" t="s">
        <v>1015</v>
      </c>
      <c r="R484" s="1" t="s">
        <v>1016</v>
      </c>
    </row>
    <row r="485" spans="1:33" x14ac:dyDescent="0.15">
      <c r="A485" s="1" t="s">
        <v>928</v>
      </c>
      <c r="C485" s="1" t="s">
        <v>1017</v>
      </c>
      <c r="K485" s="1" t="s">
        <v>1018</v>
      </c>
    </row>
    <row r="486" spans="1:33" x14ac:dyDescent="0.15">
      <c r="A486" s="1" t="s">
        <v>928</v>
      </c>
      <c r="C486" s="1" t="s">
        <v>1019</v>
      </c>
      <c r="K486" s="1" t="s">
        <v>1020</v>
      </c>
    </row>
    <row r="487" spans="1:33" x14ac:dyDescent="0.15">
      <c r="A487" s="1" t="s">
        <v>928</v>
      </c>
      <c r="C487" s="1" t="s">
        <v>1021</v>
      </c>
      <c r="K487" s="1" t="s">
        <v>1022</v>
      </c>
    </row>
    <row r="488" spans="1:33" x14ac:dyDescent="0.15">
      <c r="A488" s="1" t="s">
        <v>928</v>
      </c>
      <c r="C488" s="1" t="s">
        <v>1023</v>
      </c>
      <c r="K488" s="1" t="s">
        <v>1024</v>
      </c>
    </row>
    <row r="489" spans="1:33" x14ac:dyDescent="0.15">
      <c r="A489" s="1" t="s">
        <v>928</v>
      </c>
      <c r="C489" s="2" t="s">
        <v>1025</v>
      </c>
      <c r="K489" s="1" t="s">
        <v>1026</v>
      </c>
    </row>
    <row r="490" spans="1:33" x14ac:dyDescent="0.15">
      <c r="A490" s="1" t="s">
        <v>928</v>
      </c>
      <c r="C490" s="1" t="s">
        <v>526</v>
      </c>
      <c r="K490" s="1" t="s">
        <v>1027</v>
      </c>
    </row>
    <row r="491" spans="1:33" x14ac:dyDescent="0.15">
      <c r="A491" s="1" t="s">
        <v>928</v>
      </c>
      <c r="B491" s="1" t="s">
        <v>1028</v>
      </c>
      <c r="E491" s="1" t="s">
        <v>1029</v>
      </c>
    </row>
    <row r="492" spans="1:33" x14ac:dyDescent="0.15">
      <c r="A492" s="1" t="s">
        <v>928</v>
      </c>
      <c r="C492" s="2" t="s">
        <v>1030</v>
      </c>
      <c r="K492" s="1" t="s">
        <v>1031</v>
      </c>
    </row>
    <row r="493" spans="1:33" x14ac:dyDescent="0.15">
      <c r="A493" s="1" t="s">
        <v>928</v>
      </c>
      <c r="B493" s="1" t="s">
        <v>1032</v>
      </c>
      <c r="E493" s="1" t="s">
        <v>1033</v>
      </c>
    </row>
    <row r="494" spans="1:33" x14ac:dyDescent="0.15">
      <c r="A494" s="1" t="s">
        <v>928</v>
      </c>
      <c r="B494" s="1" t="s">
        <v>1034</v>
      </c>
      <c r="C494" s="1" t="s">
        <v>1035</v>
      </c>
    </row>
    <row r="495" spans="1:33" x14ac:dyDescent="0.15">
      <c r="A495" s="1" t="s">
        <v>928</v>
      </c>
      <c r="B495" s="1" t="s">
        <v>1036</v>
      </c>
      <c r="C495" s="2"/>
      <c r="E495" s="1" t="s">
        <v>1037</v>
      </c>
    </row>
    <row r="496" spans="1:33" x14ac:dyDescent="0.15">
      <c r="A496" s="1" t="s">
        <v>928</v>
      </c>
      <c r="B496" s="1" t="s">
        <v>1048</v>
      </c>
      <c r="C496" s="2"/>
      <c r="E496" s="1" t="s">
        <v>1049</v>
      </c>
      <c r="F496" s="1" t="s">
        <v>1050</v>
      </c>
    </row>
    <row r="497" spans="1:50" x14ac:dyDescent="0.15">
      <c r="A497" s="1" t="s">
        <v>928</v>
      </c>
      <c r="B497" s="1" t="s">
        <v>1079</v>
      </c>
      <c r="E497" s="1" t="s">
        <v>1080</v>
      </c>
    </row>
    <row r="498" spans="1:50" x14ac:dyDescent="0.15">
      <c r="A498" s="1" t="s">
        <v>928</v>
      </c>
      <c r="B498" s="1" t="s">
        <v>1081</v>
      </c>
      <c r="E498" s="1" t="s">
        <v>1037</v>
      </c>
      <c r="F498" s="1" t="s">
        <v>1082</v>
      </c>
    </row>
    <row r="499" spans="1:50" x14ac:dyDescent="0.15">
      <c r="A499" s="1" t="s">
        <v>928</v>
      </c>
      <c r="B499" s="1" t="s">
        <v>1083</v>
      </c>
      <c r="C499" s="1" t="s">
        <v>1084</v>
      </c>
      <c r="F499" s="1" t="s">
        <v>1085</v>
      </c>
      <c r="G499" s="1" t="s">
        <v>1086</v>
      </c>
      <c r="R499" s="1" t="s">
        <v>1046</v>
      </c>
      <c r="T499" s="1" t="s">
        <v>1087</v>
      </c>
      <c r="U499" s="1"/>
      <c r="V499" s="1" t="s">
        <v>1088</v>
      </c>
      <c r="AD499" s="1" t="s">
        <v>1047</v>
      </c>
      <c r="AI499" s="1" t="s">
        <v>1089</v>
      </c>
      <c r="AJ499" s="1" t="s">
        <v>1089</v>
      </c>
      <c r="AW499" s="1" t="s">
        <v>745</v>
      </c>
      <c r="AX499" s="1" t="s">
        <v>940</v>
      </c>
    </row>
    <row r="500" spans="1:50" x14ac:dyDescent="0.15">
      <c r="A500" s="1" t="s">
        <v>928</v>
      </c>
      <c r="C500" s="1" t="s">
        <v>1090</v>
      </c>
      <c r="K500" s="1" t="s">
        <v>1091</v>
      </c>
    </row>
    <row r="501" spans="1:50" x14ac:dyDescent="0.15">
      <c r="A501" s="1" t="s">
        <v>928</v>
      </c>
      <c r="B501" s="1" t="s">
        <v>1092</v>
      </c>
      <c r="E501" s="1" t="s">
        <v>1093</v>
      </c>
      <c r="R501" s="1" t="s">
        <v>1094</v>
      </c>
    </row>
    <row r="502" spans="1:50" x14ac:dyDescent="0.15">
      <c r="A502" s="1" t="s">
        <v>1101</v>
      </c>
      <c r="C502" s="1" t="s">
        <v>1102</v>
      </c>
      <c r="F502" s="1" t="s">
        <v>1103</v>
      </c>
      <c r="R502" s="1" t="s">
        <v>1104</v>
      </c>
      <c r="AW502" s="1" t="s">
        <v>155</v>
      </c>
    </row>
    <row r="503" spans="1:50" x14ac:dyDescent="0.15">
      <c r="A503" s="1" t="s">
        <v>1101</v>
      </c>
      <c r="C503" s="1" t="s">
        <v>1105</v>
      </c>
      <c r="E503" s="1" t="s">
        <v>1106</v>
      </c>
      <c r="F503" s="1" t="s">
        <v>395</v>
      </c>
      <c r="R503" s="1" t="s">
        <v>1107</v>
      </c>
    </row>
    <row r="504" spans="1:50" x14ac:dyDescent="0.15">
      <c r="A504" s="1" t="s">
        <v>1101</v>
      </c>
      <c r="C504" s="1" t="s">
        <v>400</v>
      </c>
      <c r="K504" s="1" t="s">
        <v>1108</v>
      </c>
    </row>
    <row r="505" spans="1:50" x14ac:dyDescent="0.15">
      <c r="A505" s="1" t="s">
        <v>1101</v>
      </c>
      <c r="C505" s="1" t="s">
        <v>1109</v>
      </c>
      <c r="F505" s="1" t="s">
        <v>401</v>
      </c>
    </row>
    <row r="506" spans="1:50" x14ac:dyDescent="0.15">
      <c r="A506" s="1" t="s">
        <v>1101</v>
      </c>
      <c r="C506" s="1" t="s">
        <v>402</v>
      </c>
      <c r="F506" s="1" t="s">
        <v>403</v>
      </c>
      <c r="AW506" s="1" t="s">
        <v>155</v>
      </c>
    </row>
    <row r="507" spans="1:50" x14ac:dyDescent="0.15">
      <c r="A507" s="1" t="s">
        <v>1101</v>
      </c>
      <c r="C507" s="1" t="s">
        <v>402</v>
      </c>
      <c r="K507" s="1" t="s">
        <v>1110</v>
      </c>
    </row>
    <row r="508" spans="1:50" x14ac:dyDescent="0.15">
      <c r="A508" s="1" t="s">
        <v>1101</v>
      </c>
      <c r="C508" s="2" t="s">
        <v>1111</v>
      </c>
      <c r="K508" s="1" t="s">
        <v>1112</v>
      </c>
    </row>
    <row r="509" spans="1:50" x14ac:dyDescent="0.15">
      <c r="A509" s="1" t="s">
        <v>1101</v>
      </c>
      <c r="C509" s="2" t="s">
        <v>1113</v>
      </c>
      <c r="F509" s="1" t="s">
        <v>1114</v>
      </c>
      <c r="AW509" s="1" t="s">
        <v>155</v>
      </c>
    </row>
    <row r="510" spans="1:50" x14ac:dyDescent="0.15">
      <c r="A510" s="1" t="s">
        <v>1101</v>
      </c>
      <c r="C510" s="1" t="s">
        <v>1113</v>
      </c>
      <c r="K510" s="1" t="s">
        <v>1115</v>
      </c>
    </row>
    <row r="511" spans="1:50" x14ac:dyDescent="0.15">
      <c r="A511" s="1" t="s">
        <v>1101</v>
      </c>
      <c r="C511" s="1" t="s">
        <v>1116</v>
      </c>
      <c r="E511" s="1" t="s">
        <v>1117</v>
      </c>
    </row>
    <row r="512" spans="1:50" x14ac:dyDescent="0.15">
      <c r="A512" s="1" t="s">
        <v>1101</v>
      </c>
      <c r="C512" s="1" t="s">
        <v>1118</v>
      </c>
      <c r="K512" s="1" t="s">
        <v>1119</v>
      </c>
    </row>
    <row r="513" spans="1:49" x14ac:dyDescent="0.15">
      <c r="A513" s="1" t="s">
        <v>1101</v>
      </c>
      <c r="C513" s="1" t="s">
        <v>1120</v>
      </c>
      <c r="F513" s="1" t="s">
        <v>424</v>
      </c>
    </row>
    <row r="514" spans="1:49" x14ac:dyDescent="0.15">
      <c r="A514" s="1" t="s">
        <v>1101</v>
      </c>
      <c r="C514" s="2" t="s">
        <v>1121</v>
      </c>
      <c r="F514" s="1" t="s">
        <v>1122</v>
      </c>
      <c r="AW514" s="1" t="s">
        <v>80</v>
      </c>
    </row>
    <row r="515" spans="1:49" x14ac:dyDescent="0.15">
      <c r="A515" s="1" t="s">
        <v>1101</v>
      </c>
      <c r="C515" s="1" t="s">
        <v>1121</v>
      </c>
      <c r="K515" s="1" t="s">
        <v>1123</v>
      </c>
    </row>
    <row r="516" spans="1:49" x14ac:dyDescent="0.15">
      <c r="A516" s="1" t="s">
        <v>1101</v>
      </c>
      <c r="C516" s="1" t="s">
        <v>1121</v>
      </c>
      <c r="E516" s="1" t="s">
        <v>1124</v>
      </c>
    </row>
    <row r="517" spans="1:49" x14ac:dyDescent="0.15">
      <c r="A517" s="1" t="s">
        <v>1101</v>
      </c>
      <c r="C517" s="1" t="s">
        <v>1125</v>
      </c>
      <c r="K517" s="1" t="s">
        <v>1126</v>
      </c>
    </row>
    <row r="518" spans="1:49" x14ac:dyDescent="0.15">
      <c r="A518" s="1" t="s">
        <v>1101</v>
      </c>
      <c r="C518" s="1" t="s">
        <v>59</v>
      </c>
      <c r="K518" s="1" t="s">
        <v>1127</v>
      </c>
    </row>
    <row r="519" spans="1:49" x14ac:dyDescent="0.15">
      <c r="A519" s="1" t="s">
        <v>1101</v>
      </c>
      <c r="C519" s="1" t="s">
        <v>1128</v>
      </c>
      <c r="F519" s="1" t="s">
        <v>60</v>
      </c>
    </row>
    <row r="520" spans="1:49" x14ac:dyDescent="0.15">
      <c r="A520" s="1" t="s">
        <v>1101</v>
      </c>
      <c r="C520" s="1" t="s">
        <v>1129</v>
      </c>
      <c r="F520" s="1" t="s">
        <v>1130</v>
      </c>
      <c r="AW520" s="1" t="s">
        <v>58</v>
      </c>
    </row>
    <row r="521" spans="1:49" x14ac:dyDescent="0.15">
      <c r="A521" s="1" t="s">
        <v>1101</v>
      </c>
      <c r="C521" s="1" t="s">
        <v>1131</v>
      </c>
      <c r="F521" s="1" t="s">
        <v>1132</v>
      </c>
      <c r="AW521" s="1" t="s">
        <v>58</v>
      </c>
    </row>
    <row r="522" spans="1:49" x14ac:dyDescent="0.15">
      <c r="A522" s="1" t="s">
        <v>1101</v>
      </c>
      <c r="C522" s="1" t="s">
        <v>457</v>
      </c>
      <c r="E522" s="1" t="s">
        <v>1133</v>
      </c>
      <c r="F522" s="1" t="s">
        <v>1134</v>
      </c>
      <c r="AW522" s="1" t="s">
        <v>58</v>
      </c>
    </row>
    <row r="523" spans="1:49" x14ac:dyDescent="0.15">
      <c r="A523" s="1" t="s">
        <v>1101</v>
      </c>
      <c r="C523" s="1" t="s">
        <v>1135</v>
      </c>
      <c r="K523" s="1" t="s">
        <v>1136</v>
      </c>
    </row>
    <row r="524" spans="1:49" x14ac:dyDescent="0.15">
      <c r="A524" s="1" t="s">
        <v>1101</v>
      </c>
      <c r="C524" s="1" t="s">
        <v>1137</v>
      </c>
      <c r="K524" s="1" t="s">
        <v>1138</v>
      </c>
    </row>
    <row r="525" spans="1:49" x14ac:dyDescent="0.15">
      <c r="A525" s="1" t="s">
        <v>1101</v>
      </c>
      <c r="C525" s="1" t="s">
        <v>64</v>
      </c>
      <c r="K525" s="1" t="s">
        <v>1139</v>
      </c>
    </row>
    <row r="526" spans="1:49" x14ac:dyDescent="0.15">
      <c r="A526" s="1" t="s">
        <v>1101</v>
      </c>
      <c r="C526" s="1" t="s">
        <v>1140</v>
      </c>
      <c r="F526" s="1" t="s">
        <v>65</v>
      </c>
    </row>
    <row r="527" spans="1:49" x14ac:dyDescent="0.15">
      <c r="A527" s="1" t="s">
        <v>1101</v>
      </c>
      <c r="C527" s="1" t="s">
        <v>1141</v>
      </c>
      <c r="F527" s="1" t="s">
        <v>1142</v>
      </c>
      <c r="AW527" s="1" t="s">
        <v>80</v>
      </c>
    </row>
    <row r="528" spans="1:49" x14ac:dyDescent="0.15">
      <c r="A528" s="1" t="s">
        <v>1101</v>
      </c>
      <c r="C528" s="2" t="s">
        <v>1143</v>
      </c>
      <c r="K528" s="1" t="s">
        <v>1144</v>
      </c>
    </row>
    <row r="529" spans="1:50" x14ac:dyDescent="0.15">
      <c r="A529" s="1" t="s">
        <v>1101</v>
      </c>
      <c r="C529" s="1" t="s">
        <v>66</v>
      </c>
      <c r="K529" s="1" t="s">
        <v>1145</v>
      </c>
    </row>
    <row r="530" spans="1:50" x14ac:dyDescent="0.15">
      <c r="A530" s="1" t="s">
        <v>1101</v>
      </c>
      <c r="C530" s="2" t="s">
        <v>1146</v>
      </c>
      <c r="F530" s="1" t="s">
        <v>67</v>
      </c>
    </row>
    <row r="531" spans="1:50" x14ac:dyDescent="0.15">
      <c r="A531" s="1" t="s">
        <v>1101</v>
      </c>
      <c r="C531" s="1" t="s">
        <v>1147</v>
      </c>
      <c r="F531" s="1" t="s">
        <v>110</v>
      </c>
    </row>
    <row r="532" spans="1:50" x14ac:dyDescent="0.15">
      <c r="A532" s="1" t="s">
        <v>1101</v>
      </c>
      <c r="C532" s="1" t="s">
        <v>156</v>
      </c>
      <c r="F532" s="1" t="s">
        <v>157</v>
      </c>
      <c r="AW532" s="1" t="s">
        <v>80</v>
      </c>
      <c r="AX532" s="1" t="s">
        <v>61</v>
      </c>
    </row>
    <row r="533" spans="1:50" x14ac:dyDescent="0.15">
      <c r="A533" s="1" t="s">
        <v>1101</v>
      </c>
      <c r="C533" s="1" t="s">
        <v>1148</v>
      </c>
      <c r="K533" s="1" t="s">
        <v>1149</v>
      </c>
    </row>
    <row r="534" spans="1:50" x14ac:dyDescent="0.15">
      <c r="A534" s="1" t="s">
        <v>1101</v>
      </c>
      <c r="C534" s="1" t="s">
        <v>68</v>
      </c>
      <c r="K534" s="1" t="s">
        <v>1150</v>
      </c>
    </row>
    <row r="535" spans="1:50" x14ac:dyDescent="0.15">
      <c r="A535" s="1" t="s">
        <v>1101</v>
      </c>
      <c r="C535" s="1" t="s">
        <v>1151</v>
      </c>
      <c r="F535" s="1" t="s">
        <v>69</v>
      </c>
    </row>
    <row r="536" spans="1:50" x14ac:dyDescent="0.15">
      <c r="A536" s="1" t="s">
        <v>1101</v>
      </c>
      <c r="C536" s="2" t="s">
        <v>1152</v>
      </c>
      <c r="E536" s="1" t="s">
        <v>1153</v>
      </c>
      <c r="K536" s="1" t="s">
        <v>1154</v>
      </c>
    </row>
    <row r="537" spans="1:50" x14ac:dyDescent="0.15">
      <c r="A537" s="1" t="s">
        <v>1101</v>
      </c>
      <c r="C537" s="1" t="s">
        <v>1155</v>
      </c>
      <c r="E537" s="1" t="s">
        <v>1156</v>
      </c>
    </row>
    <row r="538" spans="1:50" x14ac:dyDescent="0.15">
      <c r="A538" s="1" t="s">
        <v>1101</v>
      </c>
      <c r="C538" s="1" t="s">
        <v>72</v>
      </c>
      <c r="E538" s="1" t="s">
        <v>1157</v>
      </c>
    </row>
    <row r="539" spans="1:50" x14ac:dyDescent="0.15">
      <c r="A539" s="1" t="s">
        <v>1101</v>
      </c>
      <c r="C539" s="1" t="s">
        <v>72</v>
      </c>
      <c r="E539" s="1" t="s">
        <v>1158</v>
      </c>
    </row>
    <row r="540" spans="1:50" x14ac:dyDescent="0.15">
      <c r="A540" s="1" t="s">
        <v>1101</v>
      </c>
      <c r="C540" s="1" t="s">
        <v>1159</v>
      </c>
      <c r="F540" s="1" t="s">
        <v>73</v>
      </c>
    </row>
    <row r="541" spans="1:50" x14ac:dyDescent="0.15">
      <c r="A541" s="1" t="s">
        <v>1101</v>
      </c>
      <c r="C541" s="1" t="s">
        <v>1160</v>
      </c>
      <c r="K541" s="1" t="s">
        <v>1161</v>
      </c>
    </row>
    <row r="542" spans="1:50" x14ac:dyDescent="0.15">
      <c r="A542" s="1" t="s">
        <v>1101</v>
      </c>
      <c r="C542" s="1" t="s">
        <v>1162</v>
      </c>
      <c r="F542" s="1" t="s">
        <v>159</v>
      </c>
      <c r="AW542" s="1" t="s">
        <v>58</v>
      </c>
    </row>
    <row r="543" spans="1:50" x14ac:dyDescent="0.15">
      <c r="A543" s="1" t="s">
        <v>1101</v>
      </c>
      <c r="C543" s="1" t="s">
        <v>1163</v>
      </c>
      <c r="K543" s="1" t="s">
        <v>1164</v>
      </c>
    </row>
    <row r="544" spans="1:50" x14ac:dyDescent="0.15">
      <c r="A544" s="1" t="s">
        <v>1101</v>
      </c>
      <c r="C544" s="1" t="s">
        <v>1165</v>
      </c>
      <c r="F544" s="1" t="s">
        <v>1166</v>
      </c>
      <c r="AW544" s="1" t="s">
        <v>58</v>
      </c>
    </row>
    <row r="545" spans="1:49" x14ac:dyDescent="0.15">
      <c r="A545" s="1" t="s">
        <v>1101</v>
      </c>
      <c r="C545" s="1" t="s">
        <v>1167</v>
      </c>
      <c r="F545" s="1" t="s">
        <v>1168</v>
      </c>
      <c r="AW545" s="1" t="s">
        <v>58</v>
      </c>
    </row>
    <row r="546" spans="1:49" x14ac:dyDescent="0.15">
      <c r="A546" s="1" t="s">
        <v>1101</v>
      </c>
      <c r="C546" s="1" t="s">
        <v>1169</v>
      </c>
      <c r="E546" s="1" t="s">
        <v>1170</v>
      </c>
    </row>
    <row r="547" spans="1:49" x14ac:dyDescent="0.15">
      <c r="A547" s="1" t="s">
        <v>1101</v>
      </c>
      <c r="C547" s="1" t="s">
        <v>1171</v>
      </c>
      <c r="F547" s="1" t="s">
        <v>1172</v>
      </c>
      <c r="AW547" s="1" t="s">
        <v>80</v>
      </c>
    </row>
    <row r="548" spans="1:49" x14ac:dyDescent="0.15">
      <c r="A548" s="1" t="s">
        <v>1101</v>
      </c>
      <c r="B548" s="1" t="s">
        <v>1171</v>
      </c>
      <c r="E548" s="1" t="s">
        <v>1173</v>
      </c>
    </row>
    <row r="549" spans="1:49" x14ac:dyDescent="0.15">
      <c r="A549" s="1" t="s">
        <v>1101</v>
      </c>
      <c r="C549" s="1" t="s">
        <v>1174</v>
      </c>
      <c r="E549" s="1" t="s">
        <v>1175</v>
      </c>
      <c r="AG549" s="1" t="s">
        <v>1176</v>
      </c>
    </row>
    <row r="550" spans="1:49" x14ac:dyDescent="0.15">
      <c r="A550" s="1" t="s">
        <v>1101</v>
      </c>
      <c r="C550" s="2" t="s">
        <v>1177</v>
      </c>
      <c r="E550" s="1" t="s">
        <v>1178</v>
      </c>
    </row>
    <row r="551" spans="1:49" x14ac:dyDescent="0.15">
      <c r="A551" s="1" t="s">
        <v>1101</v>
      </c>
      <c r="C551" s="1" t="s">
        <v>1179</v>
      </c>
      <c r="F551" s="1" t="s">
        <v>1180</v>
      </c>
      <c r="AW551" s="1" t="s">
        <v>58</v>
      </c>
    </row>
    <row r="552" spans="1:49" x14ac:dyDescent="0.15">
      <c r="A552" s="1" t="s">
        <v>1101</v>
      </c>
      <c r="C552" s="1" t="s">
        <v>1181</v>
      </c>
      <c r="F552" s="1" t="s">
        <v>1182</v>
      </c>
      <c r="AW552" s="1" t="s">
        <v>80</v>
      </c>
    </row>
    <row r="553" spans="1:49" x14ac:dyDescent="0.15">
      <c r="A553" s="1" t="s">
        <v>1101</v>
      </c>
      <c r="B553" s="1" t="s">
        <v>1183</v>
      </c>
      <c r="E553" s="1" t="s">
        <v>1184</v>
      </c>
    </row>
    <row r="554" spans="1:49" x14ac:dyDescent="0.15">
      <c r="A554" s="1" t="s">
        <v>1101</v>
      </c>
      <c r="C554" s="1" t="s">
        <v>1185</v>
      </c>
      <c r="F554" s="1" t="s">
        <v>1186</v>
      </c>
      <c r="AW554" s="1" t="s">
        <v>80</v>
      </c>
    </row>
    <row r="555" spans="1:49" x14ac:dyDescent="0.15">
      <c r="A555" s="1" t="s">
        <v>1101</v>
      </c>
      <c r="C555" s="1" t="s">
        <v>1187</v>
      </c>
      <c r="F555" s="1" t="s">
        <v>1188</v>
      </c>
      <c r="AW555" s="1" t="s">
        <v>80</v>
      </c>
    </row>
    <row r="556" spans="1:49" x14ac:dyDescent="0.15">
      <c r="A556" s="1" t="s">
        <v>1101</v>
      </c>
      <c r="C556" s="1" t="s">
        <v>1189</v>
      </c>
      <c r="F556" s="1" t="s">
        <v>124</v>
      </c>
    </row>
    <row r="557" spans="1:49" x14ac:dyDescent="0.15">
      <c r="A557" s="1" t="s">
        <v>1101</v>
      </c>
      <c r="C557" s="1" t="s">
        <v>1190</v>
      </c>
      <c r="F557" s="1" t="s">
        <v>1191</v>
      </c>
      <c r="AW557" s="1" t="s">
        <v>58</v>
      </c>
    </row>
    <row r="558" spans="1:49" x14ac:dyDescent="0.15">
      <c r="A558" s="1" t="s">
        <v>1101</v>
      </c>
      <c r="C558" s="1" t="s">
        <v>1190</v>
      </c>
      <c r="F558" s="1" t="s">
        <v>1192</v>
      </c>
      <c r="AW558" s="1" t="s">
        <v>80</v>
      </c>
    </row>
    <row r="559" spans="1:49" x14ac:dyDescent="0.15">
      <c r="A559" s="1" t="s">
        <v>1101</v>
      </c>
      <c r="C559" s="1" t="s">
        <v>1193</v>
      </c>
      <c r="K559" s="1" t="s">
        <v>1194</v>
      </c>
    </row>
    <row r="560" spans="1:49" x14ac:dyDescent="0.15">
      <c r="A560" s="1" t="s">
        <v>1101</v>
      </c>
      <c r="C560" s="1" t="s">
        <v>1195</v>
      </c>
      <c r="F560" s="1" t="s">
        <v>1196</v>
      </c>
      <c r="AW560" s="1" t="s">
        <v>80</v>
      </c>
    </row>
    <row r="561" spans="1:49" x14ac:dyDescent="0.15">
      <c r="A561" s="1" t="s">
        <v>1101</v>
      </c>
      <c r="C561" s="1" t="s">
        <v>1197</v>
      </c>
      <c r="F561" s="1" t="s">
        <v>75</v>
      </c>
    </row>
    <row r="562" spans="1:49" x14ac:dyDescent="0.15">
      <c r="A562" s="1" t="s">
        <v>1101</v>
      </c>
      <c r="C562" s="1" t="s">
        <v>76</v>
      </c>
      <c r="K562" s="1" t="s">
        <v>1198</v>
      </c>
    </row>
    <row r="563" spans="1:49" x14ac:dyDescent="0.15">
      <c r="A563" s="1" t="s">
        <v>1101</v>
      </c>
      <c r="C563" s="1" t="s">
        <v>1199</v>
      </c>
      <c r="F563" s="1" t="s">
        <v>77</v>
      </c>
    </row>
    <row r="564" spans="1:49" x14ac:dyDescent="0.15">
      <c r="A564" s="1" t="s">
        <v>1101</v>
      </c>
      <c r="C564" s="1" t="s">
        <v>1200</v>
      </c>
      <c r="F564" s="1" t="s">
        <v>1201</v>
      </c>
      <c r="AW564" s="1" t="s">
        <v>58</v>
      </c>
    </row>
    <row r="565" spans="1:49" x14ac:dyDescent="0.15">
      <c r="A565" s="1" t="s">
        <v>1101</v>
      </c>
      <c r="C565" s="2" t="s">
        <v>1202</v>
      </c>
      <c r="K565" s="1" t="s">
        <v>1203</v>
      </c>
    </row>
    <row r="566" spans="1:49" x14ac:dyDescent="0.15">
      <c r="A566" s="1" t="s">
        <v>1101</v>
      </c>
      <c r="C566" s="1" t="s">
        <v>1204</v>
      </c>
      <c r="E566" s="1" t="s">
        <v>1205</v>
      </c>
    </row>
    <row r="567" spans="1:49" x14ac:dyDescent="0.15">
      <c r="A567" s="1" t="s">
        <v>1101</v>
      </c>
      <c r="C567" s="1" t="s">
        <v>1206</v>
      </c>
      <c r="F567" s="1" t="s">
        <v>1207</v>
      </c>
      <c r="AW567" s="1" t="s">
        <v>80</v>
      </c>
    </row>
    <row r="568" spans="1:49" x14ac:dyDescent="0.15">
      <c r="A568" s="1" t="s">
        <v>1101</v>
      </c>
      <c r="C568" s="1" t="s">
        <v>1208</v>
      </c>
      <c r="F568" s="1" t="s">
        <v>1209</v>
      </c>
      <c r="AW568" s="1" t="s">
        <v>80</v>
      </c>
    </row>
    <row r="569" spans="1:49" x14ac:dyDescent="0.15">
      <c r="A569" s="1" t="s">
        <v>1101</v>
      </c>
      <c r="C569" s="1" t="s">
        <v>1210</v>
      </c>
      <c r="K569" s="1" t="s">
        <v>1211</v>
      </c>
    </row>
    <row r="570" spans="1:49" x14ac:dyDescent="0.15">
      <c r="A570" s="1" t="s">
        <v>1101</v>
      </c>
      <c r="C570" s="1" t="s">
        <v>1212</v>
      </c>
      <c r="F570" s="1" t="s">
        <v>1213</v>
      </c>
      <c r="AW570" s="1" t="s">
        <v>80</v>
      </c>
    </row>
    <row r="571" spans="1:49" x14ac:dyDescent="0.15">
      <c r="A571" s="1" t="s">
        <v>1101</v>
      </c>
      <c r="C571" s="1" t="s">
        <v>1214</v>
      </c>
      <c r="K571" s="1" t="s">
        <v>1215</v>
      </c>
    </row>
    <row r="572" spans="1:49" x14ac:dyDescent="0.15">
      <c r="A572" s="1" t="s">
        <v>1101</v>
      </c>
      <c r="C572" s="2" t="s">
        <v>1216</v>
      </c>
      <c r="K572" s="1" t="s">
        <v>1217</v>
      </c>
    </row>
    <row r="573" spans="1:49" x14ac:dyDescent="0.15">
      <c r="A573" s="1" t="s">
        <v>1101</v>
      </c>
      <c r="C573" s="1" t="s">
        <v>1218</v>
      </c>
      <c r="F573" s="1" t="s">
        <v>1114</v>
      </c>
    </row>
    <row r="574" spans="1:49" x14ac:dyDescent="0.15">
      <c r="A574" s="1" t="s">
        <v>1101</v>
      </c>
      <c r="C574" s="1" t="s">
        <v>1219</v>
      </c>
      <c r="F574" s="1" t="s">
        <v>1220</v>
      </c>
      <c r="AW574" s="1" t="s">
        <v>58</v>
      </c>
    </row>
    <row r="575" spans="1:49" x14ac:dyDescent="0.15">
      <c r="A575" s="1" t="s">
        <v>697</v>
      </c>
      <c r="C575" s="1" t="s">
        <v>1221</v>
      </c>
      <c r="K575" s="1" t="s">
        <v>1222</v>
      </c>
    </row>
    <row r="576" spans="1:49" x14ac:dyDescent="0.15">
      <c r="A576" s="1" t="s">
        <v>697</v>
      </c>
      <c r="C576" s="1" t="s">
        <v>1225</v>
      </c>
      <c r="K576" s="1" t="s">
        <v>1226</v>
      </c>
    </row>
    <row r="577" spans="1:50" x14ac:dyDescent="0.15">
      <c r="A577" s="1" t="s">
        <v>697</v>
      </c>
      <c r="B577" s="1" t="s">
        <v>1227</v>
      </c>
      <c r="E577" s="1" t="s">
        <v>1228</v>
      </c>
    </row>
    <row r="578" spans="1:50" x14ac:dyDescent="0.15">
      <c r="A578" s="1" t="s">
        <v>697</v>
      </c>
      <c r="C578" s="1" t="s">
        <v>1229</v>
      </c>
      <c r="K578" s="1" t="s">
        <v>1230</v>
      </c>
    </row>
    <row r="579" spans="1:50" x14ac:dyDescent="0.15">
      <c r="A579" s="1" t="s">
        <v>697</v>
      </c>
      <c r="C579" s="1" t="s">
        <v>1231</v>
      </c>
      <c r="F579" s="1" t="s">
        <v>174</v>
      </c>
      <c r="K579" s="1" t="s">
        <v>175</v>
      </c>
    </row>
    <row r="580" spans="1:50" x14ac:dyDescent="0.15">
      <c r="A580" s="1" t="s">
        <v>697</v>
      </c>
      <c r="B580" s="1" t="s">
        <v>1232</v>
      </c>
      <c r="E580" s="1" t="s">
        <v>1233</v>
      </c>
      <c r="F580" s="1" t="s">
        <v>1234</v>
      </c>
    </row>
    <row r="581" spans="1:50" x14ac:dyDescent="0.15">
      <c r="A581" s="1" t="s">
        <v>697</v>
      </c>
      <c r="C581" s="1" t="s">
        <v>1235</v>
      </c>
      <c r="K581" s="1" t="s">
        <v>1236</v>
      </c>
    </row>
    <row r="582" spans="1:50" x14ac:dyDescent="0.15">
      <c r="A582" s="1" t="s">
        <v>697</v>
      </c>
      <c r="B582" s="1" t="s">
        <v>1237</v>
      </c>
      <c r="E582" s="1" t="s">
        <v>1238</v>
      </c>
      <c r="F582" s="1" t="s">
        <v>193</v>
      </c>
    </row>
    <row r="583" spans="1:50" x14ac:dyDescent="0.15">
      <c r="A583" s="1" t="s">
        <v>697</v>
      </c>
      <c r="C583" s="1" t="s">
        <v>1239</v>
      </c>
      <c r="E583" s="1" t="s">
        <v>1240</v>
      </c>
    </row>
    <row r="584" spans="1:50" x14ac:dyDescent="0.15">
      <c r="A584" s="1" t="s">
        <v>697</v>
      </c>
      <c r="B584" s="1" t="s">
        <v>1241</v>
      </c>
    </row>
    <row r="585" spans="1:50" x14ac:dyDescent="0.15">
      <c r="A585" s="1" t="s">
        <v>697</v>
      </c>
      <c r="B585" s="1" t="s">
        <v>1242</v>
      </c>
      <c r="E585" s="1" t="s">
        <v>1243</v>
      </c>
      <c r="F585" s="1" t="s">
        <v>212</v>
      </c>
    </row>
    <row r="586" spans="1:50" x14ac:dyDescent="0.15">
      <c r="A586" s="1" t="s">
        <v>697</v>
      </c>
      <c r="B586" s="1" t="s">
        <v>1244</v>
      </c>
      <c r="E586" s="1" t="s">
        <v>1245</v>
      </c>
    </row>
    <row r="587" spans="1:50" x14ac:dyDescent="0.15">
      <c r="A587" s="1" t="s">
        <v>697</v>
      </c>
      <c r="C587" s="1" t="s">
        <v>1246</v>
      </c>
      <c r="K587" s="1" t="s">
        <v>1247</v>
      </c>
    </row>
    <row r="588" spans="1:50" x14ac:dyDescent="0.15">
      <c r="A588" s="1" t="s">
        <v>697</v>
      </c>
      <c r="C588" s="1" t="s">
        <v>1248</v>
      </c>
      <c r="K588" s="1" t="s">
        <v>1249</v>
      </c>
    </row>
    <row r="589" spans="1:50" x14ac:dyDescent="0.15">
      <c r="A589" s="1" t="s">
        <v>697</v>
      </c>
      <c r="C589" s="1" t="s">
        <v>1250</v>
      </c>
      <c r="K589" s="1" t="s">
        <v>1251</v>
      </c>
    </row>
    <row r="590" spans="1:50" x14ac:dyDescent="0.15">
      <c r="A590" s="1" t="s">
        <v>697</v>
      </c>
      <c r="C590" s="1" t="s">
        <v>1252</v>
      </c>
      <c r="K590" s="1" t="s">
        <v>1253</v>
      </c>
    </row>
    <row r="591" spans="1:50" x14ac:dyDescent="0.15">
      <c r="A591" s="1" t="s">
        <v>697</v>
      </c>
      <c r="B591" s="1" t="s">
        <v>1252</v>
      </c>
      <c r="F591" s="1" t="s">
        <v>170</v>
      </c>
    </row>
    <row r="592" spans="1:50" x14ac:dyDescent="0.15">
      <c r="A592" s="1" t="s">
        <v>697</v>
      </c>
      <c r="C592" s="1" t="s">
        <v>1254</v>
      </c>
      <c r="E592" s="1" t="s">
        <v>1255</v>
      </c>
      <c r="F592" s="1" t="s">
        <v>1256</v>
      </c>
      <c r="AW592" s="1" t="s">
        <v>164</v>
      </c>
      <c r="AX592" s="1" t="s">
        <v>155</v>
      </c>
    </row>
    <row r="593" spans="1:49" x14ac:dyDescent="0.15">
      <c r="A593" s="1" t="s">
        <v>697</v>
      </c>
      <c r="C593" s="1" t="s">
        <v>1257</v>
      </c>
      <c r="K593" s="1" t="s">
        <v>1258</v>
      </c>
    </row>
    <row r="594" spans="1:49" x14ac:dyDescent="0.15">
      <c r="A594" s="1" t="s">
        <v>697</v>
      </c>
      <c r="C594" s="1" t="s">
        <v>1259</v>
      </c>
      <c r="F594" s="1" t="s">
        <v>172</v>
      </c>
    </row>
    <row r="595" spans="1:49" x14ac:dyDescent="0.15">
      <c r="A595" s="1" t="s">
        <v>697</v>
      </c>
      <c r="B595" s="1" t="s">
        <v>1260</v>
      </c>
      <c r="E595" s="1" t="s">
        <v>1261</v>
      </c>
    </row>
    <row r="596" spans="1:49" x14ac:dyDescent="0.15">
      <c r="A596" s="1" t="s">
        <v>697</v>
      </c>
      <c r="C596" s="1" t="s">
        <v>1262</v>
      </c>
      <c r="F596" s="1" t="s">
        <v>1263</v>
      </c>
      <c r="AW596" s="1" t="s">
        <v>0</v>
      </c>
    </row>
    <row r="597" spans="1:49" x14ac:dyDescent="0.15">
      <c r="A597" s="1" t="s">
        <v>697</v>
      </c>
      <c r="C597" s="1" t="s">
        <v>1264</v>
      </c>
      <c r="K597" s="1" t="s">
        <v>1265</v>
      </c>
    </row>
    <row r="598" spans="1:49" x14ac:dyDescent="0.15">
      <c r="A598" s="1" t="s">
        <v>697</v>
      </c>
      <c r="C598" s="2" t="s">
        <v>1266</v>
      </c>
      <c r="E598" s="1" t="s">
        <v>1267</v>
      </c>
      <c r="AG598" s="1" t="s">
        <v>1268</v>
      </c>
    </row>
    <row r="599" spans="1:49" x14ac:dyDescent="0.15">
      <c r="A599" s="1" t="s">
        <v>697</v>
      </c>
      <c r="C599" s="1" t="s">
        <v>1269</v>
      </c>
      <c r="F599" s="1" t="s">
        <v>1270</v>
      </c>
      <c r="AW599" s="1" t="s">
        <v>80</v>
      </c>
    </row>
    <row r="600" spans="1:49" x14ac:dyDescent="0.15">
      <c r="A600" s="1" t="s">
        <v>697</v>
      </c>
      <c r="C600" s="1" t="s">
        <v>1269</v>
      </c>
      <c r="K600" s="1" t="s">
        <v>1271</v>
      </c>
    </row>
    <row r="601" spans="1:49" x14ac:dyDescent="0.15">
      <c r="A601" s="1" t="s">
        <v>697</v>
      </c>
      <c r="B601" s="1" t="s">
        <v>1272</v>
      </c>
      <c r="F601" s="1" t="s">
        <v>1273</v>
      </c>
      <c r="K601" s="1" t="s">
        <v>1274</v>
      </c>
    </row>
    <row r="602" spans="1:49" x14ac:dyDescent="0.15">
      <c r="A602" s="1" t="s">
        <v>697</v>
      </c>
      <c r="C602" s="1" t="s">
        <v>1275</v>
      </c>
      <c r="K602" s="1" t="s">
        <v>1276</v>
      </c>
    </row>
    <row r="603" spans="1:49" x14ac:dyDescent="0.15">
      <c r="A603" s="1" t="s">
        <v>697</v>
      </c>
      <c r="C603" s="1" t="s">
        <v>1277</v>
      </c>
      <c r="K603" s="1" t="s">
        <v>1278</v>
      </c>
    </row>
    <row r="604" spans="1:49" x14ac:dyDescent="0.15">
      <c r="A604" s="1" t="s">
        <v>697</v>
      </c>
      <c r="C604" s="1" t="s">
        <v>1279</v>
      </c>
      <c r="K604" s="1" t="s">
        <v>1280</v>
      </c>
    </row>
    <row r="605" spans="1:49" x14ac:dyDescent="0.15">
      <c r="A605" s="1" t="s">
        <v>697</v>
      </c>
      <c r="C605" s="1" t="s">
        <v>1281</v>
      </c>
      <c r="K605" s="1" t="s">
        <v>1282</v>
      </c>
    </row>
    <row r="606" spans="1:49" x14ac:dyDescent="0.15">
      <c r="A606" s="1" t="s">
        <v>697</v>
      </c>
      <c r="C606" s="1" t="s">
        <v>1283</v>
      </c>
      <c r="K606" s="1" t="s">
        <v>1284</v>
      </c>
    </row>
    <row r="607" spans="1:49" x14ac:dyDescent="0.15">
      <c r="A607" s="1" t="s">
        <v>697</v>
      </c>
      <c r="C607" s="1" t="s">
        <v>1285</v>
      </c>
      <c r="K607" s="1" t="s">
        <v>1286</v>
      </c>
    </row>
    <row r="608" spans="1:49" x14ac:dyDescent="0.15">
      <c r="A608" s="1" t="s">
        <v>697</v>
      </c>
      <c r="B608" s="1" t="s">
        <v>1287</v>
      </c>
      <c r="E608" s="1" t="s">
        <v>1288</v>
      </c>
    </row>
    <row r="609" spans="1:49" x14ac:dyDescent="0.15">
      <c r="A609" s="1" t="s">
        <v>697</v>
      </c>
      <c r="B609" s="1" t="s">
        <v>1289</v>
      </c>
      <c r="E609" s="1" t="s">
        <v>1290</v>
      </c>
    </row>
    <row r="610" spans="1:49" x14ac:dyDescent="0.15">
      <c r="A610" s="1" t="s">
        <v>697</v>
      </c>
      <c r="C610" s="1" t="s">
        <v>1291</v>
      </c>
      <c r="F610" s="1" t="s">
        <v>231</v>
      </c>
    </row>
    <row r="611" spans="1:49" x14ac:dyDescent="0.15">
      <c r="A611" s="1" t="s">
        <v>697</v>
      </c>
      <c r="C611" s="1" t="s">
        <v>1292</v>
      </c>
      <c r="F611" s="1" t="s">
        <v>1293</v>
      </c>
      <c r="AW611" s="1" t="s">
        <v>0</v>
      </c>
    </row>
    <row r="612" spans="1:49" x14ac:dyDescent="0.15">
      <c r="A612" s="1" t="s">
        <v>697</v>
      </c>
      <c r="C612" s="1" t="s">
        <v>1294</v>
      </c>
      <c r="K612" s="1" t="s">
        <v>1295</v>
      </c>
    </row>
    <row r="613" spans="1:49" x14ac:dyDescent="0.15">
      <c r="A613" s="1" t="s">
        <v>697</v>
      </c>
      <c r="C613" s="2" t="s">
        <v>1296</v>
      </c>
      <c r="F613" s="1" t="s">
        <v>1297</v>
      </c>
      <c r="AW613" s="1" t="s">
        <v>0</v>
      </c>
    </row>
    <row r="614" spans="1:49" x14ac:dyDescent="0.15">
      <c r="A614" s="1" t="s">
        <v>697</v>
      </c>
      <c r="C614" s="1" t="s">
        <v>1298</v>
      </c>
      <c r="K614" s="1" t="s">
        <v>1299</v>
      </c>
    </row>
    <row r="615" spans="1:49" x14ac:dyDescent="0.15">
      <c r="A615" s="1" t="s">
        <v>697</v>
      </c>
      <c r="C615" s="1" t="s">
        <v>1300</v>
      </c>
      <c r="K615" s="1" t="s">
        <v>1301</v>
      </c>
    </row>
    <row r="616" spans="1:49" x14ac:dyDescent="0.15">
      <c r="A616" s="1" t="s">
        <v>697</v>
      </c>
      <c r="C616" s="2" t="s">
        <v>1302</v>
      </c>
      <c r="K616" s="1" t="s">
        <v>1303</v>
      </c>
    </row>
    <row r="617" spans="1:49" x14ac:dyDescent="0.15">
      <c r="A617" s="1" t="s">
        <v>697</v>
      </c>
      <c r="C617" s="2" t="s">
        <v>1304</v>
      </c>
      <c r="E617" s="1" t="s">
        <v>1305</v>
      </c>
      <c r="K617" s="1" t="s">
        <v>1306</v>
      </c>
    </row>
    <row r="618" spans="1:49" x14ac:dyDescent="0.15">
      <c r="A618" s="1" t="s">
        <v>697</v>
      </c>
      <c r="C618" s="1" t="s">
        <v>1307</v>
      </c>
      <c r="K618" s="1" t="s">
        <v>1308</v>
      </c>
    </row>
    <row r="619" spans="1:49" x14ac:dyDescent="0.15">
      <c r="A619" s="1" t="s">
        <v>697</v>
      </c>
      <c r="C619" s="2" t="s">
        <v>1309</v>
      </c>
      <c r="K619" s="1" t="s">
        <v>1310</v>
      </c>
    </row>
    <row r="620" spans="1:49" x14ac:dyDescent="0.15">
      <c r="A620" s="1" t="s">
        <v>697</v>
      </c>
      <c r="B620" s="1" t="s">
        <v>1311</v>
      </c>
      <c r="E620" s="1" t="s">
        <v>1312</v>
      </c>
    </row>
    <row r="621" spans="1:49" x14ac:dyDescent="0.15">
      <c r="A621" s="1" t="s">
        <v>697</v>
      </c>
      <c r="B621" s="1" t="s">
        <v>1313</v>
      </c>
      <c r="E621" s="1" t="s">
        <v>1314</v>
      </c>
      <c r="F621" s="1" t="s">
        <v>1315</v>
      </c>
    </row>
    <row r="622" spans="1:49" x14ac:dyDescent="0.15">
      <c r="A622" s="1" t="s">
        <v>697</v>
      </c>
      <c r="C622" s="1" t="s">
        <v>1316</v>
      </c>
      <c r="E622" s="1" t="s">
        <v>1317</v>
      </c>
    </row>
    <row r="623" spans="1:49" x14ac:dyDescent="0.15">
      <c r="A623" s="1" t="s">
        <v>697</v>
      </c>
      <c r="C623" s="1" t="s">
        <v>1318</v>
      </c>
      <c r="E623" s="1" t="s">
        <v>1319</v>
      </c>
    </row>
    <row r="624" spans="1:49" x14ac:dyDescent="0.15">
      <c r="A624" s="1" t="s">
        <v>697</v>
      </c>
      <c r="B624" s="1" t="s">
        <v>1320</v>
      </c>
      <c r="E624" s="1" t="s">
        <v>1321</v>
      </c>
    </row>
    <row r="625" spans="1:49" x14ac:dyDescent="0.15">
      <c r="A625" s="1" t="s">
        <v>697</v>
      </c>
      <c r="B625" s="1" t="s">
        <v>1322</v>
      </c>
      <c r="E625" s="1" t="s">
        <v>1323</v>
      </c>
    </row>
    <row r="626" spans="1:49" x14ac:dyDescent="0.15">
      <c r="A626" s="1" t="s">
        <v>697</v>
      </c>
      <c r="B626" s="1" t="s">
        <v>1324</v>
      </c>
      <c r="E626" s="1" t="s">
        <v>1325</v>
      </c>
    </row>
    <row r="627" spans="1:49" x14ac:dyDescent="0.15">
      <c r="A627" s="1" t="s">
        <v>697</v>
      </c>
      <c r="C627" s="1" t="s">
        <v>1326</v>
      </c>
      <c r="K627" s="1" t="s">
        <v>1327</v>
      </c>
    </row>
    <row r="628" spans="1:49" x14ac:dyDescent="0.15">
      <c r="A628" s="1" t="s">
        <v>697</v>
      </c>
      <c r="C628" s="1" t="s">
        <v>1328</v>
      </c>
      <c r="K628" s="1" t="s">
        <v>1329</v>
      </c>
    </row>
    <row r="629" spans="1:49" x14ac:dyDescent="0.15">
      <c r="A629" s="1" t="s">
        <v>697</v>
      </c>
      <c r="C629" s="1" t="s">
        <v>1330</v>
      </c>
      <c r="K629" s="1" t="s">
        <v>1331</v>
      </c>
    </row>
    <row r="630" spans="1:49" x14ac:dyDescent="0.15">
      <c r="A630" s="1" t="s">
        <v>697</v>
      </c>
      <c r="B630" s="1" t="s">
        <v>1332</v>
      </c>
      <c r="E630" s="1" t="s">
        <v>1333</v>
      </c>
    </row>
    <row r="631" spans="1:49" x14ac:dyDescent="0.15">
      <c r="A631" s="1" t="s">
        <v>697</v>
      </c>
      <c r="B631" s="1" t="s">
        <v>1334</v>
      </c>
      <c r="E631" s="1" t="s">
        <v>1335</v>
      </c>
    </row>
    <row r="632" spans="1:49" x14ac:dyDescent="0.15">
      <c r="A632" s="1" t="s">
        <v>697</v>
      </c>
      <c r="C632" s="2" t="s">
        <v>1336</v>
      </c>
      <c r="E632" s="1" t="s">
        <v>1337</v>
      </c>
    </row>
    <row r="633" spans="1:49" x14ac:dyDescent="0.15">
      <c r="A633" s="1" t="s">
        <v>697</v>
      </c>
      <c r="B633" s="1" t="s">
        <v>1338</v>
      </c>
      <c r="E633" s="1" t="s">
        <v>1339</v>
      </c>
    </row>
    <row r="634" spans="1:49" x14ac:dyDescent="0.15">
      <c r="A634" s="1" t="s">
        <v>697</v>
      </c>
      <c r="C634" s="2" t="s">
        <v>1340</v>
      </c>
      <c r="E634" s="1" t="s">
        <v>1341</v>
      </c>
      <c r="AW634" s="1" t="s">
        <v>1101</v>
      </c>
    </row>
    <row r="635" spans="1:49" x14ac:dyDescent="0.15">
      <c r="A635" s="1" t="s">
        <v>697</v>
      </c>
      <c r="C635" s="1" t="s">
        <v>1342</v>
      </c>
      <c r="K635" s="1" t="s">
        <v>1343</v>
      </c>
    </row>
    <row r="636" spans="1:49" x14ac:dyDescent="0.15">
      <c r="A636" s="1" t="s">
        <v>697</v>
      </c>
      <c r="C636" s="2" t="s">
        <v>1344</v>
      </c>
      <c r="K636" s="1" t="s">
        <v>1345</v>
      </c>
    </row>
    <row r="637" spans="1:49" x14ac:dyDescent="0.15">
      <c r="A637" s="1" t="s">
        <v>697</v>
      </c>
      <c r="B637" s="1" t="s">
        <v>1346</v>
      </c>
      <c r="E637" s="1" t="s">
        <v>1347</v>
      </c>
    </row>
    <row r="638" spans="1:49" x14ac:dyDescent="0.15">
      <c r="A638" s="1" t="s">
        <v>697</v>
      </c>
      <c r="C638" s="1" t="s">
        <v>1348</v>
      </c>
      <c r="F638" s="1" t="s">
        <v>193</v>
      </c>
      <c r="K638" s="1" t="s">
        <v>1349</v>
      </c>
    </row>
    <row r="639" spans="1:49" x14ac:dyDescent="0.15">
      <c r="A639" s="1" t="s">
        <v>697</v>
      </c>
      <c r="B639" s="1" t="s">
        <v>1350</v>
      </c>
      <c r="E639" s="1" t="s">
        <v>1351</v>
      </c>
    </row>
    <row r="640" spans="1:49" x14ac:dyDescent="0.15">
      <c r="A640" s="1" t="s">
        <v>697</v>
      </c>
      <c r="C640" s="1" t="s">
        <v>1352</v>
      </c>
      <c r="K640" s="1" t="s">
        <v>1353</v>
      </c>
    </row>
    <row r="641" spans="1:49" x14ac:dyDescent="0.15">
      <c r="A641" s="1" t="s">
        <v>697</v>
      </c>
      <c r="C641" s="1" t="s">
        <v>1354</v>
      </c>
      <c r="AW641" s="1" t="s">
        <v>0</v>
      </c>
    </row>
    <row r="642" spans="1:49" x14ac:dyDescent="0.15">
      <c r="A642" s="1" t="s">
        <v>697</v>
      </c>
      <c r="C642" s="1" t="s">
        <v>1355</v>
      </c>
      <c r="E642" s="1" t="s">
        <v>1356</v>
      </c>
      <c r="F642" s="1" t="s">
        <v>35</v>
      </c>
    </row>
    <row r="643" spans="1:49" x14ac:dyDescent="0.15">
      <c r="A643" s="1" t="s">
        <v>697</v>
      </c>
      <c r="B643" s="1" t="s">
        <v>1357</v>
      </c>
      <c r="E643" s="1" t="s">
        <v>1358</v>
      </c>
    </row>
    <row r="644" spans="1:49" x14ac:dyDescent="0.15">
      <c r="A644" s="1" t="s">
        <v>697</v>
      </c>
      <c r="C644" s="1" t="s">
        <v>1359</v>
      </c>
      <c r="K644" s="1" t="s">
        <v>1360</v>
      </c>
    </row>
    <row r="645" spans="1:49" x14ac:dyDescent="0.15">
      <c r="A645" s="1" t="s">
        <v>697</v>
      </c>
      <c r="C645" s="1" t="s">
        <v>1361</v>
      </c>
      <c r="K645" s="1" t="s">
        <v>1362</v>
      </c>
    </row>
    <row r="646" spans="1:49" x14ac:dyDescent="0.15">
      <c r="A646" s="1" t="s">
        <v>697</v>
      </c>
      <c r="C646" s="1" t="s">
        <v>1363</v>
      </c>
      <c r="K646" s="1" t="s">
        <v>1364</v>
      </c>
    </row>
    <row r="647" spans="1:49" x14ac:dyDescent="0.15">
      <c r="A647" s="1" t="s">
        <v>697</v>
      </c>
      <c r="C647" s="1" t="s">
        <v>1365</v>
      </c>
      <c r="K647" s="1" t="s">
        <v>1366</v>
      </c>
    </row>
    <row r="648" spans="1:49" x14ac:dyDescent="0.15">
      <c r="A648" s="1" t="s">
        <v>697</v>
      </c>
      <c r="C648" s="1" t="s">
        <v>1367</v>
      </c>
      <c r="E648" s="1" t="s">
        <v>1368</v>
      </c>
      <c r="K648" s="1" t="s">
        <v>1369</v>
      </c>
    </row>
    <row r="649" spans="1:49" x14ac:dyDescent="0.15">
      <c r="A649" s="1" t="s">
        <v>697</v>
      </c>
      <c r="C649" s="1" t="s">
        <v>1370</v>
      </c>
      <c r="K649" s="1" t="s">
        <v>1371</v>
      </c>
    </row>
    <row r="650" spans="1:49" x14ac:dyDescent="0.15">
      <c r="A650" s="1" t="s">
        <v>697</v>
      </c>
      <c r="C650" s="1" t="s">
        <v>1372</v>
      </c>
      <c r="K650" s="1" t="s">
        <v>1373</v>
      </c>
    </row>
    <row r="651" spans="1:49" x14ac:dyDescent="0.15">
      <c r="A651" s="1" t="s">
        <v>697</v>
      </c>
      <c r="C651" s="1" t="s">
        <v>1374</v>
      </c>
      <c r="K651" s="1" t="s">
        <v>1375</v>
      </c>
    </row>
    <row r="652" spans="1:49" x14ac:dyDescent="0.15">
      <c r="A652" s="1" t="s">
        <v>697</v>
      </c>
      <c r="C652" s="1" t="s">
        <v>1376</v>
      </c>
      <c r="E652" s="1" t="s">
        <v>1377</v>
      </c>
    </row>
    <row r="653" spans="1:49" x14ac:dyDescent="0.15">
      <c r="A653" s="1" t="s">
        <v>697</v>
      </c>
      <c r="C653" s="1" t="s">
        <v>1378</v>
      </c>
      <c r="K653" s="1" t="s">
        <v>1379</v>
      </c>
    </row>
    <row r="654" spans="1:49" x14ac:dyDescent="0.15">
      <c r="A654" s="1" t="s">
        <v>697</v>
      </c>
      <c r="C654" s="1" t="s">
        <v>1380</v>
      </c>
      <c r="E654" s="1" t="s">
        <v>1381</v>
      </c>
    </row>
    <row r="655" spans="1:49" x14ac:dyDescent="0.15">
      <c r="A655" s="1" t="s">
        <v>697</v>
      </c>
      <c r="C655" s="1" t="s">
        <v>1382</v>
      </c>
      <c r="K655" s="1" t="s">
        <v>1383</v>
      </c>
    </row>
    <row r="656" spans="1:49" x14ac:dyDescent="0.15">
      <c r="A656" s="1" t="s">
        <v>697</v>
      </c>
      <c r="C656" s="1" t="s">
        <v>728</v>
      </c>
      <c r="F656" s="1" t="s">
        <v>1384</v>
      </c>
      <c r="K656" s="1" t="s">
        <v>1385</v>
      </c>
    </row>
    <row r="657" spans="1:49" x14ac:dyDescent="0.15">
      <c r="A657" s="1" t="s">
        <v>697</v>
      </c>
      <c r="B657" s="1" t="s">
        <v>1386</v>
      </c>
      <c r="E657" s="1" t="s">
        <v>1387</v>
      </c>
    </row>
    <row r="658" spans="1:49" x14ac:dyDescent="0.15">
      <c r="A658" s="1" t="s">
        <v>697</v>
      </c>
      <c r="B658" s="1" t="s">
        <v>1388</v>
      </c>
      <c r="E658" s="1" t="s">
        <v>1389</v>
      </c>
    </row>
    <row r="659" spans="1:49" x14ac:dyDescent="0.15">
      <c r="A659" s="1" t="s">
        <v>697</v>
      </c>
      <c r="C659" s="2" t="s">
        <v>1390</v>
      </c>
      <c r="E659" s="1" t="s">
        <v>1391</v>
      </c>
    </row>
    <row r="660" spans="1:49" x14ac:dyDescent="0.15">
      <c r="A660" s="1" t="s">
        <v>697</v>
      </c>
      <c r="B660" s="1" t="s">
        <v>1392</v>
      </c>
      <c r="E660" s="1" t="s">
        <v>1393</v>
      </c>
    </row>
    <row r="661" spans="1:49" x14ac:dyDescent="0.15">
      <c r="A661" s="1" t="s">
        <v>697</v>
      </c>
      <c r="C661" s="1" t="s">
        <v>1394</v>
      </c>
      <c r="E661" s="1" t="s">
        <v>1395</v>
      </c>
    </row>
    <row r="662" spans="1:49" x14ac:dyDescent="0.15">
      <c r="A662" s="1" t="s">
        <v>697</v>
      </c>
      <c r="C662" s="1" t="s">
        <v>1396</v>
      </c>
      <c r="K662" s="1" t="s">
        <v>1397</v>
      </c>
    </row>
    <row r="663" spans="1:49" x14ac:dyDescent="0.15">
      <c r="A663" s="1" t="s">
        <v>697</v>
      </c>
      <c r="C663" s="1" t="s">
        <v>1398</v>
      </c>
      <c r="K663" s="1" t="s">
        <v>1399</v>
      </c>
    </row>
    <row r="664" spans="1:49" x14ac:dyDescent="0.15">
      <c r="A664" s="1" t="s">
        <v>697</v>
      </c>
      <c r="C664" s="1" t="s">
        <v>1400</v>
      </c>
      <c r="F664" s="1" t="s">
        <v>1401</v>
      </c>
      <c r="AW664" s="1" t="s">
        <v>164</v>
      </c>
    </row>
    <row r="665" spans="1:49" x14ac:dyDescent="0.15">
      <c r="A665" s="1" t="s">
        <v>697</v>
      </c>
      <c r="C665" s="1" t="s">
        <v>1402</v>
      </c>
      <c r="K665" s="1" t="s">
        <v>1403</v>
      </c>
    </row>
    <row r="666" spans="1:49" x14ac:dyDescent="0.15">
      <c r="A666" s="1" t="s">
        <v>1410</v>
      </c>
      <c r="B666" s="1" t="s">
        <v>1418</v>
      </c>
      <c r="E666" s="1" t="s">
        <v>1419</v>
      </c>
      <c r="AG666" s="1" t="s">
        <v>1420</v>
      </c>
    </row>
    <row r="667" spans="1:49" x14ac:dyDescent="0.15">
      <c r="A667" s="1" t="s">
        <v>1410</v>
      </c>
      <c r="C667" s="2" t="s">
        <v>1421</v>
      </c>
      <c r="E667" s="1" t="s">
        <v>1422</v>
      </c>
    </row>
    <row r="668" spans="1:49" x14ac:dyDescent="0.15">
      <c r="A668" s="1" t="s">
        <v>1410</v>
      </c>
      <c r="B668" s="1" t="s">
        <v>1423</v>
      </c>
      <c r="E668" s="1" t="s">
        <v>1424</v>
      </c>
    </row>
    <row r="669" spans="1:49" x14ac:dyDescent="0.15">
      <c r="A669" s="1" t="s">
        <v>1410</v>
      </c>
      <c r="C669" s="2" t="s">
        <v>1425</v>
      </c>
      <c r="E669" s="1" t="s">
        <v>1426</v>
      </c>
    </row>
    <row r="670" spans="1:49" x14ac:dyDescent="0.15">
      <c r="A670" s="1" t="s">
        <v>1447</v>
      </c>
      <c r="C670" s="2" t="s">
        <v>1448</v>
      </c>
      <c r="E670" s="1" t="s">
        <v>1449</v>
      </c>
    </row>
    <row r="671" spans="1:49" x14ac:dyDescent="0.15">
      <c r="A671" s="1" t="s">
        <v>1447</v>
      </c>
      <c r="C671" s="2" t="s">
        <v>1450</v>
      </c>
      <c r="E671" s="1" t="s">
        <v>1451</v>
      </c>
    </row>
    <row r="672" spans="1:49" x14ac:dyDescent="0.15">
      <c r="A672" s="1" t="s">
        <v>1447</v>
      </c>
      <c r="C672" s="1" t="s">
        <v>1452</v>
      </c>
      <c r="E672" s="1" t="s">
        <v>1453</v>
      </c>
    </row>
    <row r="673" spans="1:49" x14ac:dyDescent="0.15">
      <c r="A673" s="1" t="s">
        <v>1447</v>
      </c>
      <c r="B673" s="1" t="s">
        <v>1454</v>
      </c>
      <c r="E673" s="1" t="s">
        <v>1455</v>
      </c>
    </row>
    <row r="674" spans="1:49" x14ac:dyDescent="0.15">
      <c r="A674" s="1" t="s">
        <v>1447</v>
      </c>
      <c r="C674" s="2" t="s">
        <v>1456</v>
      </c>
      <c r="E674" s="1" t="s">
        <v>1457</v>
      </c>
    </row>
    <row r="675" spans="1:49" x14ac:dyDescent="0.15">
      <c r="A675" s="1" t="s">
        <v>1447</v>
      </c>
      <c r="C675" s="2" t="s">
        <v>1458</v>
      </c>
      <c r="K675" s="1" t="s">
        <v>1459</v>
      </c>
    </row>
    <row r="676" spans="1:49" x14ac:dyDescent="0.15">
      <c r="A676" s="1" t="s">
        <v>1447</v>
      </c>
      <c r="C676" s="2" t="s">
        <v>1460</v>
      </c>
      <c r="E676" s="1" t="s">
        <v>1461</v>
      </c>
      <c r="AG676" s="1" t="s">
        <v>1462</v>
      </c>
    </row>
    <row r="677" spans="1:49" x14ac:dyDescent="0.15">
      <c r="A677" s="1" t="s">
        <v>1447</v>
      </c>
      <c r="C677" s="1" t="s">
        <v>1460</v>
      </c>
      <c r="K677" s="1" t="s">
        <v>1463</v>
      </c>
    </row>
    <row r="678" spans="1:49" x14ac:dyDescent="0.15">
      <c r="A678" s="1" t="s">
        <v>1447</v>
      </c>
      <c r="C678" s="2" t="s">
        <v>1464</v>
      </c>
      <c r="E678" s="1" t="s">
        <v>1465</v>
      </c>
    </row>
    <row r="679" spans="1:49" x14ac:dyDescent="0.15">
      <c r="A679" s="1" t="s">
        <v>1447</v>
      </c>
      <c r="C679" s="1" t="s">
        <v>1464</v>
      </c>
      <c r="K679" s="1" t="s">
        <v>1466</v>
      </c>
    </row>
    <row r="680" spans="1:49" x14ac:dyDescent="0.15">
      <c r="A680" s="1" t="s">
        <v>1447</v>
      </c>
      <c r="B680" s="1" t="s">
        <v>655</v>
      </c>
      <c r="E680" s="1" t="s">
        <v>1467</v>
      </c>
    </row>
    <row r="681" spans="1:49" x14ac:dyDescent="0.15">
      <c r="A681" s="1" t="s">
        <v>1447</v>
      </c>
      <c r="C681" s="2" t="s">
        <v>1468</v>
      </c>
      <c r="E681" s="1" t="s">
        <v>1469</v>
      </c>
      <c r="F681" s="1" t="s">
        <v>1470</v>
      </c>
      <c r="AG681" s="1" t="s">
        <v>1471</v>
      </c>
      <c r="AH681" s="1" t="s">
        <v>1471</v>
      </c>
      <c r="AW681" s="1" t="s">
        <v>218</v>
      </c>
    </row>
    <row r="682" spans="1:49" x14ac:dyDescent="0.15">
      <c r="A682" s="1" t="s">
        <v>1447</v>
      </c>
      <c r="C682" s="2" t="s">
        <v>1472</v>
      </c>
      <c r="E682" s="1" t="s">
        <v>1473</v>
      </c>
      <c r="F682" s="1" t="s">
        <v>1474</v>
      </c>
      <c r="N682" s="1"/>
      <c r="O682" s="1" t="s">
        <v>149</v>
      </c>
      <c r="AW682" s="1" t="s">
        <v>218</v>
      </c>
    </row>
    <row r="683" spans="1:49" x14ac:dyDescent="0.15">
      <c r="A683" s="1" t="s">
        <v>1447</v>
      </c>
      <c r="C683" s="2" t="s">
        <v>1475</v>
      </c>
      <c r="E683" s="1" t="s">
        <v>1476</v>
      </c>
      <c r="F683" s="1" t="s">
        <v>1477</v>
      </c>
      <c r="N683" s="1" t="s">
        <v>148</v>
      </c>
      <c r="O683" s="1" t="s">
        <v>149</v>
      </c>
      <c r="AG683" s="1" t="s">
        <v>1478</v>
      </c>
      <c r="AH683" s="1" t="s">
        <v>1478</v>
      </c>
      <c r="AW683" s="1" t="s">
        <v>218</v>
      </c>
    </row>
    <row r="684" spans="1:49" x14ac:dyDescent="0.15">
      <c r="A684" s="1" t="s">
        <v>1447</v>
      </c>
      <c r="C684" s="1" t="s">
        <v>1479</v>
      </c>
      <c r="F684" s="1" t="s">
        <v>1480</v>
      </c>
      <c r="AW684" s="1" t="s">
        <v>218</v>
      </c>
    </row>
    <row r="685" spans="1:49" x14ac:dyDescent="0.15">
      <c r="A685" s="1" t="s">
        <v>1447</v>
      </c>
      <c r="C685" s="1" t="s">
        <v>1479</v>
      </c>
      <c r="F685" s="1" t="s">
        <v>1481</v>
      </c>
      <c r="AW685" s="1" t="s">
        <v>218</v>
      </c>
    </row>
    <row r="686" spans="1:49" x14ac:dyDescent="0.15">
      <c r="A686" s="1" t="s">
        <v>1447</v>
      </c>
      <c r="C686" s="2" t="s">
        <v>1482</v>
      </c>
      <c r="K686" s="1" t="s">
        <v>1483</v>
      </c>
    </row>
    <row r="687" spans="1:49" x14ac:dyDescent="0.15">
      <c r="A687" s="1" t="s">
        <v>1447</v>
      </c>
      <c r="C687" s="2" t="s">
        <v>1484</v>
      </c>
      <c r="F687" s="1" t="s">
        <v>1485</v>
      </c>
      <c r="K687" s="1" t="s">
        <v>1486</v>
      </c>
      <c r="N687" s="1" t="s">
        <v>148</v>
      </c>
      <c r="O687" s="1" t="s">
        <v>149</v>
      </c>
      <c r="R687" s="1" t="s">
        <v>1487</v>
      </c>
      <c r="S687" s="1"/>
      <c r="T687" s="1"/>
      <c r="AW687" s="1" t="s">
        <v>218</v>
      </c>
    </row>
    <row r="688" spans="1:49" x14ac:dyDescent="0.15">
      <c r="A688" s="1" t="s">
        <v>1447</v>
      </c>
      <c r="C688" s="1" t="s">
        <v>1484</v>
      </c>
      <c r="E688" s="1" t="s">
        <v>1488</v>
      </c>
    </row>
    <row r="689" spans="1:33" x14ac:dyDescent="0.15">
      <c r="A689" s="1" t="s">
        <v>1447</v>
      </c>
      <c r="C689" s="1" t="s">
        <v>1484</v>
      </c>
      <c r="K689" s="1" t="s">
        <v>1489</v>
      </c>
    </row>
    <row r="690" spans="1:33" x14ac:dyDescent="0.15">
      <c r="A690" s="1" t="s">
        <v>1447</v>
      </c>
      <c r="C690" s="1" t="s">
        <v>1490</v>
      </c>
      <c r="K690" s="1" t="s">
        <v>1491</v>
      </c>
    </row>
    <row r="691" spans="1:33" x14ac:dyDescent="0.15">
      <c r="A691" s="1" t="s">
        <v>1447</v>
      </c>
      <c r="C691" s="1" t="s">
        <v>1492</v>
      </c>
      <c r="E691" s="1" t="s">
        <v>1493</v>
      </c>
      <c r="F691" s="1" t="s">
        <v>245</v>
      </c>
      <c r="N691" s="1" t="s">
        <v>1494</v>
      </c>
      <c r="O691" s="1" t="s">
        <v>149</v>
      </c>
      <c r="AG691" s="1" t="s">
        <v>247</v>
      </c>
    </row>
    <row r="692" spans="1:33" x14ac:dyDescent="0.15">
      <c r="A692" s="1" t="s">
        <v>1447</v>
      </c>
      <c r="C692" s="1" t="s">
        <v>219</v>
      </c>
      <c r="E692" s="1" t="s">
        <v>1495</v>
      </c>
    </row>
    <row r="693" spans="1:33" x14ac:dyDescent="0.15">
      <c r="A693" s="1" t="s">
        <v>1447</v>
      </c>
      <c r="C693" s="1" t="s">
        <v>219</v>
      </c>
      <c r="K693" s="1" t="s">
        <v>1496</v>
      </c>
    </row>
    <row r="694" spans="1:33" x14ac:dyDescent="0.15">
      <c r="A694" s="1" t="s">
        <v>1447</v>
      </c>
      <c r="C694" s="1" t="s">
        <v>1497</v>
      </c>
      <c r="E694" s="1" t="s">
        <v>1498</v>
      </c>
      <c r="F694" s="1" t="s">
        <v>220</v>
      </c>
      <c r="N694" s="1" t="s">
        <v>1499</v>
      </c>
      <c r="O694" s="1" t="s">
        <v>149</v>
      </c>
    </row>
    <row r="695" spans="1:33" x14ac:dyDescent="0.15">
      <c r="A695" s="1" t="s">
        <v>1447</v>
      </c>
      <c r="C695" s="1" t="s">
        <v>1500</v>
      </c>
      <c r="E695" s="1" t="s">
        <v>1501</v>
      </c>
    </row>
    <row r="696" spans="1:33" x14ac:dyDescent="0.15">
      <c r="A696" s="1" t="s">
        <v>1447</v>
      </c>
      <c r="B696" s="1" t="s">
        <v>1502</v>
      </c>
      <c r="E696" s="1" t="s">
        <v>1503</v>
      </c>
    </row>
    <row r="697" spans="1:33" x14ac:dyDescent="0.15">
      <c r="A697" s="1" t="s">
        <v>1447</v>
      </c>
      <c r="C697" s="2" t="s">
        <v>1504</v>
      </c>
      <c r="E697" s="1" t="s">
        <v>1505</v>
      </c>
    </row>
    <row r="698" spans="1:33" x14ac:dyDescent="0.15">
      <c r="A698" s="1" t="s">
        <v>1447</v>
      </c>
      <c r="C698" s="2" t="s">
        <v>1506</v>
      </c>
      <c r="E698" s="1" t="s">
        <v>1507</v>
      </c>
    </row>
    <row r="699" spans="1:33" x14ac:dyDescent="0.15">
      <c r="A699" s="1" t="s">
        <v>1447</v>
      </c>
      <c r="B699" s="1" t="s">
        <v>1508</v>
      </c>
      <c r="E699" s="1" t="s">
        <v>1509</v>
      </c>
    </row>
    <row r="700" spans="1:33" x14ac:dyDescent="0.15">
      <c r="A700" s="1" t="s">
        <v>1447</v>
      </c>
      <c r="C700" s="1" t="s">
        <v>1510</v>
      </c>
      <c r="E700" s="1" t="s">
        <v>1469</v>
      </c>
    </row>
    <row r="701" spans="1:33" x14ac:dyDescent="0.15">
      <c r="A701" s="1" t="s">
        <v>1447</v>
      </c>
      <c r="C701" s="1" t="s">
        <v>1511</v>
      </c>
      <c r="E701" s="1" t="s">
        <v>1512</v>
      </c>
    </row>
    <row r="702" spans="1:33" x14ac:dyDescent="0.15">
      <c r="A702" s="1" t="s">
        <v>1447</v>
      </c>
      <c r="C702" s="1" t="s">
        <v>1513</v>
      </c>
      <c r="E702" s="1" t="s">
        <v>1473</v>
      </c>
    </row>
    <row r="703" spans="1:33" x14ac:dyDescent="0.15">
      <c r="A703" s="1" t="s">
        <v>1447</v>
      </c>
      <c r="C703" s="1" t="s">
        <v>1514</v>
      </c>
      <c r="E703" s="1" t="s">
        <v>1476</v>
      </c>
    </row>
    <row r="704" spans="1:33" x14ac:dyDescent="0.15">
      <c r="A704" s="1" t="s">
        <v>1447</v>
      </c>
      <c r="C704" s="2" t="s">
        <v>1515</v>
      </c>
      <c r="E704" s="1" t="s">
        <v>1516</v>
      </c>
    </row>
    <row r="705" spans="1:49" x14ac:dyDescent="0.15">
      <c r="A705" s="1" t="s">
        <v>1447</v>
      </c>
      <c r="C705" s="1" t="s">
        <v>1517</v>
      </c>
      <c r="K705" s="1" t="s">
        <v>1518</v>
      </c>
    </row>
    <row r="706" spans="1:49" x14ac:dyDescent="0.15">
      <c r="A706" s="1" t="s">
        <v>1447</v>
      </c>
      <c r="C706" s="2" t="s">
        <v>1519</v>
      </c>
      <c r="E706" s="1" t="s">
        <v>1520</v>
      </c>
    </row>
    <row r="707" spans="1:49" x14ac:dyDescent="0.15">
      <c r="A707" s="1" t="s">
        <v>1447</v>
      </c>
      <c r="C707" s="2" t="s">
        <v>1521</v>
      </c>
      <c r="K707" s="1" t="s">
        <v>1522</v>
      </c>
    </row>
    <row r="708" spans="1:49" x14ac:dyDescent="0.15">
      <c r="A708" s="1" t="s">
        <v>1447</v>
      </c>
      <c r="C708" s="1" t="s">
        <v>1521</v>
      </c>
      <c r="E708" s="1" t="s">
        <v>1523</v>
      </c>
    </row>
    <row r="709" spans="1:49" x14ac:dyDescent="0.15">
      <c r="A709" s="1" t="s">
        <v>1447</v>
      </c>
      <c r="C709" s="2" t="s">
        <v>1524</v>
      </c>
      <c r="E709" s="1" t="s">
        <v>1525</v>
      </c>
    </row>
    <row r="710" spans="1:49" x14ac:dyDescent="0.15">
      <c r="A710" s="1" t="s">
        <v>1447</v>
      </c>
      <c r="C710" s="2" t="s">
        <v>1526</v>
      </c>
      <c r="E710" s="1" t="s">
        <v>1527</v>
      </c>
    </row>
    <row r="711" spans="1:49" x14ac:dyDescent="0.15">
      <c r="A711" s="1" t="s">
        <v>1447</v>
      </c>
      <c r="C711" s="1" t="s">
        <v>1526</v>
      </c>
      <c r="E711" s="1" t="s">
        <v>1528</v>
      </c>
    </row>
    <row r="712" spans="1:49" x14ac:dyDescent="0.15">
      <c r="A712" s="1" t="s">
        <v>1447</v>
      </c>
      <c r="C712" s="2" t="s">
        <v>1529</v>
      </c>
      <c r="E712" s="1" t="s">
        <v>1512</v>
      </c>
    </row>
    <row r="713" spans="1:49" x14ac:dyDescent="0.15">
      <c r="A713" s="1" t="s">
        <v>1447</v>
      </c>
      <c r="B713" s="1" t="s">
        <v>1529</v>
      </c>
      <c r="E713" s="1" t="s">
        <v>1530</v>
      </c>
    </row>
    <row r="714" spans="1:49" x14ac:dyDescent="0.15">
      <c r="A714" s="1" t="s">
        <v>1447</v>
      </c>
      <c r="C714" s="2" t="s">
        <v>1531</v>
      </c>
      <c r="E714" s="1" t="s">
        <v>1532</v>
      </c>
    </row>
    <row r="715" spans="1:49" x14ac:dyDescent="0.15">
      <c r="A715" s="1" t="s">
        <v>1447</v>
      </c>
      <c r="B715" s="1" t="s">
        <v>1533</v>
      </c>
      <c r="E715" s="1" t="s">
        <v>1534</v>
      </c>
    </row>
    <row r="716" spans="1:49" x14ac:dyDescent="0.15">
      <c r="A716" s="1" t="s">
        <v>1535</v>
      </c>
      <c r="C716" s="2" t="s">
        <v>1536</v>
      </c>
      <c r="E716" s="1" t="s">
        <v>1537</v>
      </c>
      <c r="AW716" s="1" t="s">
        <v>1101</v>
      </c>
    </row>
    <row r="717" spans="1:49" x14ac:dyDescent="0.15">
      <c r="A717" s="1" t="s">
        <v>1535</v>
      </c>
      <c r="B717" s="1" t="s">
        <v>1538</v>
      </c>
      <c r="E717" s="1" t="s">
        <v>1539</v>
      </c>
    </row>
    <row r="718" spans="1:49" x14ac:dyDescent="0.15">
      <c r="A718" s="1" t="s">
        <v>1535</v>
      </c>
      <c r="C718" s="2" t="s">
        <v>1540</v>
      </c>
      <c r="E718" s="1" t="s">
        <v>1541</v>
      </c>
      <c r="AW718" s="1" t="s">
        <v>1101</v>
      </c>
    </row>
    <row r="719" spans="1:49" x14ac:dyDescent="0.15">
      <c r="A719" s="1" t="s">
        <v>1535</v>
      </c>
      <c r="C719" s="2" t="s">
        <v>1542</v>
      </c>
      <c r="E719" s="1" t="s">
        <v>1543</v>
      </c>
      <c r="AW719" s="1" t="s">
        <v>1101</v>
      </c>
    </row>
    <row r="720" spans="1:49" x14ac:dyDescent="0.15">
      <c r="A720" s="1" t="s">
        <v>1535</v>
      </c>
      <c r="C720" s="1" t="s">
        <v>1544</v>
      </c>
      <c r="E720" s="1" t="s">
        <v>1545</v>
      </c>
      <c r="AW720" s="1" t="s">
        <v>1101</v>
      </c>
    </row>
    <row r="721" spans="1:50" x14ac:dyDescent="0.15">
      <c r="A721" s="1" t="s">
        <v>1535</v>
      </c>
      <c r="C721" s="2" t="s">
        <v>1546</v>
      </c>
      <c r="E721" s="1" t="s">
        <v>1547</v>
      </c>
      <c r="AW721" s="1" t="s">
        <v>1101</v>
      </c>
    </row>
    <row r="722" spans="1:50" x14ac:dyDescent="0.15">
      <c r="A722" s="1" t="s">
        <v>1535</v>
      </c>
      <c r="C722" s="2" t="s">
        <v>1548</v>
      </c>
      <c r="E722" s="1" t="s">
        <v>1549</v>
      </c>
      <c r="AW722" s="1" t="s">
        <v>1101</v>
      </c>
    </row>
    <row r="723" spans="1:50" x14ac:dyDescent="0.15">
      <c r="A723" s="1" t="s">
        <v>1535</v>
      </c>
      <c r="C723" s="2" t="s">
        <v>1550</v>
      </c>
      <c r="E723" s="1" t="s">
        <v>1551</v>
      </c>
      <c r="K723" s="1" t="s">
        <v>1552</v>
      </c>
      <c r="AG723" s="1" t="s">
        <v>1551</v>
      </c>
      <c r="AW723" s="1" t="s">
        <v>1101</v>
      </c>
    </row>
    <row r="724" spans="1:50" x14ac:dyDescent="0.15">
      <c r="A724" s="1" t="s">
        <v>1535</v>
      </c>
      <c r="C724" s="1" t="s">
        <v>1553</v>
      </c>
      <c r="E724" s="1" t="s">
        <v>1554</v>
      </c>
      <c r="AG724" s="1" t="s">
        <v>1555</v>
      </c>
      <c r="AH724" s="1" t="s">
        <v>1555</v>
      </c>
      <c r="AW724" s="1" t="s">
        <v>1101</v>
      </c>
    </row>
    <row r="725" spans="1:50" x14ac:dyDescent="0.15">
      <c r="A725" s="1" t="s">
        <v>1535</v>
      </c>
      <c r="C725" s="2" t="s">
        <v>1556</v>
      </c>
      <c r="E725" s="1" t="s">
        <v>1557</v>
      </c>
      <c r="AW725" s="1" t="s">
        <v>1101</v>
      </c>
    </row>
    <row r="726" spans="1:50" x14ac:dyDescent="0.15">
      <c r="A726" s="1" t="s">
        <v>940</v>
      </c>
      <c r="B726" s="1" t="s">
        <v>1613</v>
      </c>
      <c r="E726" s="1" t="s">
        <v>1614</v>
      </c>
      <c r="F726" s="1" t="s">
        <v>1615</v>
      </c>
      <c r="AG726" s="1" t="s">
        <v>1616</v>
      </c>
    </row>
    <row r="727" spans="1:50" x14ac:dyDescent="0.15">
      <c r="A727" s="1" t="s">
        <v>940</v>
      </c>
      <c r="C727" s="1" t="s">
        <v>1479</v>
      </c>
      <c r="E727" s="1" t="s">
        <v>1617</v>
      </c>
      <c r="F727" s="1" t="s">
        <v>644</v>
      </c>
      <c r="R727" s="1" t="s">
        <v>940</v>
      </c>
      <c r="AG727" s="1" t="s">
        <v>1618</v>
      </c>
      <c r="AH727" s="1" t="s">
        <v>1618</v>
      </c>
      <c r="AW727" s="1" t="s">
        <v>1447</v>
      </c>
      <c r="AX727" s="1" t="s">
        <v>80</v>
      </c>
    </row>
    <row r="728" spans="1:50" x14ac:dyDescent="0.15">
      <c r="A728" s="1" t="s">
        <v>940</v>
      </c>
      <c r="B728" s="1" t="s">
        <v>1619</v>
      </c>
      <c r="E728" s="1" t="s">
        <v>1620</v>
      </c>
      <c r="AG728" s="1" t="s">
        <v>1621</v>
      </c>
    </row>
    <row r="729" spans="1:50" x14ac:dyDescent="0.15">
      <c r="A729" s="1" t="s">
        <v>940</v>
      </c>
      <c r="B729" s="1" t="s">
        <v>1622</v>
      </c>
      <c r="E729" s="1" t="s">
        <v>1623</v>
      </c>
      <c r="F729" s="1" t="s">
        <v>1624</v>
      </c>
      <c r="AG729" s="1" t="s">
        <v>1625</v>
      </c>
    </row>
    <row r="730" spans="1:50" x14ac:dyDescent="0.15">
      <c r="A730" s="1" t="s">
        <v>940</v>
      </c>
      <c r="B730" s="1" t="s">
        <v>467</v>
      </c>
      <c r="E730" s="1" t="s">
        <v>1626</v>
      </c>
      <c r="AG730" s="1" t="s">
        <v>1627</v>
      </c>
    </row>
    <row r="731" spans="1:50" x14ac:dyDescent="0.15">
      <c r="A731" s="1" t="s">
        <v>940</v>
      </c>
      <c r="B731" s="1" t="s">
        <v>1628</v>
      </c>
      <c r="E731" s="1" t="s">
        <v>1629</v>
      </c>
      <c r="F731" s="1" t="s">
        <v>1630</v>
      </c>
      <c r="AG731" s="1" t="s">
        <v>1631</v>
      </c>
    </row>
    <row r="732" spans="1:50" x14ac:dyDescent="0.15">
      <c r="A732" s="1" t="s">
        <v>940</v>
      </c>
      <c r="B732" s="1" t="s">
        <v>1650</v>
      </c>
      <c r="E732" s="1" t="s">
        <v>1651</v>
      </c>
    </row>
    <row r="733" spans="1:50" x14ac:dyDescent="0.15">
      <c r="A733" s="1" t="s">
        <v>1667</v>
      </c>
      <c r="B733" s="1" t="s">
        <v>1722</v>
      </c>
      <c r="C733" s="1" t="s">
        <v>1723</v>
      </c>
      <c r="E733" s="1" t="s">
        <v>1724</v>
      </c>
      <c r="F733" s="1" t="s">
        <v>1725</v>
      </c>
      <c r="G733" s="1" t="s">
        <v>1726</v>
      </c>
      <c r="T733" s="1" t="s">
        <v>1727</v>
      </c>
      <c r="U733" s="1" t="s">
        <v>1058</v>
      </c>
      <c r="V733" s="1" t="s">
        <v>1728</v>
      </c>
      <c r="AD733" s="1" t="s">
        <v>1060</v>
      </c>
    </row>
    <row r="734" spans="1:50" x14ac:dyDescent="0.15">
      <c r="A734" s="1" t="s">
        <v>1729</v>
      </c>
      <c r="B734" s="1" t="s">
        <v>1730</v>
      </c>
      <c r="F734" s="1" t="s">
        <v>1731</v>
      </c>
      <c r="AW734" s="1" t="s">
        <v>858</v>
      </c>
    </row>
    <row r="735" spans="1:50" x14ac:dyDescent="0.15">
      <c r="A735" s="1" t="s">
        <v>1729</v>
      </c>
      <c r="B735" s="1" t="s">
        <v>1732</v>
      </c>
      <c r="E735" s="1" t="s">
        <v>1733</v>
      </c>
      <c r="AG735" s="1" t="s">
        <v>1734</v>
      </c>
      <c r="AH735" s="1" t="s">
        <v>1734</v>
      </c>
      <c r="AW735" s="1" t="s">
        <v>858</v>
      </c>
    </row>
    <row r="736" spans="1:50" x14ac:dyDescent="0.15">
      <c r="A736" s="1" t="s">
        <v>1729</v>
      </c>
      <c r="B736" s="1" t="s">
        <v>1735</v>
      </c>
      <c r="E736" s="1" t="s">
        <v>1736</v>
      </c>
      <c r="AW736" s="1" t="s">
        <v>858</v>
      </c>
    </row>
    <row r="737" spans="1:49" x14ac:dyDescent="0.15">
      <c r="A737" s="1" t="s">
        <v>1729</v>
      </c>
      <c r="B737" s="1" t="s">
        <v>1737</v>
      </c>
      <c r="E737" s="1" t="s">
        <v>1738</v>
      </c>
      <c r="AW737" s="1" t="s">
        <v>858</v>
      </c>
    </row>
    <row r="738" spans="1:49" x14ac:dyDescent="0.15">
      <c r="A738" s="1" t="s">
        <v>1729</v>
      </c>
      <c r="B738" s="1" t="s">
        <v>1739</v>
      </c>
      <c r="E738" s="1" t="s">
        <v>1740</v>
      </c>
      <c r="AG738" s="1" t="s">
        <v>1741</v>
      </c>
      <c r="AH738" s="1" t="s">
        <v>1741</v>
      </c>
      <c r="AW738" s="1" t="s">
        <v>858</v>
      </c>
    </row>
    <row r="739" spans="1:49" x14ac:dyDescent="0.15">
      <c r="A739" s="1" t="s">
        <v>1729</v>
      </c>
      <c r="B739" s="1" t="s">
        <v>1742</v>
      </c>
      <c r="E739" s="1" t="s">
        <v>1743</v>
      </c>
      <c r="AW739" s="1" t="s">
        <v>858</v>
      </c>
    </row>
    <row r="740" spans="1:49" x14ac:dyDescent="0.15">
      <c r="A740" s="1" t="s">
        <v>1729</v>
      </c>
      <c r="B740" s="1" t="s">
        <v>1744</v>
      </c>
      <c r="E740" s="1" t="s">
        <v>1745</v>
      </c>
      <c r="AW740" s="1" t="s">
        <v>858</v>
      </c>
    </row>
    <row r="741" spans="1:49" x14ac:dyDescent="0.15">
      <c r="A741" s="1" t="s">
        <v>1729</v>
      </c>
      <c r="B741" s="1" t="s">
        <v>1746</v>
      </c>
      <c r="E741" s="1" t="s">
        <v>1747</v>
      </c>
      <c r="AW741" s="1" t="s">
        <v>858</v>
      </c>
    </row>
    <row r="742" spans="1:49" x14ac:dyDescent="0.15">
      <c r="A742" s="1" t="s">
        <v>1729</v>
      </c>
      <c r="B742" s="1" t="s">
        <v>1748</v>
      </c>
      <c r="E742" s="1" t="s">
        <v>1749</v>
      </c>
      <c r="AG742" s="1" t="s">
        <v>1750</v>
      </c>
      <c r="AH742" s="1" t="s">
        <v>1750</v>
      </c>
      <c r="AW742" s="1" t="s">
        <v>858</v>
      </c>
    </row>
    <row r="743" spans="1:49" x14ac:dyDescent="0.15">
      <c r="A743" s="1" t="s">
        <v>858</v>
      </c>
      <c r="C743" s="2" t="s">
        <v>2799</v>
      </c>
      <c r="K743" s="1" t="s">
        <v>2800</v>
      </c>
    </row>
    <row r="744" spans="1:49" x14ac:dyDescent="0.15">
      <c r="A744" s="1" t="s">
        <v>858</v>
      </c>
      <c r="C744" s="1" t="s">
        <v>2801</v>
      </c>
      <c r="F744" s="1" t="s">
        <v>2802</v>
      </c>
      <c r="AW744" s="1" t="s">
        <v>0</v>
      </c>
    </row>
    <row r="745" spans="1:49" x14ac:dyDescent="0.15">
      <c r="A745" s="1" t="s">
        <v>858</v>
      </c>
      <c r="B745" s="1" t="s">
        <v>2803</v>
      </c>
      <c r="C745" s="2"/>
      <c r="E745" s="1" t="s">
        <v>2804</v>
      </c>
    </row>
    <row r="746" spans="1:49" x14ac:dyDescent="0.15">
      <c r="A746" s="1" t="s">
        <v>858</v>
      </c>
      <c r="B746" s="1" t="s">
        <v>2805</v>
      </c>
      <c r="E746" s="1" t="s">
        <v>2806</v>
      </c>
      <c r="R746" s="1" t="s">
        <v>2807</v>
      </c>
    </row>
    <row r="747" spans="1:49" x14ac:dyDescent="0.15">
      <c r="A747" s="1" t="s">
        <v>858</v>
      </c>
      <c r="C747" s="1" t="s">
        <v>2808</v>
      </c>
      <c r="K747" s="1" t="s">
        <v>2809</v>
      </c>
    </row>
    <row r="748" spans="1:49" x14ac:dyDescent="0.15">
      <c r="A748" s="1" t="s">
        <v>858</v>
      </c>
      <c r="B748" s="1" t="s">
        <v>2810</v>
      </c>
      <c r="E748" s="1" t="s">
        <v>2811</v>
      </c>
    </row>
    <row r="749" spans="1:49" x14ac:dyDescent="0.15">
      <c r="A749" s="1" t="s">
        <v>858</v>
      </c>
      <c r="C749" s="1" t="s">
        <v>2812</v>
      </c>
      <c r="K749" s="1" t="s">
        <v>2813</v>
      </c>
    </row>
    <row r="750" spans="1:49" x14ac:dyDescent="0.15">
      <c r="A750" s="1" t="s">
        <v>858</v>
      </c>
      <c r="B750" s="1" t="s">
        <v>2814</v>
      </c>
      <c r="C750" s="2"/>
      <c r="E750" s="1" t="s">
        <v>2815</v>
      </c>
      <c r="AG750" s="1" t="s">
        <v>2816</v>
      </c>
      <c r="AH750" s="1" t="s">
        <v>2817</v>
      </c>
    </row>
    <row r="751" spans="1:49" x14ac:dyDescent="0.15">
      <c r="A751" s="1" t="s">
        <v>858</v>
      </c>
      <c r="C751" s="1" t="s">
        <v>2818</v>
      </c>
      <c r="K751" s="1" t="s">
        <v>2819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1"/>
  <sheetViews>
    <sheetView topLeftCell="A46" workbookViewId="0">
      <selection activeCell="E27" sqref="E27"/>
    </sheetView>
  </sheetViews>
  <sheetFormatPr defaultColWidth="9.00390625" defaultRowHeight="14.25" x14ac:dyDescent="0.1"/>
  <cols>
    <col min="1" max="1" width="9.00390625" style="249" customWidth="1"/>
    <col min="2" max="2" width="18.0078125" style="249" customWidth="1"/>
    <col min="3" max="3" width="9.00390625" style="249" customWidth="1"/>
    <col min="4" max="4" width="9.00390625" style="250" customWidth="1"/>
    <col min="5" max="5" width="9.00390625" style="249" customWidth="1"/>
    <col min="6" max="6" width="9.00390625" style="256" customWidth="1"/>
    <col min="7" max="7" width="9.9375" style="266" customWidth="1"/>
    <col min="8" max="8" width="9.00390625" style="266" customWidth="1"/>
    <col min="9" max="11" width="9.9375" style="249" customWidth="1"/>
    <col min="12" max="13" width="9.00390625" style="249" customWidth="1"/>
    <col min="14" max="14" width="9.00390625" style="250" customWidth="1"/>
    <col min="15" max="15" width="10.9921875" style="256" customWidth="1"/>
    <col min="16" max="16" width="9.9375" style="256" customWidth="1"/>
    <col min="17" max="17" width="9.00390625" style="258" customWidth="1"/>
    <col min="18" max="18" width="7.94921875" style="249" customWidth="1"/>
    <col min="19" max="19" width="9.00390625" style="249" customWidth="1"/>
    <col min="20" max="21" width="9.9375" style="261" customWidth="1"/>
    <col min="22" max="26" width="9.00390625" style="249" customWidth="1"/>
    <col min="27" max="27" width="9.9375" style="249" customWidth="1"/>
    <col min="28" max="28" width="9.00390625" style="249" customWidth="1"/>
    <col min="29" max="16384" width="9.00390625" style="249"/>
  </cols>
  <sheetData>
    <row r="1" spans="1:27" x14ac:dyDescent="0.1">
      <c r="C1" s="265" t="s">
        <v>3214</v>
      </c>
      <c r="D1" s="362" t="s">
        <v>651</v>
      </c>
      <c r="E1" s="265" t="s">
        <v>3215</v>
      </c>
      <c r="F1" s="256" t="s">
        <v>3216</v>
      </c>
      <c r="G1" s="265" t="s">
        <v>3217</v>
      </c>
      <c r="H1" s="265" t="s">
        <v>3218</v>
      </c>
      <c r="I1" s="265" t="s">
        <v>3219</v>
      </c>
      <c r="J1" s="249" t="s">
        <v>3220</v>
      </c>
      <c r="K1" s="249" t="s">
        <v>3221</v>
      </c>
      <c r="L1" s="249" t="s">
        <v>3222</v>
      </c>
      <c r="M1" s="249" t="s">
        <v>3223</v>
      </c>
      <c r="N1" s="250" t="s">
        <v>3224</v>
      </c>
      <c r="O1" s="256" t="s">
        <v>3225</v>
      </c>
      <c r="P1" s="256" t="s">
        <v>3226</v>
      </c>
      <c r="Q1" s="366" t="s">
        <v>3227</v>
      </c>
      <c r="R1" s="249" t="s">
        <v>3228</v>
      </c>
      <c r="S1" s="249" t="s">
        <v>3229</v>
      </c>
      <c r="T1" s="261" t="s">
        <v>3230</v>
      </c>
      <c r="V1" s="265" t="s">
        <v>3231</v>
      </c>
      <c r="W1" s="265" t="s">
        <v>3232</v>
      </c>
      <c r="X1" s="249" t="s">
        <v>3233</v>
      </c>
      <c r="AA1" s="265" t="s">
        <v>3234</v>
      </c>
    </row>
    <row r="2" spans="1:27" x14ac:dyDescent="0.1">
      <c r="B2" s="249">
        <f>SUM(C2:AO2)</f>
        <v>724</v>
      </c>
      <c r="C2" s="265">
        <v>39</v>
      </c>
      <c r="D2" s="362">
        <v>31</v>
      </c>
      <c r="E2" s="265">
        <v>85</v>
      </c>
      <c r="F2" s="256">
        <v>49</v>
      </c>
      <c r="G2" s="265">
        <v>42</v>
      </c>
      <c r="H2" s="265">
        <v>105</v>
      </c>
      <c r="I2" s="265">
        <v>15</v>
      </c>
      <c r="J2" s="249">
        <v>24</v>
      </c>
      <c r="K2" s="249">
        <v>13</v>
      </c>
      <c r="L2" s="249">
        <v>18</v>
      </c>
      <c r="M2" s="249">
        <v>29</v>
      </c>
      <c r="N2" s="250">
        <v>10</v>
      </c>
      <c r="O2" s="256">
        <v>51</v>
      </c>
      <c r="P2" s="256">
        <v>8</v>
      </c>
      <c r="Q2" s="366">
        <v>61</v>
      </c>
      <c r="R2" s="249">
        <v>18</v>
      </c>
      <c r="S2" s="249">
        <v>19</v>
      </c>
      <c r="T2" s="261">
        <v>59</v>
      </c>
      <c r="U2" s="261">
        <v>2</v>
      </c>
      <c r="V2" s="265">
        <v>6</v>
      </c>
      <c r="W2" s="265">
        <v>5</v>
      </c>
      <c r="X2" s="249">
        <v>22</v>
      </c>
      <c r="Y2" s="249">
        <v>1</v>
      </c>
      <c r="Z2" s="249">
        <v>5</v>
      </c>
      <c r="AA2" s="265">
        <v>7</v>
      </c>
    </row>
    <row r="3" spans="1:27" x14ac:dyDescent="0.1">
      <c r="B3" s="249">
        <f>SUM(C3:AO3)</f>
        <v>412</v>
      </c>
      <c r="C3" s="265">
        <v>35</v>
      </c>
      <c r="D3" s="362">
        <v>30</v>
      </c>
      <c r="E3" s="265">
        <v>48</v>
      </c>
      <c r="F3" s="256">
        <v>21</v>
      </c>
      <c r="G3" s="265">
        <v>34</v>
      </c>
      <c r="H3" s="265">
        <v>58</v>
      </c>
      <c r="I3" s="265">
        <v>15</v>
      </c>
      <c r="J3" s="249">
        <v>14</v>
      </c>
      <c r="K3" s="249">
        <v>10</v>
      </c>
      <c r="M3" s="249">
        <v>24</v>
      </c>
      <c r="N3" s="250">
        <v>2</v>
      </c>
      <c r="O3" s="256">
        <v>5</v>
      </c>
      <c r="P3" s="256">
        <v>5</v>
      </c>
      <c r="Q3" s="366">
        <v>61</v>
      </c>
      <c r="R3" s="249">
        <v>8</v>
      </c>
      <c r="S3" s="249">
        <v>13</v>
      </c>
      <c r="U3" s="261">
        <v>1</v>
      </c>
      <c r="V3" s="265">
        <v>6</v>
      </c>
      <c r="W3" s="265">
        <v>5</v>
      </c>
      <c r="X3" s="249">
        <v>6</v>
      </c>
      <c r="Y3" s="249">
        <v>1</v>
      </c>
      <c r="Z3" s="249">
        <v>3</v>
      </c>
      <c r="AA3" s="265">
        <v>7</v>
      </c>
    </row>
    <row r="4" spans="1:27" x14ac:dyDescent="0.1">
      <c r="A4" s="249" t="s">
        <v>3235</v>
      </c>
      <c r="B4" s="249">
        <f>SUM(C4:AO4)</f>
        <v>375</v>
      </c>
      <c r="C4" s="265">
        <v>35</v>
      </c>
      <c r="D4" s="362">
        <v>30</v>
      </c>
      <c r="E4" s="265">
        <v>48</v>
      </c>
      <c r="F4" s="256">
        <v>21</v>
      </c>
      <c r="G4" s="265">
        <v>34</v>
      </c>
      <c r="H4" s="265">
        <v>58</v>
      </c>
      <c r="I4" s="265">
        <v>15</v>
      </c>
      <c r="J4" s="249">
        <v>14</v>
      </c>
      <c r="L4" s="249" t="s">
        <v>3236</v>
      </c>
      <c r="M4" s="249">
        <v>24</v>
      </c>
      <c r="N4" s="250">
        <v>2</v>
      </c>
      <c r="O4" s="256">
        <v>5</v>
      </c>
      <c r="P4" s="256">
        <v>5</v>
      </c>
      <c r="Q4" s="366">
        <v>61</v>
      </c>
      <c r="R4" s="249">
        <v>8</v>
      </c>
      <c r="S4" s="249">
        <v>13</v>
      </c>
      <c r="T4" s="249">
        <v>2</v>
      </c>
      <c r="V4" s="265">
        <v>0</v>
      </c>
      <c r="W4" s="265">
        <v>0</v>
      </c>
      <c r="X4" s="249">
        <v>0</v>
      </c>
      <c r="Y4" s="249">
        <v>0</v>
      </c>
      <c r="AA4" s="265"/>
    </row>
    <row r="5" spans="1:27" x14ac:dyDescent="0.1">
      <c r="A5" s="249" t="s">
        <v>3237</v>
      </c>
      <c r="C5" s="265" t="s">
        <v>2127</v>
      </c>
      <c r="D5" s="362" t="s">
        <v>5</v>
      </c>
      <c r="E5" s="265" t="s">
        <v>3238</v>
      </c>
      <c r="F5" s="256" t="s">
        <v>2575</v>
      </c>
      <c r="G5" s="265" t="s">
        <v>2127</v>
      </c>
      <c r="H5" s="265" t="s">
        <v>2127</v>
      </c>
      <c r="I5" s="265" t="s">
        <v>1538</v>
      </c>
      <c r="J5" s="249" t="s">
        <v>2973</v>
      </c>
      <c r="L5" s="249" t="s">
        <v>2631</v>
      </c>
      <c r="M5" s="249" t="s">
        <v>1622</v>
      </c>
      <c r="N5" s="250" t="s">
        <v>3239</v>
      </c>
      <c r="O5" s="256" t="s">
        <v>3240</v>
      </c>
      <c r="P5" s="256" t="s">
        <v>511</v>
      </c>
      <c r="Q5" s="366" t="s">
        <v>3240</v>
      </c>
      <c r="R5" s="249" t="s">
        <v>3241</v>
      </c>
      <c r="S5" s="249" t="s">
        <v>1553</v>
      </c>
      <c r="T5" s="261" t="s">
        <v>3242</v>
      </c>
      <c r="V5" s="265" t="s">
        <v>1540</v>
      </c>
      <c r="W5" s="265" t="s">
        <v>1550</v>
      </c>
      <c r="AA5" s="265"/>
    </row>
    <row r="6" spans="1:27" x14ac:dyDescent="0.1">
      <c r="C6" s="265"/>
      <c r="D6" s="362"/>
      <c r="E6" s="265"/>
      <c r="F6" s="258"/>
      <c r="G6" s="265"/>
      <c r="H6" s="265"/>
      <c r="I6" s="265"/>
      <c r="Q6" s="366"/>
      <c r="R6" s="253"/>
      <c r="V6" s="265"/>
      <c r="W6" s="265"/>
      <c r="AA6" s="265"/>
    </row>
    <row r="7" spans="1:27" ht="17.25" x14ac:dyDescent="0.25">
      <c r="B7" s="3" t="s">
        <v>3243</v>
      </c>
      <c r="C7" s="365" t="s">
        <v>3244</v>
      </c>
      <c r="D7" s="363" t="s">
        <v>652</v>
      </c>
      <c r="E7" s="266" t="s">
        <v>3245</v>
      </c>
      <c r="F7" s="254" t="s">
        <v>2548</v>
      </c>
      <c r="G7" s="265" t="s">
        <v>2065</v>
      </c>
      <c r="H7" s="265" t="s">
        <v>2127</v>
      </c>
      <c r="I7" s="265" t="s">
        <v>1538</v>
      </c>
      <c r="J7" s="265" t="s">
        <v>1296</v>
      </c>
      <c r="K7" s="266" t="s">
        <v>2905</v>
      </c>
      <c r="L7" s="249" t="s">
        <v>2527</v>
      </c>
      <c r="M7" s="265" t="s">
        <v>72</v>
      </c>
      <c r="N7" s="365" t="s">
        <v>3239</v>
      </c>
      <c r="O7" s="251" t="s">
        <v>3246</v>
      </c>
      <c r="P7" s="370" t="s">
        <v>3247</v>
      </c>
      <c r="Q7" s="367" t="s">
        <v>1482</v>
      </c>
      <c r="R7" s="368" t="s">
        <v>3241</v>
      </c>
      <c r="S7" s="265" t="s">
        <v>1553</v>
      </c>
      <c r="T7" s="260" t="s">
        <v>3248</v>
      </c>
      <c r="U7" s="260" t="s">
        <v>3249</v>
      </c>
      <c r="V7" s="265" t="s">
        <v>1540</v>
      </c>
      <c r="W7" s="265" t="s">
        <v>1550</v>
      </c>
      <c r="X7" s="249" t="s">
        <v>3250</v>
      </c>
      <c r="Y7" s="265" t="s">
        <v>1548</v>
      </c>
      <c r="Z7" s="249" t="s">
        <v>867</v>
      </c>
      <c r="AA7" s="265" t="s">
        <v>3251</v>
      </c>
    </row>
    <row r="8" spans="1:27" ht="17.25" x14ac:dyDescent="0.25">
      <c r="B8" s="3" t="s">
        <v>3252</v>
      </c>
      <c r="C8" s="365" t="s">
        <v>3253</v>
      </c>
      <c r="D8" s="363" t="s">
        <v>2515</v>
      </c>
      <c r="E8" s="372" t="s">
        <v>2509</v>
      </c>
      <c r="F8" s="367" t="s">
        <v>2504</v>
      </c>
      <c r="G8" s="265" t="s">
        <v>2189</v>
      </c>
      <c r="H8" s="265" t="s">
        <v>2038</v>
      </c>
      <c r="I8" s="337" t="s">
        <v>5</v>
      </c>
      <c r="J8" s="265" t="s">
        <v>2949</v>
      </c>
      <c r="K8" s="265" t="s">
        <v>55</v>
      </c>
      <c r="L8" s="249" t="s">
        <v>847</v>
      </c>
      <c r="M8" s="337" t="s">
        <v>3254</v>
      </c>
      <c r="N8" s="3" t="s">
        <v>3255</v>
      </c>
      <c r="O8" s="370" t="s">
        <v>3256</v>
      </c>
      <c r="P8" s="370" t="s">
        <v>3257</v>
      </c>
      <c r="Q8" s="367" t="s">
        <v>3258</v>
      </c>
      <c r="R8" s="368" t="s">
        <v>3259</v>
      </c>
      <c r="S8" s="265" t="s">
        <v>3260</v>
      </c>
      <c r="T8" s="369" t="s">
        <v>3261</v>
      </c>
      <c r="U8" s="369" t="s">
        <v>1113</v>
      </c>
      <c r="V8" s="265" t="s">
        <v>1542</v>
      </c>
      <c r="W8" s="265" t="s">
        <v>2173</v>
      </c>
      <c r="X8" s="249" t="s">
        <v>3262</v>
      </c>
      <c r="Z8" s="249" t="s">
        <v>871</v>
      </c>
      <c r="AA8" s="265" t="s">
        <v>3263</v>
      </c>
    </row>
    <row r="9" spans="1:27" ht="17.25" x14ac:dyDescent="0.25">
      <c r="B9" s="3" t="s">
        <v>3264</v>
      </c>
      <c r="C9" s="365" t="s">
        <v>3265</v>
      </c>
      <c r="D9" s="363" t="s">
        <v>655</v>
      </c>
      <c r="E9" s="266" t="s">
        <v>3266</v>
      </c>
      <c r="F9" s="367" t="s">
        <v>49</v>
      </c>
      <c r="G9" s="265" t="s">
        <v>2025</v>
      </c>
      <c r="H9" s="265" t="s">
        <v>2311</v>
      </c>
      <c r="I9" s="265" t="s">
        <v>3267</v>
      </c>
      <c r="J9" s="265" t="s">
        <v>2969</v>
      </c>
      <c r="K9" s="265" t="s">
        <v>3268</v>
      </c>
      <c r="L9" s="249" t="s">
        <v>849</v>
      </c>
      <c r="M9" s="337" t="s">
        <v>1739</v>
      </c>
      <c r="N9" s="3" t="s">
        <v>3269</v>
      </c>
      <c r="O9" s="251" t="s">
        <v>3270</v>
      </c>
      <c r="P9" s="370" t="s">
        <v>511</v>
      </c>
      <c r="Q9" s="366" t="s">
        <v>1504</v>
      </c>
      <c r="R9" s="253" t="s">
        <v>3271</v>
      </c>
      <c r="S9" s="265" t="s">
        <v>3272</v>
      </c>
      <c r="T9" s="369" t="s">
        <v>422</v>
      </c>
      <c r="U9" s="260"/>
      <c r="V9" s="265" t="s">
        <v>3273</v>
      </c>
      <c r="W9" s="265" t="s">
        <v>1546</v>
      </c>
      <c r="X9" s="249" t="s">
        <v>506</v>
      </c>
      <c r="Z9" s="265" t="s">
        <v>877</v>
      </c>
      <c r="AA9" s="265" t="s">
        <v>3274</v>
      </c>
    </row>
    <row r="10" spans="1:27" ht="17.25" x14ac:dyDescent="0.25">
      <c r="B10" s="3" t="s">
        <v>3275</v>
      </c>
      <c r="C10" s="365" t="s">
        <v>3276</v>
      </c>
      <c r="D10" s="363" t="s">
        <v>5</v>
      </c>
      <c r="E10" s="265" t="s">
        <v>3277</v>
      </c>
      <c r="F10" s="255" t="s">
        <v>3278</v>
      </c>
      <c r="G10" s="265" t="s">
        <v>2253</v>
      </c>
      <c r="H10" s="266" t="s">
        <v>2445</v>
      </c>
      <c r="I10" s="337" t="s">
        <v>433</v>
      </c>
      <c r="J10" s="265" t="s">
        <v>2973</v>
      </c>
      <c r="K10" s="265" t="s">
        <v>2884</v>
      </c>
      <c r="L10" s="249" t="s">
        <v>852</v>
      </c>
      <c r="M10" s="265" t="s">
        <v>1742</v>
      </c>
      <c r="N10" s="3" t="s">
        <v>3279</v>
      </c>
      <c r="O10" s="252" t="s">
        <v>386</v>
      </c>
      <c r="P10" s="252" t="s">
        <v>3280</v>
      </c>
      <c r="Q10" s="366" t="s">
        <v>1506</v>
      </c>
      <c r="R10" s="253" t="s">
        <v>3281</v>
      </c>
      <c r="S10" s="265" t="s">
        <v>1155</v>
      </c>
      <c r="T10" s="260" t="s">
        <v>3282</v>
      </c>
      <c r="U10" s="260"/>
      <c r="V10" s="265" t="s">
        <v>3283</v>
      </c>
      <c r="W10" s="265" t="s">
        <v>3284</v>
      </c>
      <c r="X10" s="265" t="s">
        <v>507</v>
      </c>
      <c r="Z10" s="249" t="s">
        <v>895</v>
      </c>
      <c r="AA10" s="265" t="s">
        <v>3285</v>
      </c>
    </row>
    <row r="11" spans="1:27" ht="17.25" x14ac:dyDescent="0.2">
      <c r="B11" s="3"/>
      <c r="C11" s="371" t="s">
        <v>3286</v>
      </c>
      <c r="D11" s="363" t="s">
        <v>662</v>
      </c>
      <c r="E11" s="266" t="s">
        <v>2513</v>
      </c>
      <c r="F11" s="370" t="s">
        <v>2541</v>
      </c>
      <c r="G11" s="265" t="s">
        <v>2221</v>
      </c>
      <c r="H11" s="266" t="s">
        <v>1848</v>
      </c>
      <c r="I11" s="265" t="s">
        <v>3287</v>
      </c>
      <c r="J11" s="249" t="s">
        <v>2195</v>
      </c>
      <c r="K11" s="266" t="s">
        <v>2539</v>
      </c>
      <c r="L11" s="249" t="s">
        <v>2631</v>
      </c>
      <c r="M11" s="337" t="s">
        <v>3288</v>
      </c>
      <c r="N11" s="3" t="s">
        <v>1318</v>
      </c>
      <c r="O11" s="252" t="s">
        <v>3289</v>
      </c>
      <c r="P11" s="252" t="s">
        <v>3290</v>
      </c>
      <c r="Q11" s="366" t="s">
        <v>3291</v>
      </c>
      <c r="R11" s="253" t="s">
        <v>3292</v>
      </c>
      <c r="S11" s="265" t="s">
        <v>3293</v>
      </c>
      <c r="T11" s="260" t="s">
        <v>394</v>
      </c>
      <c r="U11" s="415" t="s">
        <v>3294</v>
      </c>
      <c r="V11" s="265" t="s">
        <v>3295</v>
      </c>
      <c r="W11" s="265" t="s">
        <v>3296</v>
      </c>
      <c r="X11" s="249" t="s">
        <v>3297</v>
      </c>
      <c r="Z11" s="265" t="s">
        <v>3298</v>
      </c>
      <c r="AA11" s="265" t="s">
        <v>3299</v>
      </c>
    </row>
    <row r="12" spans="1:27" ht="17.25" x14ac:dyDescent="0.25">
      <c r="B12" s="3"/>
      <c r="C12" s="371" t="s">
        <v>3300</v>
      </c>
      <c r="D12" s="257" t="s">
        <v>2112</v>
      </c>
      <c r="E12" s="266" t="s">
        <v>3301</v>
      </c>
      <c r="F12" s="370" t="s">
        <v>2603</v>
      </c>
      <c r="G12" s="265" t="s">
        <v>2344</v>
      </c>
      <c r="H12" s="265" t="s">
        <v>2088</v>
      </c>
      <c r="I12" s="265" t="s">
        <v>3302</v>
      </c>
      <c r="J12" s="249" t="s">
        <v>1292</v>
      </c>
      <c r="K12" s="265" t="s">
        <v>2326</v>
      </c>
      <c r="L12" s="249" t="s">
        <v>3303</v>
      </c>
      <c r="M12" s="337" t="s">
        <v>3304</v>
      </c>
      <c r="N12" s="3" t="s">
        <v>1316</v>
      </c>
      <c r="O12" s="252" t="s">
        <v>734</v>
      </c>
      <c r="P12" s="252" t="s">
        <v>3305</v>
      </c>
      <c r="Q12" s="367" t="s">
        <v>1468</v>
      </c>
      <c r="R12" s="265" t="s">
        <v>3306</v>
      </c>
      <c r="S12" s="265" t="s">
        <v>444</v>
      </c>
      <c r="T12" s="260" t="s">
        <v>127</v>
      </c>
      <c r="U12" s="410" t="s">
        <v>3307</v>
      </c>
      <c r="V12" s="265" t="s">
        <v>687</v>
      </c>
      <c r="X12" s="249" t="s">
        <v>3308</v>
      </c>
      <c r="AA12" s="265" t="s">
        <v>3309</v>
      </c>
    </row>
    <row r="13" spans="1:27" ht="17.25" x14ac:dyDescent="0.25">
      <c r="B13" s="3" t="s">
        <v>3310</v>
      </c>
      <c r="C13" s="365" t="s">
        <v>3311</v>
      </c>
      <c r="D13" s="363" t="s">
        <v>660</v>
      </c>
      <c r="E13" s="265" t="s">
        <v>3312</v>
      </c>
      <c r="F13" s="370" t="s">
        <v>2610</v>
      </c>
      <c r="G13" s="265" t="s">
        <v>2093</v>
      </c>
      <c r="H13" s="265" t="s">
        <v>2496</v>
      </c>
      <c r="I13" s="265" t="s">
        <v>3313</v>
      </c>
      <c r="J13" s="249" t="s">
        <v>2626</v>
      </c>
      <c r="K13" s="265" t="s">
        <v>2850</v>
      </c>
      <c r="L13" s="249" t="s">
        <v>2545</v>
      </c>
      <c r="M13" s="337" t="s">
        <v>3314</v>
      </c>
      <c r="N13" s="3" t="s">
        <v>3315</v>
      </c>
      <c r="O13" s="252" t="s">
        <v>3316</v>
      </c>
      <c r="P13" s="370" t="s">
        <v>1292</v>
      </c>
      <c r="Q13" s="367" t="s">
        <v>1529</v>
      </c>
      <c r="R13" s="265" t="s">
        <v>3317</v>
      </c>
      <c r="S13" s="265" t="s">
        <v>441</v>
      </c>
      <c r="T13" s="262" t="s">
        <v>76</v>
      </c>
      <c r="U13" s="419" t="s">
        <v>3318</v>
      </c>
      <c r="AA13" s="265" t="s">
        <v>3319</v>
      </c>
    </row>
    <row r="14" spans="1:27" ht="17.25" x14ac:dyDescent="0.25">
      <c r="B14" s="3" t="s">
        <v>3320</v>
      </c>
      <c r="C14" s="365" t="s">
        <v>3321</v>
      </c>
      <c r="D14" s="363" t="s">
        <v>2536</v>
      </c>
      <c r="E14" s="266" t="s">
        <v>3322</v>
      </c>
      <c r="F14" s="252" t="s">
        <v>3323</v>
      </c>
      <c r="G14" s="265" t="s">
        <v>2107</v>
      </c>
      <c r="H14" s="265" t="s">
        <v>2334</v>
      </c>
      <c r="I14" s="265" t="s">
        <v>3324</v>
      </c>
      <c r="J14" s="249" t="s">
        <v>2927</v>
      </c>
      <c r="K14" s="265" t="s">
        <v>2903</v>
      </c>
      <c r="L14" s="249" t="s">
        <v>3325</v>
      </c>
      <c r="M14" s="337" t="s">
        <v>1737</v>
      </c>
      <c r="N14" s="365" t="s">
        <v>3326</v>
      </c>
      <c r="O14" s="252" t="s">
        <v>3327</v>
      </c>
      <c r="P14" s="370" t="s">
        <v>1328</v>
      </c>
      <c r="Q14" s="367" t="s">
        <v>1475</v>
      </c>
      <c r="R14" s="249" t="s">
        <v>3328</v>
      </c>
      <c r="S14" s="249" t="s">
        <v>396</v>
      </c>
      <c r="T14" s="260" t="s">
        <v>68</v>
      </c>
      <c r="U14" s="410" t="s">
        <v>3329</v>
      </c>
      <c r="X14" s="249" t="s">
        <v>3330</v>
      </c>
    </row>
    <row r="15" spans="1:27" ht="17.25" x14ac:dyDescent="0.25">
      <c r="B15" s="3" t="s">
        <v>3331</v>
      </c>
      <c r="C15" s="365" t="s">
        <v>3332</v>
      </c>
      <c r="D15" s="363" t="s">
        <v>143</v>
      </c>
      <c r="E15" s="266" t="s">
        <v>3333</v>
      </c>
      <c r="F15" s="252" t="s">
        <v>3334</v>
      </c>
      <c r="G15" s="266" t="s">
        <v>1870</v>
      </c>
      <c r="H15" s="266" t="s">
        <v>57</v>
      </c>
      <c r="I15" s="265" t="s">
        <v>3335</v>
      </c>
      <c r="J15" s="249" t="s">
        <v>2939</v>
      </c>
      <c r="K15" s="265" t="s">
        <v>2858</v>
      </c>
      <c r="L15" s="249" t="s">
        <v>847</v>
      </c>
      <c r="M15" s="337" t="s">
        <v>1735</v>
      </c>
      <c r="N15" s="3" t="s">
        <v>2941</v>
      </c>
      <c r="O15" s="252" t="s">
        <v>491</v>
      </c>
      <c r="P15" s="252"/>
      <c r="Q15" s="367" t="s">
        <v>1515</v>
      </c>
      <c r="R15" s="265" t="s">
        <v>3336</v>
      </c>
      <c r="S15" s="249" t="s">
        <v>3337</v>
      </c>
      <c r="T15" s="260" t="s">
        <v>3338</v>
      </c>
      <c r="U15" s="415" t="s">
        <v>3339</v>
      </c>
      <c r="X15" s="249" t="s">
        <v>3340</v>
      </c>
    </row>
    <row r="16" spans="1:27" ht="17.25" x14ac:dyDescent="0.2">
      <c r="B16" s="3"/>
      <c r="C16" s="371" t="s">
        <v>3341</v>
      </c>
      <c r="D16" s="363" t="s">
        <v>1296</v>
      </c>
      <c r="E16" s="265" t="s">
        <v>3342</v>
      </c>
      <c r="F16" s="252" t="s">
        <v>2511</v>
      </c>
      <c r="G16" s="265" t="s">
        <v>2393</v>
      </c>
      <c r="H16" s="265" t="s">
        <v>2182</v>
      </c>
      <c r="I16" s="265" t="s">
        <v>2551</v>
      </c>
      <c r="J16" s="265" t="s">
        <v>2405</v>
      </c>
      <c r="K16" s="265" t="s">
        <v>2825</v>
      </c>
      <c r="L16" s="249" t="s">
        <v>2597</v>
      </c>
      <c r="M16" s="265" t="s">
        <v>3343</v>
      </c>
      <c r="N16" s="3"/>
      <c r="O16" s="252" t="s">
        <v>515</v>
      </c>
      <c r="P16" s="252"/>
      <c r="Q16" s="366" t="s">
        <v>3344</v>
      </c>
      <c r="R16" s="265" t="s">
        <v>3345</v>
      </c>
      <c r="S16" s="249" t="s">
        <v>3346</v>
      </c>
      <c r="T16" s="260" t="s">
        <v>3317</v>
      </c>
      <c r="U16" s="410" t="s">
        <v>3347</v>
      </c>
      <c r="X16" s="265" t="s">
        <v>3348</v>
      </c>
    </row>
    <row r="17" spans="2:24" ht="17.25" x14ac:dyDescent="0.25">
      <c r="B17" s="3" t="s">
        <v>3349</v>
      </c>
      <c r="C17" s="365" t="s">
        <v>3350</v>
      </c>
      <c r="D17" s="363" t="s">
        <v>665</v>
      </c>
      <c r="E17" s="265" t="s">
        <v>655</v>
      </c>
      <c r="F17" s="370" t="s">
        <v>3351</v>
      </c>
      <c r="G17" s="265" t="s">
        <v>2173</v>
      </c>
      <c r="H17" s="265" t="s">
        <v>2486</v>
      </c>
      <c r="I17" s="337" t="s">
        <v>3352</v>
      </c>
      <c r="J17" s="249" t="s">
        <v>2142</v>
      </c>
      <c r="K17" s="265" t="s">
        <v>3353</v>
      </c>
      <c r="L17" s="249" t="s">
        <v>3354</v>
      </c>
      <c r="M17" s="265" t="s">
        <v>1622</v>
      </c>
      <c r="N17" s="3"/>
      <c r="O17" s="364" t="s">
        <v>710</v>
      </c>
      <c r="P17" s="252"/>
      <c r="Q17" s="367" t="s">
        <v>1484</v>
      </c>
      <c r="R17" s="265" t="s">
        <v>3355</v>
      </c>
      <c r="S17" s="265" t="s">
        <v>3356</v>
      </c>
      <c r="T17" s="260" t="s">
        <v>1129</v>
      </c>
      <c r="U17" s="419" t="s">
        <v>3357</v>
      </c>
      <c r="X17" s="249" t="s">
        <v>3358</v>
      </c>
    </row>
    <row r="18" spans="2:24" ht="17.25" x14ac:dyDescent="0.25">
      <c r="B18" s="3" t="s">
        <v>3359</v>
      </c>
      <c r="C18" s="365" t="s">
        <v>3360</v>
      </c>
      <c r="D18" s="363" t="s">
        <v>667</v>
      </c>
      <c r="E18" s="266" t="s">
        <v>3361</v>
      </c>
      <c r="F18" s="252" t="s">
        <v>3362</v>
      </c>
      <c r="G18" s="265" t="s">
        <v>2490</v>
      </c>
      <c r="H18" s="265" t="s">
        <v>3363</v>
      </c>
      <c r="I18" s="265" t="s">
        <v>3364</v>
      </c>
      <c r="J18" s="265" t="s">
        <v>2976</v>
      </c>
      <c r="K18" s="265" t="s">
        <v>3365</v>
      </c>
      <c r="L18" s="249" t="s">
        <v>849</v>
      </c>
      <c r="M18" s="265" t="s">
        <v>1628</v>
      </c>
      <c r="N18" s="3"/>
      <c r="O18" s="256" t="s">
        <v>492</v>
      </c>
      <c r="Q18" s="367" t="s">
        <v>1456</v>
      </c>
      <c r="R18" s="249" t="s">
        <v>3366</v>
      </c>
      <c r="S18" s="265" t="s">
        <v>3367</v>
      </c>
      <c r="T18" s="260" t="s">
        <v>1162</v>
      </c>
      <c r="U18" s="410" t="s">
        <v>3368</v>
      </c>
      <c r="X18" s="249" t="s">
        <v>1007</v>
      </c>
    </row>
    <row r="19" spans="2:24" ht="17.25" x14ac:dyDescent="0.25">
      <c r="B19" s="3"/>
      <c r="C19" s="371" t="s">
        <v>2664</v>
      </c>
      <c r="D19" s="364" t="s">
        <v>670</v>
      </c>
      <c r="E19" s="266" t="s">
        <v>3369</v>
      </c>
      <c r="F19" s="252" t="s">
        <v>3370</v>
      </c>
      <c r="G19" s="266" t="s">
        <v>2646</v>
      </c>
      <c r="H19" s="266" t="s">
        <v>2380</v>
      </c>
      <c r="I19" s="265" t="s">
        <v>36</v>
      </c>
      <c r="J19" s="249" t="s">
        <v>2955</v>
      </c>
      <c r="K19" s="266" t="s">
        <v>2843</v>
      </c>
      <c r="L19" s="249" t="s">
        <v>2653</v>
      </c>
      <c r="M19" s="265" t="s">
        <v>1613</v>
      </c>
      <c r="N19" s="3"/>
      <c r="O19" s="256" t="s">
        <v>1281</v>
      </c>
      <c r="Q19" s="367" t="s">
        <v>1472</v>
      </c>
      <c r="R19" s="249" t="s">
        <v>3371</v>
      </c>
      <c r="S19" s="249" t="s">
        <v>3372</v>
      </c>
      <c r="T19" s="260" t="s">
        <v>3373</v>
      </c>
      <c r="U19" s="415" t="s">
        <v>3374</v>
      </c>
      <c r="X19" s="249" t="s">
        <v>3375</v>
      </c>
    </row>
    <row r="20" spans="2:24" ht="17.25" x14ac:dyDescent="0.25">
      <c r="B20" s="3" t="s">
        <v>3376</v>
      </c>
      <c r="C20" s="365" t="s">
        <v>1421</v>
      </c>
      <c r="D20" s="363" t="s">
        <v>2553</v>
      </c>
      <c r="E20" s="266" t="s">
        <v>662</v>
      </c>
      <c r="F20" s="370" t="s">
        <v>3377</v>
      </c>
      <c r="G20" s="265" t="s">
        <v>2364</v>
      </c>
      <c r="H20" s="265" t="s">
        <v>2288</v>
      </c>
      <c r="I20" s="265" t="s">
        <v>2700</v>
      </c>
      <c r="J20" s="249" t="s">
        <v>2979</v>
      </c>
      <c r="K20" s="266"/>
      <c r="L20" s="249" t="s">
        <v>2666</v>
      </c>
      <c r="M20" s="337" t="s">
        <v>3378</v>
      </c>
      <c r="N20" s="3"/>
      <c r="O20" s="256" t="s">
        <v>3379</v>
      </c>
      <c r="Q20" s="367" t="s">
        <v>1448</v>
      </c>
      <c r="R20" s="265" t="s">
        <v>3259</v>
      </c>
      <c r="S20" s="265" t="s">
        <v>3380</v>
      </c>
      <c r="T20" s="260" t="s">
        <v>3381</v>
      </c>
      <c r="U20" s="415" t="s">
        <v>3382</v>
      </c>
      <c r="X20" s="249" t="s">
        <v>3383</v>
      </c>
    </row>
    <row r="21" spans="2:24" ht="17.25" x14ac:dyDescent="0.2">
      <c r="B21" s="3"/>
      <c r="C21" s="365" t="s">
        <v>887</v>
      </c>
      <c r="D21" s="363" t="s">
        <v>672</v>
      </c>
      <c r="E21" s="266" t="s">
        <v>3384</v>
      </c>
      <c r="F21" s="370" t="s">
        <v>3385</v>
      </c>
      <c r="G21" s="265" t="s">
        <v>3386</v>
      </c>
      <c r="H21" s="265" t="s">
        <v>2184</v>
      </c>
      <c r="I21" s="337" t="s">
        <v>2882</v>
      </c>
      <c r="J21" s="265" t="s">
        <v>2981</v>
      </c>
      <c r="K21" s="266"/>
      <c r="L21" s="249" t="s">
        <v>2671</v>
      </c>
      <c r="M21" s="265" t="s">
        <v>3387</v>
      </c>
      <c r="N21" s="3"/>
      <c r="O21" s="364" t="s">
        <v>1302</v>
      </c>
      <c r="Q21" s="366" t="s">
        <v>3388</v>
      </c>
      <c r="R21" s="259" t="s">
        <v>3389</v>
      </c>
      <c r="S21" s="265" t="s">
        <v>3390</v>
      </c>
      <c r="T21" s="369" t="s">
        <v>3391</v>
      </c>
      <c r="U21" s="410" t="s">
        <v>3392</v>
      </c>
    </row>
    <row r="22" spans="2:24" ht="17.25" x14ac:dyDescent="0.25">
      <c r="B22" s="3" t="s">
        <v>3393</v>
      </c>
      <c r="C22" s="365" t="s">
        <v>2338</v>
      </c>
      <c r="D22" s="363" t="s">
        <v>2589</v>
      </c>
      <c r="E22" s="266" t="s">
        <v>3394</v>
      </c>
      <c r="F22" s="252" t="s">
        <v>3395</v>
      </c>
      <c r="G22" s="265" t="s">
        <v>2258</v>
      </c>
      <c r="H22" s="266" t="s">
        <v>2251</v>
      </c>
      <c r="I22" s="249" t="s">
        <v>3396</v>
      </c>
      <c r="J22" s="265" t="s">
        <v>1296</v>
      </c>
      <c r="K22" s="266"/>
      <c r="L22" s="249" t="s">
        <v>2680</v>
      </c>
      <c r="M22" s="249" t="s">
        <v>3397</v>
      </c>
      <c r="N22" s="3"/>
      <c r="O22" s="257" t="s">
        <v>3398</v>
      </c>
      <c r="Q22" s="339" t="s">
        <v>1460</v>
      </c>
      <c r="S22" s="265" t="s">
        <v>3399</v>
      </c>
      <c r="T22" s="260" t="s">
        <v>3400</v>
      </c>
      <c r="U22" s="419" t="s">
        <v>3401</v>
      </c>
      <c r="X22" s="265" t="s">
        <v>1177</v>
      </c>
    </row>
    <row r="23" spans="2:24" ht="17.25" x14ac:dyDescent="0.25">
      <c r="B23" s="3" t="s">
        <v>3402</v>
      </c>
      <c r="C23" s="365" t="s">
        <v>3403</v>
      </c>
      <c r="D23" s="363" t="s">
        <v>674</v>
      </c>
      <c r="E23" s="265" t="s">
        <v>2543</v>
      </c>
      <c r="F23" s="370" t="s">
        <v>3404</v>
      </c>
      <c r="G23" s="265" t="s">
        <v>2342</v>
      </c>
      <c r="H23" s="266" t="s">
        <v>2215</v>
      </c>
      <c r="J23" s="249" t="s">
        <v>2967</v>
      </c>
      <c r="K23" s="266"/>
      <c r="L23" s="249" t="s">
        <v>3405</v>
      </c>
      <c r="M23" s="265" t="s">
        <v>3406</v>
      </c>
      <c r="N23" s="3"/>
      <c r="O23" s="257" t="s">
        <v>3407</v>
      </c>
      <c r="P23" s="257"/>
      <c r="Q23" s="339" t="s">
        <v>1450</v>
      </c>
      <c r="R23" s="249" t="s">
        <v>3408</v>
      </c>
      <c r="S23" s="265" t="s">
        <v>3269</v>
      </c>
      <c r="T23" s="260" t="s">
        <v>3409</v>
      </c>
      <c r="U23" s="415" t="s">
        <v>3410</v>
      </c>
      <c r="X23" s="249" t="s">
        <v>1225</v>
      </c>
    </row>
    <row r="24" spans="2:24" ht="17.25" x14ac:dyDescent="0.25">
      <c r="B24" s="3" t="s">
        <v>3411</v>
      </c>
      <c r="C24" s="365" t="s">
        <v>3412</v>
      </c>
      <c r="D24" s="363" t="s">
        <v>676</v>
      </c>
      <c r="E24" s="266" t="s">
        <v>3413</v>
      </c>
      <c r="F24" s="252" t="s">
        <v>3414</v>
      </c>
      <c r="G24" s="266" t="s">
        <v>45</v>
      </c>
      <c r="H24" s="266" t="s">
        <v>3415</v>
      </c>
      <c r="J24" s="265" t="s">
        <v>2072</v>
      </c>
      <c r="K24" s="266"/>
      <c r="M24" s="337" t="s">
        <v>3416</v>
      </c>
      <c r="N24" s="3"/>
      <c r="O24" s="364" t="s">
        <v>62</v>
      </c>
      <c r="P24" s="257"/>
      <c r="Q24" s="339" t="s">
        <v>1464</v>
      </c>
      <c r="R24" s="249" t="s">
        <v>3417</v>
      </c>
      <c r="S24" s="249" t="s">
        <v>3418</v>
      </c>
      <c r="T24" s="260" t="s">
        <v>3419</v>
      </c>
      <c r="U24" s="419" t="s">
        <v>3420</v>
      </c>
      <c r="X24" s="249" t="s">
        <v>3421</v>
      </c>
    </row>
    <row r="25" spans="2:24" ht="17.25" x14ac:dyDescent="0.25">
      <c r="B25" s="3" t="s">
        <v>3422</v>
      </c>
      <c r="C25" s="365" t="s">
        <v>3423</v>
      </c>
      <c r="D25" s="363" t="s">
        <v>2612</v>
      </c>
      <c r="E25" s="266" t="s">
        <v>3424</v>
      </c>
      <c r="F25" s="252" t="s">
        <v>2551</v>
      </c>
      <c r="G25" s="265" t="s">
        <v>2952</v>
      </c>
      <c r="H25" s="266" t="s">
        <v>2027</v>
      </c>
      <c r="J25" s="265" t="s">
        <v>2969</v>
      </c>
      <c r="K25" s="266"/>
      <c r="M25" s="265" t="s">
        <v>3425</v>
      </c>
      <c r="N25" s="3"/>
      <c r="O25" s="256" t="s">
        <v>521</v>
      </c>
      <c r="P25" s="257"/>
      <c r="Q25" s="339" t="s">
        <v>1526</v>
      </c>
      <c r="R25" s="249" t="s">
        <v>3426</v>
      </c>
      <c r="S25" s="249" t="s">
        <v>3427</v>
      </c>
      <c r="T25" s="260" t="s">
        <v>78</v>
      </c>
      <c r="U25" s="415" t="s">
        <v>3428</v>
      </c>
      <c r="X25" s="249" t="s">
        <v>3429</v>
      </c>
    </row>
    <row r="26" spans="2:24" ht="17.25" x14ac:dyDescent="0.25">
      <c r="B26" s="3" t="s">
        <v>3430</v>
      </c>
      <c r="C26" s="365" t="s">
        <v>3431</v>
      </c>
      <c r="D26" s="363" t="s">
        <v>2616</v>
      </c>
      <c r="E26" s="266" t="s">
        <v>3432</v>
      </c>
      <c r="F26" s="370" t="s">
        <v>2555</v>
      </c>
      <c r="G26" s="265" t="s">
        <v>2163</v>
      </c>
      <c r="H26" s="266" t="s">
        <v>2284</v>
      </c>
      <c r="J26" s="265" t="s">
        <v>1</v>
      </c>
      <c r="K26" s="266"/>
      <c r="M26" s="265" t="s">
        <v>3433</v>
      </c>
      <c r="N26" s="3"/>
      <c r="O26" s="257" t="s">
        <v>3434</v>
      </c>
      <c r="Q26" s="339" t="s">
        <v>3435</v>
      </c>
      <c r="S26" s="249" t="s">
        <v>3436</v>
      </c>
      <c r="T26" s="260" t="s">
        <v>1171</v>
      </c>
      <c r="U26" s="414" t="s">
        <v>3437</v>
      </c>
      <c r="X26" s="265" t="s">
        <v>3438</v>
      </c>
    </row>
    <row r="27" spans="2:24" ht="17.25" x14ac:dyDescent="0.25">
      <c r="B27" s="3" t="s">
        <v>3439</v>
      </c>
      <c r="C27" s="365" t="s">
        <v>3440</v>
      </c>
      <c r="D27" s="363" t="s">
        <v>678</v>
      </c>
      <c r="E27" s="266" t="s">
        <v>3441</v>
      </c>
      <c r="F27" s="252" t="s">
        <v>3442</v>
      </c>
      <c r="G27" s="265" t="s">
        <v>3443</v>
      </c>
      <c r="H27" s="266" t="s">
        <v>2374</v>
      </c>
      <c r="J27" s="265" t="s">
        <v>2395</v>
      </c>
      <c r="K27" s="266"/>
      <c r="M27" s="337" t="s">
        <v>3444</v>
      </c>
      <c r="N27" s="3"/>
      <c r="O27" s="257" t="s">
        <v>3445</v>
      </c>
      <c r="P27" s="257"/>
      <c r="Q27" s="339" t="s">
        <v>3446</v>
      </c>
      <c r="T27" s="260" t="s">
        <v>402</v>
      </c>
      <c r="U27" s="415" t="s">
        <v>1468</v>
      </c>
      <c r="X27" s="249" t="s">
        <v>2585</v>
      </c>
    </row>
    <row r="28" spans="2:24" ht="17.25" x14ac:dyDescent="0.25">
      <c r="B28" s="3" t="s">
        <v>3447</v>
      </c>
      <c r="C28" s="365" t="s">
        <v>3448</v>
      </c>
      <c r="D28" s="363" t="s">
        <v>680</v>
      </c>
      <c r="E28" s="265" t="s">
        <v>1302</v>
      </c>
      <c r="F28" s="252" t="s">
        <v>3449</v>
      </c>
      <c r="G28" s="265" t="s">
        <v>2414</v>
      </c>
      <c r="H28" s="265" t="s">
        <v>2083</v>
      </c>
      <c r="J28" s="265" t="s">
        <v>2100</v>
      </c>
      <c r="K28" s="266"/>
      <c r="M28" s="337" t="s">
        <v>3450</v>
      </c>
      <c r="N28" s="3"/>
      <c r="O28" s="256" t="s">
        <v>1252</v>
      </c>
      <c r="P28" s="257"/>
      <c r="Q28" s="367" t="s">
        <v>3401</v>
      </c>
      <c r="T28" s="260" t="s">
        <v>64</v>
      </c>
      <c r="U28" s="414" t="s">
        <v>1472</v>
      </c>
      <c r="X28" s="265" t="s">
        <v>2674</v>
      </c>
    </row>
    <row r="29" spans="2:24" ht="17.25" x14ac:dyDescent="0.25">
      <c r="B29" s="3" t="s">
        <v>3451</v>
      </c>
      <c r="C29" s="365" t="s">
        <v>3452</v>
      </c>
      <c r="D29" s="363" t="s">
        <v>2636</v>
      </c>
      <c r="E29" s="265" t="s">
        <v>3453</v>
      </c>
      <c r="F29" s="370" t="s">
        <v>2575</v>
      </c>
      <c r="G29" s="265" t="s">
        <v>2347</v>
      </c>
      <c r="H29" s="266" t="s">
        <v>2448</v>
      </c>
      <c r="J29" s="249" t="s">
        <v>3</v>
      </c>
      <c r="K29" s="266"/>
      <c r="M29" s="337" t="s">
        <v>3454</v>
      </c>
      <c r="N29" s="3"/>
      <c r="O29" s="256" t="s">
        <v>3455</v>
      </c>
      <c r="Q29" s="367" t="s">
        <v>3456</v>
      </c>
      <c r="T29" s="260" t="s">
        <v>3457</v>
      </c>
      <c r="U29" s="415" t="s">
        <v>1475</v>
      </c>
      <c r="X29" s="265" t="s">
        <v>2607</v>
      </c>
    </row>
    <row r="30" spans="2:24" ht="15.75" x14ac:dyDescent="0.2">
      <c r="B30" s="3" t="s">
        <v>3458</v>
      </c>
      <c r="C30" s="365" t="s">
        <v>3459</v>
      </c>
      <c r="D30" s="363" t="s">
        <v>2641</v>
      </c>
      <c r="E30" s="265" t="s">
        <v>3460</v>
      </c>
      <c r="F30" s="256" t="s">
        <v>3461</v>
      </c>
      <c r="G30" s="265" t="s">
        <v>2298</v>
      </c>
      <c r="H30" s="266" t="s">
        <v>2450</v>
      </c>
      <c r="J30" s="265" t="s">
        <v>2078</v>
      </c>
      <c r="K30" s="266"/>
      <c r="M30" s="337" t="s">
        <v>2799</v>
      </c>
      <c r="N30" s="3"/>
      <c r="O30" s="256" t="s">
        <v>3462</v>
      </c>
      <c r="Q30" s="366" t="s">
        <v>3420</v>
      </c>
      <c r="T30" s="260" t="s">
        <v>1190</v>
      </c>
      <c r="U30" s="415" t="s">
        <v>3463</v>
      </c>
      <c r="X30" s="265" t="s">
        <v>1266</v>
      </c>
    </row>
    <row r="31" spans="2:24" ht="15.75" x14ac:dyDescent="0.2">
      <c r="B31" s="3" t="s">
        <v>3464</v>
      </c>
      <c r="C31" s="365" t="s">
        <v>3465</v>
      </c>
      <c r="D31" s="363" t="s">
        <v>684</v>
      </c>
      <c r="E31" s="266" t="s">
        <v>3466</v>
      </c>
      <c r="F31" s="256" t="s">
        <v>3467</v>
      </c>
      <c r="G31" s="265" t="s">
        <v>2351</v>
      </c>
      <c r="H31" s="266" t="s">
        <v>2224</v>
      </c>
      <c r="K31" s="266"/>
      <c r="M31" s="337" t="s">
        <v>3468</v>
      </c>
      <c r="N31" s="3"/>
      <c r="O31" s="364" t="s">
        <v>3242</v>
      </c>
      <c r="Q31" s="366" t="s">
        <v>3469</v>
      </c>
      <c r="T31" s="260" t="s">
        <v>457</v>
      </c>
      <c r="U31" s="415" t="s">
        <v>1484</v>
      </c>
      <c r="X31" s="265" t="s">
        <v>2889</v>
      </c>
    </row>
    <row r="32" spans="2:24" ht="15.75" x14ac:dyDescent="0.2">
      <c r="B32" s="3" t="s">
        <v>3470</v>
      </c>
      <c r="C32" s="365" t="s">
        <v>1272</v>
      </c>
      <c r="D32" s="363" t="s">
        <v>687</v>
      </c>
      <c r="E32" s="265" t="s">
        <v>2557</v>
      </c>
      <c r="F32" s="364" t="s">
        <v>3471</v>
      </c>
      <c r="G32" s="265" t="s">
        <v>2263</v>
      </c>
      <c r="H32" s="265" t="s">
        <v>2466</v>
      </c>
      <c r="K32" s="266"/>
      <c r="M32" s="249" t="s">
        <v>3472</v>
      </c>
      <c r="N32" s="3"/>
      <c r="O32" s="256" t="s">
        <v>728</v>
      </c>
      <c r="Q32" s="366" t="s">
        <v>3473</v>
      </c>
      <c r="T32" s="260" t="s">
        <v>3474</v>
      </c>
      <c r="U32" s="415" t="s">
        <v>3475</v>
      </c>
    </row>
    <row r="33" spans="2:21" ht="17.25" x14ac:dyDescent="0.25">
      <c r="B33" s="3" t="s">
        <v>3476</v>
      </c>
      <c r="C33" s="365" t="s">
        <v>3477</v>
      </c>
      <c r="D33" s="363" t="s">
        <v>2687</v>
      </c>
      <c r="E33" s="265" t="s">
        <v>2562</v>
      </c>
      <c r="F33" s="256" t="s">
        <v>3478</v>
      </c>
      <c r="G33" s="265" t="s">
        <v>2063</v>
      </c>
      <c r="H33" s="266" t="s">
        <v>2383</v>
      </c>
      <c r="K33" s="266"/>
      <c r="M33" s="249" t="s">
        <v>3479</v>
      </c>
      <c r="N33" s="3"/>
      <c r="O33" s="256" t="s">
        <v>3480</v>
      </c>
      <c r="Q33" s="367" t="s">
        <v>3481</v>
      </c>
      <c r="T33" s="260" t="s">
        <v>3482</v>
      </c>
      <c r="U33" s="415" t="s">
        <v>3481</v>
      </c>
    </row>
    <row r="34" spans="2:21" ht="17.25" x14ac:dyDescent="0.25">
      <c r="B34" s="3" t="s">
        <v>3483</v>
      </c>
      <c r="C34" s="365" t="s">
        <v>3484</v>
      </c>
      <c r="D34" s="363" t="s">
        <v>2692</v>
      </c>
      <c r="E34" s="265" t="s">
        <v>20</v>
      </c>
      <c r="F34" s="256" t="s">
        <v>3485</v>
      </c>
      <c r="G34" s="265" t="s">
        <v>2043</v>
      </c>
      <c r="H34" s="266" t="s">
        <v>2486</v>
      </c>
      <c r="M34" s="249" t="s">
        <v>3486</v>
      </c>
      <c r="N34" s="3"/>
      <c r="O34" s="256" t="s">
        <v>3487</v>
      </c>
      <c r="Q34" s="367" t="s">
        <v>3488</v>
      </c>
      <c r="T34" s="369" t="s">
        <v>1152</v>
      </c>
      <c r="U34" s="415" t="s">
        <v>3489</v>
      </c>
    </row>
    <row r="35" spans="2:21" ht="17.25" x14ac:dyDescent="0.25">
      <c r="B35" s="3" t="s">
        <v>3490</v>
      </c>
      <c r="C35" s="365" t="s">
        <v>1425</v>
      </c>
      <c r="D35" s="363" t="s">
        <v>690</v>
      </c>
      <c r="E35" s="266" t="s">
        <v>3491</v>
      </c>
      <c r="F35" s="364" t="s">
        <v>2593</v>
      </c>
      <c r="G35" s="265" t="s">
        <v>2191</v>
      </c>
      <c r="H35" s="266" t="s">
        <v>1883</v>
      </c>
      <c r="M35" s="249" t="s">
        <v>3492</v>
      </c>
      <c r="N35" s="3"/>
      <c r="O35" s="256" t="s">
        <v>503</v>
      </c>
      <c r="Q35" s="367" t="s">
        <v>3410</v>
      </c>
      <c r="T35" s="260" t="s">
        <v>3242</v>
      </c>
      <c r="U35" s="415" t="s">
        <v>3493</v>
      </c>
    </row>
    <row r="36" spans="2:21" ht="17.25" x14ac:dyDescent="0.25">
      <c r="B36" s="3" t="s">
        <v>3494</v>
      </c>
      <c r="C36" s="365" t="s">
        <v>3495</v>
      </c>
      <c r="D36" s="363" t="s">
        <v>2490</v>
      </c>
      <c r="E36" s="266" t="s">
        <v>3496</v>
      </c>
      <c r="F36" s="256" t="s">
        <v>2597</v>
      </c>
      <c r="G36" s="265" t="s">
        <v>2488</v>
      </c>
      <c r="H36" s="265" t="s">
        <v>2476</v>
      </c>
      <c r="N36" s="3"/>
      <c r="O36" s="256" t="s">
        <v>3497</v>
      </c>
      <c r="Q36" s="367" t="s">
        <v>3475</v>
      </c>
      <c r="T36" s="260" t="s">
        <v>3498</v>
      </c>
      <c r="U36" s="415" t="s">
        <v>3488</v>
      </c>
    </row>
    <row r="37" spans="2:21" ht="17.25" x14ac:dyDescent="0.25">
      <c r="B37" s="3" t="s">
        <v>3499</v>
      </c>
      <c r="C37" s="365" t="s">
        <v>3500</v>
      </c>
      <c r="D37" s="363" t="s">
        <v>2267</v>
      </c>
      <c r="E37" s="265" t="s">
        <v>3501</v>
      </c>
      <c r="F37" s="256" t="s">
        <v>3267</v>
      </c>
      <c r="G37" s="266" t="s">
        <v>2256</v>
      </c>
      <c r="H37" s="265" t="s">
        <v>2120</v>
      </c>
      <c r="N37" s="3"/>
      <c r="O37" s="256" t="s">
        <v>3502</v>
      </c>
      <c r="Q37" s="367" t="s">
        <v>3503</v>
      </c>
      <c r="T37" s="260" t="s">
        <v>3504</v>
      </c>
      <c r="U37" s="410" t="s">
        <v>3505</v>
      </c>
    </row>
    <row r="38" spans="2:21" ht="17.25" x14ac:dyDescent="0.25">
      <c r="B38" s="3" t="s">
        <v>3506</v>
      </c>
      <c r="C38" s="365" t="s">
        <v>3507</v>
      </c>
      <c r="D38" s="250" t="s">
        <v>3396</v>
      </c>
      <c r="E38" s="265" t="s">
        <v>2865</v>
      </c>
      <c r="F38" s="256" t="s">
        <v>3508</v>
      </c>
      <c r="G38" s="265" t="s">
        <v>2149</v>
      </c>
      <c r="H38" s="266" t="s">
        <v>2114</v>
      </c>
      <c r="N38" s="3"/>
      <c r="O38" s="256" t="s">
        <v>3509</v>
      </c>
      <c r="Q38" s="367" t="s">
        <v>3510</v>
      </c>
      <c r="T38" s="260" t="s">
        <v>3511</v>
      </c>
      <c r="U38" s="415" t="s">
        <v>3512</v>
      </c>
    </row>
    <row r="39" spans="2:21" x14ac:dyDescent="0.1">
      <c r="B39" s="3" t="s">
        <v>3513</v>
      </c>
      <c r="C39" s="365" t="s">
        <v>3514</v>
      </c>
      <c r="E39" s="266" t="s">
        <v>2573</v>
      </c>
      <c r="F39" s="364" t="s">
        <v>3515</v>
      </c>
      <c r="G39" s="265" t="s">
        <v>2017</v>
      </c>
      <c r="H39" s="266" t="s">
        <v>2047</v>
      </c>
      <c r="N39" s="3"/>
      <c r="Q39" s="366" t="s">
        <v>3368</v>
      </c>
      <c r="T39" s="260" t="s">
        <v>3516</v>
      </c>
      <c r="U39" s="260"/>
    </row>
    <row r="40" spans="2:21" ht="17.25" x14ac:dyDescent="0.25">
      <c r="B40" s="3" t="s">
        <v>3517</v>
      </c>
      <c r="C40" s="365" t="s">
        <v>3518</v>
      </c>
      <c r="E40" s="265" t="s">
        <v>3519</v>
      </c>
      <c r="F40" s="256" t="s">
        <v>3520</v>
      </c>
      <c r="G40" s="266" t="s">
        <v>2418</v>
      </c>
      <c r="H40" s="266" t="s">
        <v>2303</v>
      </c>
      <c r="N40" s="3"/>
      <c r="O40" s="364" t="s">
        <v>1272</v>
      </c>
      <c r="Q40" s="367" t="s">
        <v>3329</v>
      </c>
      <c r="T40" s="3" t="s">
        <v>3521</v>
      </c>
      <c r="U40" s="3"/>
    </row>
    <row r="41" spans="2:21" ht="17.25" x14ac:dyDescent="0.25">
      <c r="B41" s="3" t="s">
        <v>3522</v>
      </c>
      <c r="C41" s="365" t="s">
        <v>3523</v>
      </c>
      <c r="E41" s="266" t="s">
        <v>3524</v>
      </c>
      <c r="F41" s="364" t="s">
        <v>2366</v>
      </c>
      <c r="G41" s="266" t="s">
        <v>2403</v>
      </c>
      <c r="H41" s="265" t="s">
        <v>2135</v>
      </c>
      <c r="O41" s="256" t="s">
        <v>1330</v>
      </c>
      <c r="Q41" s="367" t="s">
        <v>3525</v>
      </c>
      <c r="T41" s="263" t="s">
        <v>1185</v>
      </c>
      <c r="U41" s="263"/>
    </row>
    <row r="42" spans="2:21" ht="17.25" x14ac:dyDescent="0.25">
      <c r="B42" s="3" t="s">
        <v>3310</v>
      </c>
      <c r="C42" s="365" t="s">
        <v>3526</v>
      </c>
      <c r="E42" s="266" t="s">
        <v>3527</v>
      </c>
      <c r="F42" s="256" t="s">
        <v>3528</v>
      </c>
      <c r="G42" s="265" t="s">
        <v>2146</v>
      </c>
      <c r="H42" s="266" t="s">
        <v>2723</v>
      </c>
      <c r="O42" s="364" t="s">
        <v>3438</v>
      </c>
      <c r="Q42" s="367" t="s">
        <v>3357</v>
      </c>
      <c r="T42" s="263" t="s">
        <v>1206</v>
      </c>
      <c r="U42" s="263"/>
    </row>
    <row r="43" spans="2:21" ht="17.25" x14ac:dyDescent="0.25">
      <c r="B43" s="3" t="s">
        <v>3529</v>
      </c>
      <c r="C43" s="365" t="s">
        <v>3530</v>
      </c>
      <c r="E43" s="265" t="s">
        <v>2578</v>
      </c>
      <c r="F43" s="256" t="s">
        <v>3531</v>
      </c>
      <c r="G43" s="265" t="s">
        <v>2167</v>
      </c>
      <c r="H43" s="266" t="s">
        <v>2154</v>
      </c>
      <c r="O43" s="364" t="s">
        <v>3532</v>
      </c>
      <c r="Q43" s="367" t="s">
        <v>3533</v>
      </c>
      <c r="T43" s="263" t="s">
        <v>139</v>
      </c>
      <c r="U43" s="263"/>
    </row>
    <row r="44" spans="2:21" ht="17.25" x14ac:dyDescent="0.25">
      <c r="B44" s="3" t="s">
        <v>3534</v>
      </c>
      <c r="C44" s="365" t="s">
        <v>3535</v>
      </c>
      <c r="E44" s="266" t="s">
        <v>2959</v>
      </c>
      <c r="F44" s="364" t="s">
        <v>2648</v>
      </c>
      <c r="G44" s="265" t="s">
        <v>2460</v>
      </c>
      <c r="H44" s="265" t="s">
        <v>2496</v>
      </c>
      <c r="O44" s="364" t="s">
        <v>3536</v>
      </c>
      <c r="Q44" s="367" t="s">
        <v>3339</v>
      </c>
      <c r="T44" s="263" t="s">
        <v>422</v>
      </c>
      <c r="U44" s="263"/>
    </row>
    <row r="45" spans="2:21" ht="17.25" x14ac:dyDescent="0.25">
      <c r="B45" s="3" t="s">
        <v>3537</v>
      </c>
      <c r="C45" s="365" t="s">
        <v>3538</v>
      </c>
      <c r="E45" s="265" t="s">
        <v>3539</v>
      </c>
      <c r="F45" s="256" t="s">
        <v>3540</v>
      </c>
      <c r="G45" s="266" t="s">
        <v>2470</v>
      </c>
      <c r="H45" s="265" t="s">
        <v>2358</v>
      </c>
      <c r="O45" s="256" t="s">
        <v>3541</v>
      </c>
      <c r="Q45" s="367" t="s">
        <v>3347</v>
      </c>
      <c r="T45" s="263" t="s">
        <v>83</v>
      </c>
      <c r="U45" s="263"/>
    </row>
    <row r="46" spans="2:21" ht="17.25" x14ac:dyDescent="0.25">
      <c r="E46" s="265" t="s">
        <v>3542</v>
      </c>
      <c r="F46" s="256" t="s">
        <v>3543</v>
      </c>
      <c r="G46" s="265" t="s">
        <v>2199</v>
      </c>
      <c r="H46" s="265" t="s">
        <v>3544</v>
      </c>
      <c r="O46" s="256" t="s">
        <v>3545</v>
      </c>
      <c r="Q46" s="367" t="s">
        <v>3392</v>
      </c>
      <c r="T46" s="263" t="s">
        <v>1208</v>
      </c>
      <c r="U46" s="263"/>
    </row>
    <row r="47" spans="2:21" ht="17.25" x14ac:dyDescent="0.25">
      <c r="E47" s="265" t="s">
        <v>674</v>
      </c>
      <c r="F47" s="256" t="s">
        <v>3546</v>
      </c>
      <c r="G47" s="265" t="s">
        <v>2152</v>
      </c>
      <c r="H47" s="265" t="s">
        <v>2322</v>
      </c>
      <c r="O47" s="264" t="s">
        <v>3547</v>
      </c>
      <c r="Q47" s="367" t="s">
        <v>3382</v>
      </c>
      <c r="T47" s="263" t="s">
        <v>3548</v>
      </c>
      <c r="U47" s="263"/>
    </row>
    <row r="48" spans="2:21" ht="17.25" x14ac:dyDescent="0.25">
      <c r="E48" s="265" t="s">
        <v>2581</v>
      </c>
      <c r="F48" s="256" t="s">
        <v>2671</v>
      </c>
      <c r="G48" s="266" t="s">
        <v>2133</v>
      </c>
      <c r="H48" s="265" t="s">
        <v>2139</v>
      </c>
      <c r="O48" s="264" t="s">
        <v>3549</v>
      </c>
      <c r="Q48" s="367" t="s">
        <v>3374</v>
      </c>
      <c r="T48" s="263" t="s">
        <v>135</v>
      </c>
      <c r="U48" s="263"/>
    </row>
    <row r="49" spans="5:21" ht="17.25" x14ac:dyDescent="0.25">
      <c r="E49" s="265" t="s">
        <v>2871</v>
      </c>
      <c r="F49" s="364" t="s">
        <v>2682</v>
      </c>
      <c r="H49" s="265" t="s">
        <v>2420</v>
      </c>
      <c r="O49" s="364" t="s">
        <v>3550</v>
      </c>
      <c r="Q49" s="367" t="s">
        <v>3294</v>
      </c>
      <c r="T49" s="368" t="s">
        <v>1121</v>
      </c>
      <c r="U49" s="263"/>
    </row>
    <row r="50" spans="5:21" ht="17.25" x14ac:dyDescent="0.25">
      <c r="E50" s="265" t="s">
        <v>2583</v>
      </c>
      <c r="F50" s="256" t="s">
        <v>3551</v>
      </c>
      <c r="H50" s="265" t="s">
        <v>2230</v>
      </c>
      <c r="O50" s="256" t="s">
        <v>3552</v>
      </c>
      <c r="Q50" s="367" t="s">
        <v>3307</v>
      </c>
      <c r="T50" s="263" t="s">
        <v>89</v>
      </c>
      <c r="U50" s="263"/>
    </row>
    <row r="51" spans="5:21" ht="17.25" x14ac:dyDescent="0.25">
      <c r="E51" s="265" t="s">
        <v>3296</v>
      </c>
      <c r="F51" s="364" t="s">
        <v>2607</v>
      </c>
      <c r="H51" s="266" t="s">
        <v>2055</v>
      </c>
      <c r="Q51" s="367" t="s">
        <v>3318</v>
      </c>
      <c r="T51" s="263" t="s">
        <v>107</v>
      </c>
      <c r="U51" s="263"/>
    </row>
    <row r="52" spans="5:21" ht="17.25" x14ac:dyDescent="0.25">
      <c r="E52" s="265" t="s">
        <v>2587</v>
      </c>
      <c r="F52" s="364" t="s">
        <v>2161</v>
      </c>
      <c r="H52" s="265" t="s">
        <v>2057</v>
      </c>
      <c r="Q52" s="367" t="s">
        <v>3553</v>
      </c>
      <c r="T52" s="263" t="s">
        <v>101</v>
      </c>
      <c r="U52" s="263"/>
    </row>
    <row r="53" spans="5:21" x14ac:dyDescent="0.1">
      <c r="E53" s="265" t="s">
        <v>2589</v>
      </c>
      <c r="F53" s="256" t="s">
        <v>2525</v>
      </c>
      <c r="H53" s="265" t="s">
        <v>2209</v>
      </c>
      <c r="Q53" s="366" t="s">
        <v>3554</v>
      </c>
      <c r="T53" s="263" t="s">
        <v>111</v>
      </c>
      <c r="U53" s="263"/>
    </row>
    <row r="54" spans="5:21" x14ac:dyDescent="0.1">
      <c r="E54" s="266" t="s">
        <v>3555</v>
      </c>
      <c r="F54" s="364" t="s">
        <v>2532</v>
      </c>
      <c r="H54" s="266" t="s">
        <v>1894</v>
      </c>
      <c r="Q54" s="366" t="s">
        <v>3556</v>
      </c>
      <c r="T54" s="263" t="s">
        <v>3557</v>
      </c>
      <c r="U54" s="263"/>
    </row>
    <row r="55" spans="5:21" x14ac:dyDescent="0.1">
      <c r="E55" s="266" t="s">
        <v>3558</v>
      </c>
      <c r="F55" s="364" t="s">
        <v>2677</v>
      </c>
      <c r="H55" s="266" t="s">
        <v>2122</v>
      </c>
      <c r="Q55" s="366" t="s">
        <v>3559</v>
      </c>
      <c r="T55" s="263" t="s">
        <v>156</v>
      </c>
      <c r="U55" s="263"/>
    </row>
    <row r="56" spans="5:21" x14ac:dyDescent="0.1">
      <c r="E56" s="265" t="s">
        <v>2593</v>
      </c>
      <c r="H56" s="265" t="s">
        <v>2120</v>
      </c>
      <c r="Q56" s="338" t="s">
        <v>3560</v>
      </c>
      <c r="T56" s="263" t="s">
        <v>1195</v>
      </c>
      <c r="U56" s="263"/>
    </row>
    <row r="57" spans="5:21" x14ac:dyDescent="0.1">
      <c r="E57" s="265" t="s">
        <v>1744</v>
      </c>
      <c r="H57" s="266" t="s">
        <v>1917</v>
      </c>
      <c r="Q57" s="338" t="s">
        <v>3561</v>
      </c>
      <c r="T57" s="263" t="s">
        <v>3562</v>
      </c>
      <c r="U57" s="263"/>
    </row>
    <row r="58" spans="5:21" x14ac:dyDescent="0.1">
      <c r="E58" s="266" t="s">
        <v>3563</v>
      </c>
      <c r="H58" s="265" t="s">
        <v>2272</v>
      </c>
      <c r="Q58" s="338" t="s">
        <v>3559</v>
      </c>
      <c r="T58" s="263" t="s">
        <v>3564</v>
      </c>
      <c r="U58" s="263"/>
    </row>
    <row r="59" spans="5:21" x14ac:dyDescent="0.1">
      <c r="E59" s="265" t="s">
        <v>2605</v>
      </c>
      <c r="H59" s="265" t="s">
        <v>17</v>
      </c>
      <c r="Q59" s="338" t="s">
        <v>3565</v>
      </c>
      <c r="T59" s="263" t="s">
        <v>137</v>
      </c>
      <c r="U59" s="263"/>
    </row>
    <row r="60" spans="5:21" x14ac:dyDescent="0.1">
      <c r="E60" s="266" t="s">
        <v>3566</v>
      </c>
      <c r="H60" s="265" t="s">
        <v>2213</v>
      </c>
      <c r="Q60" s="338" t="s">
        <v>3559</v>
      </c>
      <c r="T60" s="263" t="s">
        <v>1190</v>
      </c>
      <c r="U60" s="263"/>
    </row>
    <row r="61" spans="5:21" x14ac:dyDescent="0.1">
      <c r="E61" s="265" t="s">
        <v>2616</v>
      </c>
      <c r="H61" s="266" t="s">
        <v>2278</v>
      </c>
      <c r="Q61" s="338" t="s">
        <v>3567</v>
      </c>
      <c r="T61" s="263" t="s">
        <v>2098</v>
      </c>
      <c r="U61" s="263"/>
    </row>
    <row r="62" spans="5:21" x14ac:dyDescent="0.1">
      <c r="E62" s="265" t="s">
        <v>2619</v>
      </c>
      <c r="H62" s="265" t="s">
        <v>2482</v>
      </c>
      <c r="Q62" s="338" t="s">
        <v>3568</v>
      </c>
      <c r="T62" s="263" t="s">
        <v>119</v>
      </c>
      <c r="U62" s="263"/>
    </row>
    <row r="63" spans="5:21" x14ac:dyDescent="0.1">
      <c r="E63" s="265" t="s">
        <v>32</v>
      </c>
      <c r="H63" s="265" t="s">
        <v>2639</v>
      </c>
      <c r="Q63" s="338" t="s">
        <v>3569</v>
      </c>
      <c r="T63" s="263" t="s">
        <v>2217</v>
      </c>
      <c r="U63" s="263"/>
    </row>
    <row r="64" spans="5:21" x14ac:dyDescent="0.1">
      <c r="E64" s="266" t="s">
        <v>2332</v>
      </c>
      <c r="H64" s="265" t="s">
        <v>2102</v>
      </c>
      <c r="Q64" s="338" t="s">
        <v>3570</v>
      </c>
      <c r="T64" s="263" t="s">
        <v>3571</v>
      </c>
      <c r="U64" s="263"/>
    </row>
    <row r="65" spans="5:21" x14ac:dyDescent="0.1">
      <c r="E65" s="266" t="s">
        <v>3572</v>
      </c>
      <c r="H65" s="265" t="s">
        <v>2180</v>
      </c>
      <c r="Q65" s="338" t="s">
        <v>3559</v>
      </c>
      <c r="T65" s="263" t="s">
        <v>3573</v>
      </c>
      <c r="U65" s="263"/>
    </row>
    <row r="66" spans="5:21" x14ac:dyDescent="0.1">
      <c r="E66" s="265" t="s">
        <v>2899</v>
      </c>
      <c r="H66" s="266" t="s">
        <v>2400</v>
      </c>
      <c r="Q66" s="338" t="s">
        <v>3574</v>
      </c>
    </row>
    <row r="67" spans="5:21" x14ac:dyDescent="0.1">
      <c r="E67" s="266" t="s">
        <v>3575</v>
      </c>
      <c r="H67" s="266" t="s">
        <v>2499</v>
      </c>
      <c r="Q67" s="338" t="s">
        <v>3559</v>
      </c>
    </row>
    <row r="68" spans="5:21" x14ac:dyDescent="0.1">
      <c r="E68" s="265" t="s">
        <v>3576</v>
      </c>
      <c r="H68" s="265" t="s">
        <v>2199</v>
      </c>
    </row>
    <row r="69" spans="5:21" x14ac:dyDescent="0.1">
      <c r="E69" s="265" t="s">
        <v>2378</v>
      </c>
      <c r="H69" s="266" t="s">
        <v>19</v>
      </c>
    </row>
    <row r="70" spans="5:21" x14ac:dyDescent="0.1">
      <c r="E70" s="265" t="s">
        <v>2628</v>
      </c>
      <c r="H70" s="265" t="s">
        <v>2437</v>
      </c>
    </row>
    <row r="71" spans="5:21" x14ac:dyDescent="0.1">
      <c r="E71" s="266" t="s">
        <v>2905</v>
      </c>
      <c r="H71" s="265" t="s">
        <v>2452</v>
      </c>
    </row>
    <row r="72" spans="5:21" x14ac:dyDescent="0.1">
      <c r="E72" s="266" t="s">
        <v>1923</v>
      </c>
      <c r="H72" s="265" t="s">
        <v>2176</v>
      </c>
    </row>
    <row r="73" spans="5:21" x14ac:dyDescent="0.1">
      <c r="E73" s="265" t="s">
        <v>3577</v>
      </c>
      <c r="H73" s="265" t="s">
        <v>2240</v>
      </c>
    </row>
    <row r="74" spans="5:21" x14ac:dyDescent="0.1">
      <c r="E74" s="266" t="s">
        <v>3578</v>
      </c>
      <c r="H74" s="265" t="s">
        <v>2317</v>
      </c>
    </row>
    <row r="75" spans="5:21" x14ac:dyDescent="0.1">
      <c r="E75" s="265" t="s">
        <v>3382</v>
      </c>
      <c r="H75" s="265" t="s">
        <v>2280</v>
      </c>
    </row>
    <row r="76" spans="5:21" x14ac:dyDescent="0.1">
      <c r="E76" s="265" t="s">
        <v>3579</v>
      </c>
      <c r="H76" s="266" t="s">
        <v>2468</v>
      </c>
    </row>
    <row r="77" spans="5:21" x14ac:dyDescent="0.1">
      <c r="E77" s="265" t="s">
        <v>2655</v>
      </c>
      <c r="H77" s="265" t="s">
        <v>2296</v>
      </c>
    </row>
    <row r="78" spans="5:21" x14ac:dyDescent="0.1">
      <c r="E78" s="265" t="s">
        <v>3580</v>
      </c>
      <c r="H78" s="266" t="s">
        <v>7</v>
      </c>
    </row>
    <row r="79" spans="5:21" x14ac:dyDescent="0.1">
      <c r="E79" s="265" t="s">
        <v>684</v>
      </c>
      <c r="H79" s="265" t="s">
        <v>2457</v>
      </c>
    </row>
    <row r="80" spans="5:21" x14ac:dyDescent="0.1">
      <c r="E80" s="265" t="s">
        <v>2664</v>
      </c>
      <c r="H80" s="265" t="s">
        <v>2340</v>
      </c>
    </row>
    <row r="81" spans="5:21" x14ac:dyDescent="0.1">
      <c r="E81" s="265" t="s">
        <v>687</v>
      </c>
      <c r="H81" s="265" t="s">
        <v>2397</v>
      </c>
    </row>
    <row r="82" spans="5:21" x14ac:dyDescent="0.1">
      <c r="E82" s="265" t="s">
        <v>2668</v>
      </c>
      <c r="H82" s="266" t="s">
        <v>2260</v>
      </c>
    </row>
    <row r="83" spans="5:21" x14ac:dyDescent="0.1">
      <c r="E83" s="266" t="s">
        <v>3581</v>
      </c>
      <c r="H83" s="265" t="s">
        <v>2074</v>
      </c>
    </row>
    <row r="84" spans="5:21" x14ac:dyDescent="0.1">
      <c r="E84" s="266" t="s">
        <v>3582</v>
      </c>
      <c r="H84" s="265" t="s">
        <v>1885</v>
      </c>
    </row>
    <row r="85" spans="5:21" x14ac:dyDescent="0.1">
      <c r="E85" s="266" t="s">
        <v>3583</v>
      </c>
      <c r="H85" s="265" t="s">
        <v>1857</v>
      </c>
    </row>
    <row r="86" spans="5:21" x14ac:dyDescent="0.1">
      <c r="E86" s="265" t="s">
        <v>2687</v>
      </c>
      <c r="H86" s="265" t="s">
        <v>1928</v>
      </c>
    </row>
    <row r="87" spans="5:21" x14ac:dyDescent="0.1">
      <c r="E87" s="266" t="s">
        <v>2695</v>
      </c>
      <c r="H87" s="265" t="s">
        <v>2013</v>
      </c>
    </row>
    <row r="88" spans="5:21" x14ac:dyDescent="0.1">
      <c r="E88" s="265" t="s">
        <v>3584</v>
      </c>
      <c r="H88" s="265" t="s">
        <v>2274</v>
      </c>
    </row>
    <row r="89" spans="5:21" x14ac:dyDescent="0.1">
      <c r="E89" s="265" t="s">
        <v>2494</v>
      </c>
      <c r="H89" s="265" t="s">
        <v>2321</v>
      </c>
    </row>
    <row r="90" spans="5:21" x14ac:dyDescent="0.1">
      <c r="E90" s="265" t="s">
        <v>3585</v>
      </c>
      <c r="H90" s="265" t="s">
        <v>2207</v>
      </c>
    </row>
    <row r="91" spans="5:21" x14ac:dyDescent="0.1">
      <c r="E91" s="266"/>
      <c r="H91" s="265" t="s">
        <v>2236</v>
      </c>
      <c r="M91" s="250"/>
      <c r="N91" s="256"/>
      <c r="P91" s="258"/>
      <c r="S91" s="261"/>
      <c r="U91" s="249"/>
    </row>
    <row r="92" spans="5:21" x14ac:dyDescent="0.1">
      <c r="H92" s="265" t="s">
        <v>2334</v>
      </c>
    </row>
    <row r="93" spans="5:21" x14ac:dyDescent="0.1">
      <c r="H93" s="265" t="s">
        <v>2104</v>
      </c>
    </row>
    <row r="94" spans="5:21" x14ac:dyDescent="0.1">
      <c r="H94" s="265" t="s">
        <v>3586</v>
      </c>
    </row>
    <row r="95" spans="5:21" x14ac:dyDescent="0.1">
      <c r="H95" s="265" t="s">
        <v>1840</v>
      </c>
    </row>
    <row r="96" spans="5:21" x14ac:dyDescent="0.1">
      <c r="H96" s="265" t="s">
        <v>1854</v>
      </c>
    </row>
    <row r="97" spans="8:17" x14ac:dyDescent="0.1">
      <c r="H97" s="265" t="s">
        <v>1867</v>
      </c>
    </row>
    <row r="98" spans="8:17" x14ac:dyDescent="0.1">
      <c r="H98" s="265" t="s">
        <v>1920</v>
      </c>
    </row>
    <row r="99" spans="8:17" x14ac:dyDescent="0.1">
      <c r="H99" s="265" t="s">
        <v>2015</v>
      </c>
    </row>
    <row r="100" spans="8:17" x14ac:dyDescent="0.1">
      <c r="H100" s="266" t="s">
        <v>2098</v>
      </c>
    </row>
    <row r="101" spans="8:17" x14ac:dyDescent="0.1">
      <c r="H101" s="265" t="s">
        <v>2226</v>
      </c>
    </row>
    <row r="102" spans="8:17" x14ac:dyDescent="0.1">
      <c r="H102" s="265" t="s">
        <v>2228</v>
      </c>
    </row>
    <row r="103" spans="8:17" x14ac:dyDescent="0.1">
      <c r="H103" s="265" t="s">
        <v>2247</v>
      </c>
      <c r="Q103" s="249"/>
    </row>
    <row r="104" spans="8:17" x14ac:dyDescent="0.1">
      <c r="H104" s="265" t="s">
        <v>2313</v>
      </c>
    </row>
    <row r="105" spans="8:17" x14ac:dyDescent="0.1">
      <c r="H105" s="265" t="s">
        <v>2324</v>
      </c>
    </row>
    <row r="106" spans="8:17" x14ac:dyDescent="0.1">
      <c r="H106" s="265" t="s">
        <v>2330</v>
      </c>
    </row>
    <row r="107" spans="8:17" x14ac:dyDescent="0.1">
      <c r="H107" s="266" t="s">
        <v>2385</v>
      </c>
    </row>
    <row r="108" spans="8:17" x14ac:dyDescent="0.1">
      <c r="H108" s="265" t="s">
        <v>2432</v>
      </c>
    </row>
    <row r="109" spans="8:17" x14ac:dyDescent="0.1">
      <c r="H109" s="266" t="s">
        <v>2439</v>
      </c>
    </row>
    <row r="110" spans="8:17" x14ac:dyDescent="0.1">
      <c r="H110" s="265" t="s">
        <v>2430</v>
      </c>
    </row>
    <row r="111" spans="8:17" x14ac:dyDescent="0.1">
      <c r="H111" s="265" t="s">
        <v>2718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416"/>
  <sheetViews>
    <sheetView topLeftCell="B1" workbookViewId="0">
      <pane xSplit="5" ySplit="4" topLeftCell="G5" activePane="bottomRight" state="frozen"/>
      <selection activeCell="B1" sqref="B1"/>
      <selection pane="bottomLeft" activeCell="B5" sqref="B5"/>
      <selection pane="topRight" activeCell="G1" sqref="G1"/>
      <selection pane="bottomRight" activeCell="D221" sqref="D221"/>
    </sheetView>
  </sheetViews>
  <sheetFormatPr defaultColWidth="9.00390625" defaultRowHeight="14.25" x14ac:dyDescent="0.1"/>
  <cols>
    <col min="1" max="2" width="9.00390625" style="249" customWidth="1"/>
    <col min="3" max="3" width="9.9375" style="249" customWidth="1"/>
    <col min="4" max="4" width="16.01953125" style="402" customWidth="1"/>
    <col min="5" max="5" width="9.00390625" style="575" customWidth="1"/>
    <col min="6" max="6" width="10.9921875" style="249" customWidth="1"/>
    <col min="7" max="7" width="98.9375" style="261" customWidth="1"/>
    <col min="8" max="9" width="18.9453125" style="249" customWidth="1"/>
    <col min="10" max="10" width="32.04296875" style="249" customWidth="1"/>
    <col min="11" max="11" width="16.95703125" style="249" customWidth="1"/>
    <col min="12" max="13" width="18.0078125" style="249" customWidth="1"/>
    <col min="14" max="14" width="9.00390625" style="249" customWidth="1"/>
    <col min="15" max="16384" width="9.00390625" style="249"/>
  </cols>
  <sheetData>
    <row r="2" spans="2:10" x14ac:dyDescent="0.1">
      <c r="B2" s="249" t="s">
        <v>3587</v>
      </c>
      <c r="C2" s="249">
        <f>D414</f>
        <v>396</v>
      </c>
    </row>
    <row r="3" spans="2:10" x14ac:dyDescent="0.1">
      <c r="B3" s="249" t="s">
        <v>3588</v>
      </c>
      <c r="C3" s="249" t="s">
        <v>3589</v>
      </c>
      <c r="D3" s="402" t="s">
        <v>262</v>
      </c>
      <c r="F3" s="249" t="s">
        <v>3590</v>
      </c>
      <c r="G3" s="261" t="s">
        <v>3591</v>
      </c>
      <c r="H3" s="249" t="s">
        <v>3592</v>
      </c>
      <c r="I3" s="249" t="s">
        <v>3593</v>
      </c>
      <c r="J3" s="249" t="s">
        <v>3594</v>
      </c>
    </row>
    <row r="4" spans="2:10" x14ac:dyDescent="0.1">
      <c r="C4" s="249" t="s">
        <v>3214</v>
      </c>
      <c r="D4" s="256" t="s">
        <v>262</v>
      </c>
      <c r="E4" s="582">
        <f>SUM(E5:E413)</f>
        <v>300</v>
      </c>
      <c r="F4" s="256" t="s">
        <v>3590</v>
      </c>
      <c r="G4" s="397" t="s">
        <v>3591</v>
      </c>
      <c r="H4" s="594" t="s">
        <v>3592</v>
      </c>
      <c r="I4" s="256" t="s">
        <v>3593</v>
      </c>
    </row>
    <row r="5" spans="2:10" x14ac:dyDescent="0.1">
      <c r="C5" s="388">
        <v>25</v>
      </c>
      <c r="D5" s="364" t="s">
        <v>3244</v>
      </c>
      <c r="E5" s="567">
        <v>1</v>
      </c>
      <c r="F5" s="364" t="s">
        <v>3595</v>
      </c>
      <c r="G5" s="390" t="s">
        <v>3596</v>
      </c>
      <c r="H5" s="256" t="s">
        <v>3597</v>
      </c>
      <c r="I5" s="256" t="s">
        <v>3598</v>
      </c>
    </row>
    <row r="6" spans="2:10" x14ac:dyDescent="0.1">
      <c r="C6" s="388"/>
      <c r="D6" s="541" t="s">
        <v>3599</v>
      </c>
      <c r="E6" s="576"/>
      <c r="F6" s="364" t="s">
        <v>3600</v>
      </c>
      <c r="G6" s="390" t="s">
        <v>3601</v>
      </c>
      <c r="H6" s="256" t="s">
        <v>3602</v>
      </c>
      <c r="I6" s="542" t="s">
        <v>3603</v>
      </c>
    </row>
    <row r="7" spans="2:10" x14ac:dyDescent="0.1">
      <c r="D7" s="364" t="s">
        <v>3276</v>
      </c>
      <c r="E7" s="567"/>
      <c r="F7" s="364" t="s">
        <v>3604</v>
      </c>
      <c r="G7" s="390" t="s">
        <v>3605</v>
      </c>
      <c r="H7" s="256" t="s">
        <v>3606</v>
      </c>
      <c r="I7" s="256" t="s">
        <v>3607</v>
      </c>
    </row>
    <row r="8" spans="2:10" x14ac:dyDescent="0.1">
      <c r="D8" s="364" t="s">
        <v>3311</v>
      </c>
      <c r="E8" s="567">
        <v>1</v>
      </c>
      <c r="F8" s="364" t="s">
        <v>3608</v>
      </c>
      <c r="G8" s="390" t="s">
        <v>3609</v>
      </c>
      <c r="H8" s="256" t="s">
        <v>3610</v>
      </c>
      <c r="I8" s="256" t="s">
        <v>3611</v>
      </c>
    </row>
    <row r="9" spans="2:10" x14ac:dyDescent="0.1">
      <c r="D9" s="364" t="s">
        <v>3321</v>
      </c>
      <c r="E9" s="567">
        <v>1</v>
      </c>
      <c r="F9" s="592" t="s">
        <v>3612</v>
      </c>
      <c r="G9" s="390" t="s">
        <v>3613</v>
      </c>
      <c r="H9" s="256" t="s">
        <v>3614</v>
      </c>
      <c r="I9" s="256" t="s">
        <v>3615</v>
      </c>
    </row>
    <row r="10" spans="2:10" x14ac:dyDescent="0.1">
      <c r="D10" s="543" t="s">
        <v>3616</v>
      </c>
      <c r="E10" s="577">
        <v>1</v>
      </c>
      <c r="F10" s="364" t="s">
        <v>3617</v>
      </c>
      <c r="G10" s="390" t="s">
        <v>3618</v>
      </c>
      <c r="H10" s="256" t="s">
        <v>3619</v>
      </c>
      <c r="I10" s="256"/>
    </row>
    <row r="11" spans="2:10" x14ac:dyDescent="0.1">
      <c r="D11" s="364" t="s">
        <v>3620</v>
      </c>
      <c r="E11" s="567">
        <v>1</v>
      </c>
      <c r="F11" s="592" t="s">
        <v>3621</v>
      </c>
      <c r="G11" s="390" t="s">
        <v>3622</v>
      </c>
      <c r="H11" s="256" t="s">
        <v>3623</v>
      </c>
      <c r="I11" s="256" t="s">
        <v>3624</v>
      </c>
    </row>
    <row r="12" spans="2:10" x14ac:dyDescent="0.1">
      <c r="D12" s="364" t="s">
        <v>3625</v>
      </c>
      <c r="E12" s="567">
        <v>1</v>
      </c>
      <c r="F12" s="364" t="s">
        <v>3626</v>
      </c>
      <c r="G12" s="552" t="s">
        <v>3627</v>
      </c>
      <c r="H12" s="256" t="s">
        <v>3628</v>
      </c>
      <c r="I12" s="256" t="s">
        <v>3629</v>
      </c>
    </row>
    <row r="13" spans="2:10" x14ac:dyDescent="0.1">
      <c r="D13" s="364" t="s">
        <v>1421</v>
      </c>
      <c r="E13" s="567">
        <v>1</v>
      </c>
      <c r="F13" s="592" t="s">
        <v>3630</v>
      </c>
      <c r="G13" s="390" t="s">
        <v>3631</v>
      </c>
      <c r="H13" s="256"/>
      <c r="I13" s="256" t="s">
        <v>3632</v>
      </c>
    </row>
    <row r="14" spans="2:10" x14ac:dyDescent="0.1">
      <c r="D14" s="541" t="s">
        <v>3633</v>
      </c>
      <c r="E14" s="576"/>
      <c r="F14" s="541"/>
      <c r="G14" s="541" t="s">
        <v>3603</v>
      </c>
      <c r="H14" s="544" t="s">
        <v>3624</v>
      </c>
      <c r="I14" s="544" t="s">
        <v>888</v>
      </c>
    </row>
    <row r="15" spans="2:10" x14ac:dyDescent="0.1">
      <c r="D15" s="364" t="s">
        <v>2338</v>
      </c>
      <c r="E15" s="567"/>
      <c r="F15" s="364" t="s">
        <v>3634</v>
      </c>
      <c r="G15" s="390" t="s">
        <v>3635</v>
      </c>
      <c r="H15" s="256" t="s">
        <v>3603</v>
      </c>
      <c r="I15" s="256" t="s">
        <v>3636</v>
      </c>
    </row>
    <row r="16" spans="2:10" x14ac:dyDescent="0.1">
      <c r="D16" s="545" t="s">
        <v>3637</v>
      </c>
      <c r="E16" s="578"/>
      <c r="F16" s="545"/>
      <c r="G16" s="553"/>
      <c r="H16" s="546" t="s">
        <v>3603</v>
      </c>
      <c r="I16" s="546" t="s">
        <v>3603</v>
      </c>
    </row>
    <row r="17" spans="3:10" x14ac:dyDescent="0.1">
      <c r="D17" s="594" t="s">
        <v>3412</v>
      </c>
      <c r="E17" s="567">
        <v>1</v>
      </c>
      <c r="F17" s="592" t="s">
        <v>3638</v>
      </c>
      <c r="G17" s="597" t="s">
        <v>3639</v>
      </c>
      <c r="H17" s="256" t="s">
        <v>3640</v>
      </c>
      <c r="I17" s="256" t="s">
        <v>3641</v>
      </c>
    </row>
    <row r="18" spans="3:10" x14ac:dyDescent="0.1">
      <c r="D18" s="364" t="s">
        <v>1272</v>
      </c>
      <c r="E18" s="567">
        <v>1</v>
      </c>
      <c r="F18" s="592" t="s">
        <v>3642</v>
      </c>
      <c r="G18" s="390" t="s">
        <v>3643</v>
      </c>
      <c r="H18" s="256" t="s">
        <v>3644</v>
      </c>
      <c r="I18" s="256" t="s">
        <v>3645</v>
      </c>
    </row>
    <row r="19" spans="3:10" x14ac:dyDescent="0.1">
      <c r="D19" s="364" t="s">
        <v>3423</v>
      </c>
      <c r="E19" s="567"/>
      <c r="F19" s="592" t="s">
        <v>3646</v>
      </c>
      <c r="G19" s="390" t="s">
        <v>3647</v>
      </c>
      <c r="H19" s="256" t="s">
        <v>3648</v>
      </c>
      <c r="I19" s="256" t="s">
        <v>3649</v>
      </c>
    </row>
    <row r="20" spans="3:10" x14ac:dyDescent="0.1">
      <c r="D20" s="364" t="s">
        <v>3431</v>
      </c>
      <c r="E20" s="567">
        <v>1</v>
      </c>
      <c r="F20" s="592" t="s">
        <v>3650</v>
      </c>
      <c r="G20" s="390" t="s">
        <v>3651</v>
      </c>
      <c r="H20" s="256" t="s">
        <v>3624</v>
      </c>
      <c r="I20" s="256" t="s">
        <v>3652</v>
      </c>
    </row>
    <row r="21" spans="3:10" x14ac:dyDescent="0.1">
      <c r="D21" s="364" t="s">
        <v>3440</v>
      </c>
      <c r="E21" s="567">
        <v>1</v>
      </c>
      <c r="F21" s="592" t="s">
        <v>3653</v>
      </c>
      <c r="G21" s="390" t="s">
        <v>3654</v>
      </c>
      <c r="H21" s="256" t="s">
        <v>3655</v>
      </c>
      <c r="I21" s="256" t="s">
        <v>3656</v>
      </c>
    </row>
    <row r="22" spans="3:10" x14ac:dyDescent="0.1">
      <c r="D22" s="364" t="s">
        <v>3448</v>
      </c>
      <c r="E22" s="567" t="s">
        <v>3396</v>
      </c>
      <c r="F22" s="592" t="s">
        <v>3657</v>
      </c>
      <c r="G22" s="390" t="s">
        <v>3658</v>
      </c>
      <c r="H22" s="256" t="s">
        <v>3659</v>
      </c>
      <c r="I22" s="256" t="s">
        <v>3660</v>
      </c>
    </row>
    <row r="23" spans="3:10" x14ac:dyDescent="0.1">
      <c r="D23" s="364" t="s">
        <v>3459</v>
      </c>
      <c r="E23" s="567">
        <v>1</v>
      </c>
      <c r="F23" s="592" t="s">
        <v>3661</v>
      </c>
      <c r="G23" s="390" t="s">
        <v>3662</v>
      </c>
      <c r="H23" s="256" t="s">
        <v>3624</v>
      </c>
      <c r="I23" s="256" t="s">
        <v>3663</v>
      </c>
    </row>
    <row r="24" spans="3:10" x14ac:dyDescent="0.1">
      <c r="D24" s="364" t="s">
        <v>3465</v>
      </c>
      <c r="E24" s="567">
        <v>1</v>
      </c>
      <c r="F24" s="592" t="s">
        <v>3664</v>
      </c>
      <c r="G24" s="390" t="s">
        <v>3665</v>
      </c>
      <c r="H24" s="256" t="s">
        <v>3666</v>
      </c>
      <c r="I24" s="256" t="s">
        <v>3667</v>
      </c>
    </row>
    <row r="25" spans="3:10" x14ac:dyDescent="0.1">
      <c r="D25" s="364" t="s">
        <v>1425</v>
      </c>
      <c r="E25" s="567">
        <v>1</v>
      </c>
      <c r="F25" s="592" t="s">
        <v>3668</v>
      </c>
      <c r="G25" s="390" t="s">
        <v>3669</v>
      </c>
      <c r="H25" s="256" t="s">
        <v>3670</v>
      </c>
      <c r="I25" s="256" t="s">
        <v>1426</v>
      </c>
    </row>
    <row r="26" spans="3:10" x14ac:dyDescent="0.1">
      <c r="D26" s="545" t="s">
        <v>3671</v>
      </c>
      <c r="E26" s="578"/>
      <c r="F26" s="545"/>
      <c r="G26" s="553"/>
      <c r="H26" s="546" t="s">
        <v>3603</v>
      </c>
      <c r="I26" s="546" t="s">
        <v>3672</v>
      </c>
    </row>
    <row r="27" spans="3:10" x14ac:dyDescent="0.1">
      <c r="D27" s="545" t="s">
        <v>3673</v>
      </c>
      <c r="E27" s="578"/>
      <c r="F27" s="545"/>
      <c r="G27" s="553"/>
      <c r="H27" s="546" t="s">
        <v>3603</v>
      </c>
      <c r="I27" s="546" t="s">
        <v>3603</v>
      </c>
    </row>
    <row r="28" spans="3:10" x14ac:dyDescent="0.1">
      <c r="D28" s="364" t="s">
        <v>3526</v>
      </c>
      <c r="E28" s="567">
        <v>1</v>
      </c>
      <c r="F28" s="592" t="s">
        <v>3674</v>
      </c>
      <c r="G28" s="390" t="s">
        <v>3675</v>
      </c>
      <c r="H28" s="256" t="s">
        <v>3676</v>
      </c>
      <c r="I28" s="256" t="s">
        <v>3677</v>
      </c>
    </row>
    <row r="29" spans="3:10" x14ac:dyDescent="0.1">
      <c r="C29" s="249" t="s">
        <v>651</v>
      </c>
      <c r="D29" s="364" t="s">
        <v>3530</v>
      </c>
      <c r="E29" s="567">
        <v>1</v>
      </c>
      <c r="F29" s="592" t="s">
        <v>3396</v>
      </c>
      <c r="G29" s="593" t="s">
        <v>3678</v>
      </c>
      <c r="H29" s="256" t="s">
        <v>3679</v>
      </c>
      <c r="I29" s="256" t="s">
        <v>3680</v>
      </c>
      <c r="J29" s="393" t="s">
        <v>653</v>
      </c>
    </row>
    <row r="30" spans="3:10" x14ac:dyDescent="0.1">
      <c r="C30" s="249">
        <v>30</v>
      </c>
      <c r="D30" s="391" t="s">
        <v>662</v>
      </c>
      <c r="E30" s="573">
        <v>1</v>
      </c>
      <c r="F30" s="559" t="s">
        <v>3681</v>
      </c>
      <c r="G30" s="407" t="s">
        <v>3682</v>
      </c>
      <c r="H30" s="393" t="s">
        <v>3683</v>
      </c>
      <c r="I30" s="393" t="s">
        <v>3684</v>
      </c>
      <c r="J30" s="393" t="s">
        <v>663</v>
      </c>
    </row>
    <row r="31" spans="3:10" x14ac:dyDescent="0.1">
      <c r="D31" s="595" t="s">
        <v>660</v>
      </c>
      <c r="E31" s="573">
        <v>1</v>
      </c>
      <c r="F31" s="559" t="s">
        <v>3685</v>
      </c>
      <c r="G31" s="596" t="s">
        <v>3686</v>
      </c>
      <c r="H31" s="393" t="s">
        <v>3687</v>
      </c>
      <c r="I31" s="393" t="s">
        <v>3688</v>
      </c>
      <c r="J31" s="395" t="s">
        <v>661</v>
      </c>
    </row>
    <row r="32" spans="3:10" x14ac:dyDescent="0.1">
      <c r="D32" s="391" t="s">
        <v>2536</v>
      </c>
      <c r="E32" s="573">
        <v>1</v>
      </c>
      <c r="F32" s="559" t="s">
        <v>3689</v>
      </c>
      <c r="G32" s="407" t="s">
        <v>3690</v>
      </c>
      <c r="H32" s="393" t="s">
        <v>3691</v>
      </c>
      <c r="I32" s="393" t="s">
        <v>3692</v>
      </c>
      <c r="J32" s="396" t="s">
        <v>2537</v>
      </c>
    </row>
    <row r="33" spans="4:10" x14ac:dyDescent="0.1">
      <c r="D33" s="391" t="s">
        <v>143</v>
      </c>
      <c r="E33" s="573">
        <v>1</v>
      </c>
      <c r="F33" s="559" t="s">
        <v>3693</v>
      </c>
      <c r="G33" s="407" t="s">
        <v>3694</v>
      </c>
      <c r="H33" s="393" t="s">
        <v>3695</v>
      </c>
      <c r="I33" s="393" t="s">
        <v>3696</v>
      </c>
      <c r="J33" s="394" t="s">
        <v>3697</v>
      </c>
    </row>
    <row r="34" spans="4:10" x14ac:dyDescent="0.1">
      <c r="D34" s="391" t="s">
        <v>1296</v>
      </c>
      <c r="E34" s="573"/>
      <c r="F34" s="249" t="s">
        <v>3698</v>
      </c>
      <c r="G34" s="249" t="s">
        <v>3699</v>
      </c>
    </row>
    <row r="35" spans="4:10" x14ac:dyDescent="0.1">
      <c r="D35" s="391" t="s">
        <v>665</v>
      </c>
      <c r="E35" s="573"/>
      <c r="F35" s="249" t="s">
        <v>3700</v>
      </c>
      <c r="G35" s="407" t="s">
        <v>3701</v>
      </c>
      <c r="H35" s="393" t="s">
        <v>3702</v>
      </c>
      <c r="I35" s="393" t="s">
        <v>3703</v>
      </c>
      <c r="J35" s="399" t="s">
        <v>666</v>
      </c>
    </row>
    <row r="36" spans="4:10" x14ac:dyDescent="0.1">
      <c r="D36" s="391" t="s">
        <v>667</v>
      </c>
      <c r="E36" s="573">
        <v>1</v>
      </c>
      <c r="F36" s="559" t="s">
        <v>3704</v>
      </c>
      <c r="G36" s="407" t="s">
        <v>3705</v>
      </c>
      <c r="H36" s="393" t="s">
        <v>3706</v>
      </c>
      <c r="I36" s="393" t="s">
        <v>3707</v>
      </c>
      <c r="J36" s="399" t="s">
        <v>668</v>
      </c>
    </row>
    <row r="37" spans="4:10" x14ac:dyDescent="0.1">
      <c r="D37" s="365" t="s">
        <v>670</v>
      </c>
      <c r="E37" s="573"/>
      <c r="F37" s="249" t="s">
        <v>3708</v>
      </c>
      <c r="G37" s="407" t="s">
        <v>3709</v>
      </c>
      <c r="H37" s="393" t="s">
        <v>3710</v>
      </c>
      <c r="I37" s="393" t="s">
        <v>3711</v>
      </c>
      <c r="J37" s="392" t="s">
        <v>671</v>
      </c>
    </row>
    <row r="38" spans="4:10" x14ac:dyDescent="0.1">
      <c r="D38" s="391" t="s">
        <v>2553</v>
      </c>
      <c r="E38" s="573"/>
      <c r="F38" s="249" t="s">
        <v>3712</v>
      </c>
      <c r="G38" s="407" t="s">
        <v>3713</v>
      </c>
      <c r="H38" s="393"/>
      <c r="I38" s="393" t="s">
        <v>3714</v>
      </c>
      <c r="J38" s="396" t="s">
        <v>2554</v>
      </c>
    </row>
    <row r="39" spans="4:10" x14ac:dyDescent="0.1">
      <c r="D39" s="391" t="s">
        <v>672</v>
      </c>
      <c r="E39" s="573"/>
      <c r="F39" s="559" t="s">
        <v>3715</v>
      </c>
      <c r="G39" s="260" t="s">
        <v>3716</v>
      </c>
      <c r="H39" s="393" t="s">
        <v>3717</v>
      </c>
      <c r="I39" s="393" t="s">
        <v>3718</v>
      </c>
      <c r="J39" s="399" t="s">
        <v>673</v>
      </c>
    </row>
    <row r="40" spans="4:10" x14ac:dyDescent="0.1">
      <c r="D40" s="391" t="s">
        <v>2589</v>
      </c>
      <c r="E40" s="573">
        <v>1</v>
      </c>
      <c r="F40" s="559" t="s">
        <v>3693</v>
      </c>
      <c r="G40" s="406" t="s">
        <v>3719</v>
      </c>
      <c r="H40" s="393" t="s">
        <v>3720</v>
      </c>
      <c r="I40" s="393" t="s">
        <v>3721</v>
      </c>
      <c r="J40" s="399" t="s">
        <v>2590</v>
      </c>
    </row>
    <row r="41" spans="4:10" x14ac:dyDescent="0.1">
      <c r="D41" s="391" t="s">
        <v>674</v>
      </c>
      <c r="E41" s="573">
        <v>1</v>
      </c>
      <c r="F41" s="559" t="s">
        <v>3693</v>
      </c>
      <c r="G41" s="407" t="s">
        <v>3722</v>
      </c>
      <c r="H41" s="393" t="s">
        <v>3723</v>
      </c>
      <c r="I41" s="393" t="s">
        <v>3724</v>
      </c>
      <c r="J41" s="396" t="s">
        <v>3725</v>
      </c>
    </row>
    <row r="42" spans="4:10" x14ac:dyDescent="0.1">
      <c r="D42" s="595" t="s">
        <v>676</v>
      </c>
      <c r="E42" s="573">
        <v>1</v>
      </c>
      <c r="F42" s="559" t="s">
        <v>3726</v>
      </c>
      <c r="G42" s="596" t="s">
        <v>3727</v>
      </c>
      <c r="H42" s="393" t="s">
        <v>3728</v>
      </c>
      <c r="I42" s="393" t="s">
        <v>3729</v>
      </c>
      <c r="J42" s="399" t="s">
        <v>3730</v>
      </c>
    </row>
    <row r="43" spans="4:10" x14ac:dyDescent="0.1">
      <c r="D43" s="557" t="s">
        <v>2612</v>
      </c>
      <c r="E43" s="574">
        <v>1</v>
      </c>
      <c r="F43" s="559" t="s">
        <v>3731</v>
      </c>
      <c r="G43" s="555" t="s">
        <v>3732</v>
      </c>
      <c r="H43" s="393" t="s">
        <v>3733</v>
      </c>
      <c r="I43" s="393" t="s">
        <v>2613</v>
      </c>
      <c r="J43" s="400" t="s">
        <v>3734</v>
      </c>
    </row>
    <row r="44" spans="4:10" x14ac:dyDescent="0.1">
      <c r="D44" s="391" t="s">
        <v>2616</v>
      </c>
      <c r="E44" s="573">
        <v>1</v>
      </c>
      <c r="F44" s="559" t="s">
        <v>3693</v>
      </c>
      <c r="G44" s="407" t="s">
        <v>3735</v>
      </c>
      <c r="H44" s="393"/>
      <c r="I44" s="393" t="s">
        <v>3736</v>
      </c>
      <c r="J44" s="400" t="s">
        <v>3737</v>
      </c>
    </row>
    <row r="45" spans="4:10" x14ac:dyDescent="0.1">
      <c r="D45" s="391" t="s">
        <v>678</v>
      </c>
      <c r="E45" s="573"/>
      <c r="F45" s="249" t="s">
        <v>3738</v>
      </c>
      <c r="G45" s="407" t="s">
        <v>3739</v>
      </c>
      <c r="H45" s="393" t="s">
        <v>3624</v>
      </c>
      <c r="I45" s="393" t="s">
        <v>3740</v>
      </c>
      <c r="J45" s="397" t="s">
        <v>679</v>
      </c>
    </row>
    <row r="46" spans="4:10" x14ac:dyDescent="0.1">
      <c r="D46" s="391" t="s">
        <v>680</v>
      </c>
      <c r="E46" s="573"/>
      <c r="F46" s="559" t="s">
        <v>3741</v>
      </c>
      <c r="G46" s="407" t="s">
        <v>3742</v>
      </c>
      <c r="H46" s="393" t="s">
        <v>3624</v>
      </c>
      <c r="I46" s="393" t="s">
        <v>3743</v>
      </c>
      <c r="J46" s="394" t="s">
        <v>681</v>
      </c>
    </row>
    <row r="47" spans="4:10" x14ac:dyDescent="0.1">
      <c r="D47" s="391" t="s">
        <v>2636</v>
      </c>
      <c r="E47" s="573">
        <v>1</v>
      </c>
      <c r="F47" s="559" t="s">
        <v>3744</v>
      </c>
      <c r="G47" s="406" t="s">
        <v>3745</v>
      </c>
      <c r="H47" s="393" t="s">
        <v>3746</v>
      </c>
      <c r="I47" s="393" t="s">
        <v>2638</v>
      </c>
      <c r="J47" s="396" t="s">
        <v>2637</v>
      </c>
    </row>
    <row r="48" spans="4:10" x14ac:dyDescent="0.1">
      <c r="D48" s="391" t="s">
        <v>2641</v>
      </c>
      <c r="E48" s="573">
        <v>1</v>
      </c>
      <c r="F48" s="559" t="s">
        <v>3747</v>
      </c>
      <c r="G48" s="407" t="s">
        <v>3748</v>
      </c>
      <c r="H48" s="393" t="s">
        <v>3749</v>
      </c>
      <c r="I48" s="393" t="s">
        <v>3750</v>
      </c>
      <c r="J48" s="393" t="s">
        <v>3751</v>
      </c>
    </row>
    <row r="49" spans="3:10" x14ac:dyDescent="0.1">
      <c r="D49" s="391" t="s">
        <v>684</v>
      </c>
      <c r="E49" s="573"/>
      <c r="F49" s="249" t="s">
        <v>3752</v>
      </c>
      <c r="G49" s="407" t="s">
        <v>3753</v>
      </c>
      <c r="H49" s="393" t="s">
        <v>3754</v>
      </c>
      <c r="I49" s="393" t="s">
        <v>3755</v>
      </c>
      <c r="J49" s="394" t="s">
        <v>3756</v>
      </c>
    </row>
    <row r="50" spans="3:10" x14ac:dyDescent="0.1">
      <c r="D50" s="391" t="s">
        <v>687</v>
      </c>
      <c r="E50" s="573">
        <v>1</v>
      </c>
      <c r="F50" s="559"/>
      <c r="G50" s="584" t="s">
        <v>3757</v>
      </c>
      <c r="H50" s="393" t="s">
        <v>3758</v>
      </c>
      <c r="I50" s="392" t="s">
        <v>689</v>
      </c>
      <c r="J50" s="394" t="s">
        <v>688</v>
      </c>
    </row>
    <row r="51" spans="3:10" x14ac:dyDescent="0.1">
      <c r="D51" s="595" t="s">
        <v>2687</v>
      </c>
      <c r="E51" s="573">
        <v>1</v>
      </c>
      <c r="F51" s="559" t="s">
        <v>3759</v>
      </c>
      <c r="G51" s="596" t="s">
        <v>3760</v>
      </c>
      <c r="H51" s="401" t="s">
        <v>3761</v>
      </c>
      <c r="I51" s="401" t="s">
        <v>3762</v>
      </c>
      <c r="J51" s="396" t="s">
        <v>2688</v>
      </c>
    </row>
    <row r="52" spans="3:10" x14ac:dyDescent="0.1">
      <c r="D52" s="391" t="s">
        <v>2692</v>
      </c>
      <c r="E52" s="573"/>
      <c r="F52" s="249" t="s">
        <v>3763</v>
      </c>
      <c r="G52" s="407" t="s">
        <v>3764</v>
      </c>
      <c r="H52" s="401"/>
      <c r="I52" s="401" t="s">
        <v>3765</v>
      </c>
      <c r="J52" s="397" t="s">
        <v>3766</v>
      </c>
    </row>
    <row r="53" spans="3:10" x14ac:dyDescent="0.1">
      <c r="D53" s="391" t="s">
        <v>690</v>
      </c>
      <c r="E53" s="573">
        <v>1</v>
      </c>
      <c r="F53" s="559" t="s">
        <v>3767</v>
      </c>
      <c r="G53" s="407" t="s">
        <v>3768</v>
      </c>
      <c r="H53" s="392" t="s">
        <v>3769</v>
      </c>
      <c r="I53" s="393" t="s">
        <v>693</v>
      </c>
      <c r="J53" s="394" t="s">
        <v>691</v>
      </c>
    </row>
    <row r="54" spans="3:10" x14ac:dyDescent="0.1">
      <c r="D54" s="391" t="s">
        <v>2490</v>
      </c>
      <c r="E54" s="565"/>
      <c r="F54" s="249" t="s">
        <v>3770</v>
      </c>
      <c r="G54" s="407" t="s">
        <v>3771</v>
      </c>
      <c r="H54" s="392" t="s">
        <v>3772</v>
      </c>
      <c r="I54" s="393" t="s">
        <v>3773</v>
      </c>
      <c r="J54" s="398" t="s">
        <v>3774</v>
      </c>
    </row>
    <row r="55" spans="3:10" x14ac:dyDescent="0.1">
      <c r="D55" s="391" t="s">
        <v>2267</v>
      </c>
      <c r="E55" s="573">
        <v>1</v>
      </c>
      <c r="F55" s="249" t="s">
        <v>3775</v>
      </c>
      <c r="G55" s="407" t="s">
        <v>3776</v>
      </c>
      <c r="H55" s="392" t="s">
        <v>3777</v>
      </c>
      <c r="I55" s="393" t="s">
        <v>3778</v>
      </c>
      <c r="J55" s="398" t="s">
        <v>3779</v>
      </c>
    </row>
    <row r="56" spans="3:10" x14ac:dyDescent="0.1">
      <c r="C56" s="249" t="s">
        <v>3215</v>
      </c>
      <c r="D56" s="403" t="s">
        <v>3277</v>
      </c>
      <c r="E56" s="566"/>
      <c r="F56" s="249" t="s">
        <v>3780</v>
      </c>
      <c r="G56" s="249" t="s">
        <v>3781</v>
      </c>
    </row>
    <row r="57" spans="3:10" x14ac:dyDescent="0.1">
      <c r="C57" s="388">
        <v>38</v>
      </c>
      <c r="D57" s="403" t="s">
        <v>3312</v>
      </c>
      <c r="E57" s="566"/>
      <c r="F57" s="249" t="s">
        <v>3782</v>
      </c>
      <c r="G57" s="261" t="s">
        <v>3783</v>
      </c>
    </row>
    <row r="58" spans="3:10" x14ac:dyDescent="0.1">
      <c r="D58" s="403" t="s">
        <v>3342</v>
      </c>
      <c r="E58" s="566"/>
      <c r="F58" s="249" t="s">
        <v>3784</v>
      </c>
      <c r="G58" s="261" t="s">
        <v>3785</v>
      </c>
    </row>
    <row r="59" spans="3:10" x14ac:dyDescent="0.1">
      <c r="D59" s="403" t="s">
        <v>2543</v>
      </c>
      <c r="E59" s="566">
        <v>1</v>
      </c>
      <c r="F59" s="559" t="s">
        <v>3786</v>
      </c>
      <c r="G59" s="261" t="s">
        <v>3787</v>
      </c>
    </row>
    <row r="60" spans="3:10" x14ac:dyDescent="0.1">
      <c r="D60" s="403" t="s">
        <v>1302</v>
      </c>
      <c r="E60" s="566">
        <v>1</v>
      </c>
      <c r="F60" s="559" t="s">
        <v>3788</v>
      </c>
      <c r="G60" s="261" t="s">
        <v>3789</v>
      </c>
    </row>
    <row r="61" spans="3:10" x14ac:dyDescent="0.1">
      <c r="D61" s="403" t="s">
        <v>3453</v>
      </c>
      <c r="E61" s="566"/>
      <c r="G61" s="261" t="s">
        <v>3790</v>
      </c>
    </row>
    <row r="62" spans="3:10" x14ac:dyDescent="0.1">
      <c r="D62" s="403" t="s">
        <v>3460</v>
      </c>
      <c r="E62" s="566"/>
      <c r="F62" s="249" t="s">
        <v>3791</v>
      </c>
      <c r="G62" s="261" t="s">
        <v>3792</v>
      </c>
    </row>
    <row r="63" spans="3:10" x14ac:dyDescent="0.1">
      <c r="D63" s="403" t="s">
        <v>2557</v>
      </c>
      <c r="E63" s="566">
        <v>1</v>
      </c>
      <c r="G63" s="261" t="s">
        <v>3793</v>
      </c>
    </row>
    <row r="64" spans="3:10" x14ac:dyDescent="0.1">
      <c r="D64" s="403" t="s">
        <v>2562</v>
      </c>
      <c r="E64" s="566"/>
      <c r="F64" s="249" t="s">
        <v>3794</v>
      </c>
      <c r="G64" s="261" t="s">
        <v>3795</v>
      </c>
    </row>
    <row r="65" spans="4:7" x14ac:dyDescent="0.1">
      <c r="D65" s="403" t="s">
        <v>20</v>
      </c>
      <c r="E65" s="566"/>
      <c r="F65" s="249" t="s">
        <v>3796</v>
      </c>
      <c r="G65" s="261" t="s">
        <v>3797</v>
      </c>
    </row>
    <row r="66" spans="4:7" x14ac:dyDescent="0.1">
      <c r="D66" s="403" t="s">
        <v>3501</v>
      </c>
      <c r="E66" s="566"/>
      <c r="F66" s="249" t="s">
        <v>3763</v>
      </c>
      <c r="G66" s="261" t="s">
        <v>3798</v>
      </c>
    </row>
    <row r="67" spans="4:7" x14ac:dyDescent="0.1">
      <c r="D67" s="403" t="s">
        <v>2865</v>
      </c>
      <c r="E67" s="566"/>
      <c r="F67" s="559"/>
      <c r="G67" s="261" t="s">
        <v>3799</v>
      </c>
    </row>
    <row r="68" spans="4:7" x14ac:dyDescent="0.1">
      <c r="D68" s="403" t="s">
        <v>3519</v>
      </c>
      <c r="E68" s="566"/>
      <c r="F68" s="249" t="s">
        <v>3800</v>
      </c>
      <c r="G68" s="261" t="s">
        <v>3801</v>
      </c>
    </row>
    <row r="69" spans="4:7" x14ac:dyDescent="0.1">
      <c r="D69" s="403" t="s">
        <v>2578</v>
      </c>
      <c r="E69" s="566"/>
      <c r="F69" s="249" t="s">
        <v>3802</v>
      </c>
      <c r="G69" s="261" t="s">
        <v>3803</v>
      </c>
    </row>
    <row r="70" spans="4:7" x14ac:dyDescent="0.1">
      <c r="D70" s="403" t="s">
        <v>3542</v>
      </c>
      <c r="E70" s="566"/>
      <c r="F70" s="559" t="s">
        <v>3804</v>
      </c>
      <c r="G70" s="261" t="s">
        <v>3805</v>
      </c>
    </row>
    <row r="71" spans="4:7" x14ac:dyDescent="0.1">
      <c r="D71" s="403" t="s">
        <v>2581</v>
      </c>
      <c r="E71" s="566">
        <v>1</v>
      </c>
      <c r="F71" s="559" t="s">
        <v>3806</v>
      </c>
      <c r="G71" s="261" t="s">
        <v>3807</v>
      </c>
    </row>
    <row r="72" spans="4:7" x14ac:dyDescent="0.1">
      <c r="D72" s="403" t="s">
        <v>2871</v>
      </c>
      <c r="E72" s="566"/>
      <c r="F72" s="559" t="s">
        <v>3712</v>
      </c>
      <c r="G72" s="261" t="s">
        <v>3808</v>
      </c>
    </row>
    <row r="73" spans="4:7" x14ac:dyDescent="0.1">
      <c r="D73" s="403" t="s">
        <v>2583</v>
      </c>
      <c r="E73" s="566"/>
      <c r="F73" s="249" t="s">
        <v>3809</v>
      </c>
      <c r="G73" s="261" t="s">
        <v>3810</v>
      </c>
    </row>
    <row r="74" spans="4:7" x14ac:dyDescent="0.1">
      <c r="D74" s="403" t="s">
        <v>3296</v>
      </c>
      <c r="E74" s="566">
        <v>1</v>
      </c>
      <c r="F74" s="249" t="s">
        <v>3811</v>
      </c>
      <c r="G74" s="261" t="s">
        <v>3812</v>
      </c>
    </row>
    <row r="75" spans="4:7" x14ac:dyDescent="0.1">
      <c r="D75" s="403" t="s">
        <v>2587</v>
      </c>
      <c r="E75" s="566">
        <v>1</v>
      </c>
      <c r="F75" s="249" t="s">
        <v>3726</v>
      </c>
      <c r="G75" s="261" t="s">
        <v>3813</v>
      </c>
    </row>
    <row r="76" spans="4:7" x14ac:dyDescent="0.1">
      <c r="D76" s="403" t="s">
        <v>2593</v>
      </c>
      <c r="E76" s="566">
        <v>1</v>
      </c>
      <c r="F76" s="559" t="s">
        <v>3786</v>
      </c>
      <c r="G76" s="261" t="s">
        <v>3814</v>
      </c>
    </row>
    <row r="77" spans="4:7" x14ac:dyDescent="0.1">
      <c r="D77" s="403" t="s">
        <v>1744</v>
      </c>
      <c r="E77" s="566"/>
      <c r="F77" s="249" t="s">
        <v>3815</v>
      </c>
      <c r="G77" s="261" t="s">
        <v>3816</v>
      </c>
    </row>
    <row r="78" spans="4:7" x14ac:dyDescent="0.1">
      <c r="D78" s="403" t="s">
        <v>2605</v>
      </c>
      <c r="E78" s="566">
        <v>1</v>
      </c>
      <c r="F78" s="249" t="s">
        <v>3817</v>
      </c>
      <c r="G78" s="261" t="s">
        <v>3818</v>
      </c>
    </row>
    <row r="79" spans="4:7" x14ac:dyDescent="0.1">
      <c r="D79" s="403" t="s">
        <v>2619</v>
      </c>
      <c r="E79" s="566">
        <v>1</v>
      </c>
      <c r="F79" s="249" t="s">
        <v>3819</v>
      </c>
      <c r="G79" s="261" t="s">
        <v>3820</v>
      </c>
    </row>
    <row r="80" spans="4:7" x14ac:dyDescent="0.1">
      <c r="D80" s="403" t="s">
        <v>32</v>
      </c>
      <c r="E80" s="566">
        <v>1</v>
      </c>
      <c r="F80" s="249" t="s">
        <v>3821</v>
      </c>
      <c r="G80" s="261" t="s">
        <v>3822</v>
      </c>
    </row>
    <row r="81" spans="3:10" x14ac:dyDescent="0.1">
      <c r="D81" s="403" t="s">
        <v>2899</v>
      </c>
      <c r="E81" s="566"/>
      <c r="F81" s="249" t="s">
        <v>3823</v>
      </c>
      <c r="G81" s="261" t="s">
        <v>3824</v>
      </c>
    </row>
    <row r="82" spans="3:10" x14ac:dyDescent="0.1">
      <c r="D82" s="403" t="s">
        <v>3576</v>
      </c>
      <c r="E82" s="566">
        <v>1</v>
      </c>
      <c r="F82" s="249" t="s">
        <v>3809</v>
      </c>
      <c r="G82" s="261" t="s">
        <v>3825</v>
      </c>
    </row>
    <row r="83" spans="3:10" x14ac:dyDescent="0.1">
      <c r="D83" s="403" t="s">
        <v>2378</v>
      </c>
      <c r="E83" s="566">
        <v>1</v>
      </c>
      <c r="F83" s="249" t="s">
        <v>3826</v>
      </c>
      <c r="G83" s="261" t="s">
        <v>3827</v>
      </c>
    </row>
    <row r="84" spans="3:10" x14ac:dyDescent="0.1">
      <c r="D84" s="403" t="s">
        <v>2628</v>
      </c>
      <c r="E84" s="566">
        <v>1</v>
      </c>
      <c r="F84" s="249" t="s">
        <v>3828</v>
      </c>
      <c r="G84" s="261" t="s">
        <v>3829</v>
      </c>
    </row>
    <row r="85" spans="3:10" x14ac:dyDescent="0.1">
      <c r="D85" s="403" t="s">
        <v>3577</v>
      </c>
      <c r="E85" s="566"/>
      <c r="F85" s="249" t="s">
        <v>3830</v>
      </c>
      <c r="G85" s="261" t="s">
        <v>3831</v>
      </c>
    </row>
    <row r="86" spans="3:10" x14ac:dyDescent="0.1">
      <c r="D86" s="403" t="s">
        <v>3382</v>
      </c>
      <c r="E86" s="566">
        <v>1</v>
      </c>
      <c r="F86" s="249" t="s">
        <v>3832</v>
      </c>
      <c r="G86" s="261" t="s">
        <v>3833</v>
      </c>
    </row>
    <row r="87" spans="3:10" x14ac:dyDescent="0.1">
      <c r="D87" s="403" t="s">
        <v>3580</v>
      </c>
      <c r="E87" s="566">
        <v>1</v>
      </c>
      <c r="F87" s="249" t="s">
        <v>3834</v>
      </c>
      <c r="G87" s="261" t="s">
        <v>3835</v>
      </c>
    </row>
    <row r="88" spans="3:10" x14ac:dyDescent="0.1">
      <c r="D88" s="403" t="s">
        <v>684</v>
      </c>
      <c r="E88" s="566">
        <v>1</v>
      </c>
      <c r="F88" s="249" t="s">
        <v>3836</v>
      </c>
      <c r="G88" s="261" t="s">
        <v>3837</v>
      </c>
    </row>
    <row r="89" spans="3:10" x14ac:dyDescent="0.1">
      <c r="D89" s="403" t="s">
        <v>2664</v>
      </c>
      <c r="E89" s="566">
        <v>1</v>
      </c>
      <c r="F89" s="559" t="s">
        <v>3838</v>
      </c>
      <c r="G89" s="261" t="s">
        <v>3839</v>
      </c>
    </row>
    <row r="90" spans="3:10" x14ac:dyDescent="0.1">
      <c r="D90" s="403" t="s">
        <v>2668</v>
      </c>
      <c r="E90" s="566">
        <v>1</v>
      </c>
      <c r="F90" s="249" t="s">
        <v>3840</v>
      </c>
      <c r="G90" s="261" t="s">
        <v>3841</v>
      </c>
    </row>
    <row r="91" spans="3:10" x14ac:dyDescent="0.1">
      <c r="D91" s="403" t="s">
        <v>3584</v>
      </c>
      <c r="E91" s="566"/>
      <c r="F91" s="249" t="s">
        <v>3842</v>
      </c>
      <c r="G91" s="261" t="s">
        <v>3843</v>
      </c>
    </row>
    <row r="92" spans="3:10" x14ac:dyDescent="0.1">
      <c r="D92" s="403" t="s">
        <v>2494</v>
      </c>
      <c r="E92" s="566">
        <v>1</v>
      </c>
      <c r="F92" s="249" t="s">
        <v>3844</v>
      </c>
      <c r="G92" s="261" t="s">
        <v>3845</v>
      </c>
    </row>
    <row r="93" spans="3:10" x14ac:dyDescent="0.1">
      <c r="C93" s="249" t="s">
        <v>3216</v>
      </c>
      <c r="D93" s="365" t="s">
        <v>2504</v>
      </c>
      <c r="E93" s="567"/>
      <c r="F93" s="362" t="s">
        <v>3846</v>
      </c>
      <c r="G93" s="368" t="s">
        <v>3847</v>
      </c>
      <c r="H93" s="362"/>
    </row>
    <row r="94" spans="3:10" x14ac:dyDescent="0.1">
      <c r="C94" s="388">
        <v>29</v>
      </c>
      <c r="D94" s="365" t="s">
        <v>49</v>
      </c>
      <c r="E94" s="567">
        <v>1</v>
      </c>
      <c r="F94" s="362" t="s">
        <v>3848</v>
      </c>
      <c r="G94" s="368" t="s">
        <v>3849</v>
      </c>
      <c r="H94" s="520"/>
      <c r="I94" s="520" t="s">
        <v>3850</v>
      </c>
      <c r="J94" s="520"/>
    </row>
    <row r="95" spans="3:10" x14ac:dyDescent="0.1">
      <c r="D95" s="365" t="s">
        <v>2541</v>
      </c>
      <c r="E95" s="567">
        <v>1</v>
      </c>
      <c r="F95" s="250" t="s">
        <v>3851</v>
      </c>
      <c r="G95" s="406" t="s">
        <v>3852</v>
      </c>
    </row>
    <row r="96" spans="3:10" x14ac:dyDescent="0.1">
      <c r="D96" s="365" t="s">
        <v>2603</v>
      </c>
      <c r="E96" s="567">
        <v>1</v>
      </c>
      <c r="F96" s="250" t="s">
        <v>3853</v>
      </c>
      <c r="G96" s="371" t="s">
        <v>3854</v>
      </c>
    </row>
    <row r="97" spans="4:10" x14ac:dyDescent="0.1">
      <c r="D97" s="365" t="s">
        <v>2610</v>
      </c>
      <c r="E97" s="567">
        <v>1</v>
      </c>
      <c r="F97" s="250" t="s">
        <v>3855</v>
      </c>
      <c r="G97" s="407" t="s">
        <v>3856</v>
      </c>
    </row>
    <row r="98" spans="4:10" x14ac:dyDescent="0.1">
      <c r="D98" s="365" t="s">
        <v>3351</v>
      </c>
      <c r="E98" s="567">
        <v>1</v>
      </c>
      <c r="F98" s="250" t="s">
        <v>3857</v>
      </c>
      <c r="G98" s="3" t="s">
        <v>3858</v>
      </c>
    </row>
    <row r="99" spans="4:10" x14ac:dyDescent="0.1">
      <c r="D99" s="365" t="s">
        <v>2555</v>
      </c>
      <c r="E99" s="567"/>
      <c r="F99" s="250" t="s">
        <v>3859</v>
      </c>
      <c r="G99" s="371" t="s">
        <v>3860</v>
      </c>
    </row>
    <row r="100" spans="4:10" x14ac:dyDescent="0.1">
      <c r="D100" s="598" t="s">
        <v>3861</v>
      </c>
      <c r="E100" s="567">
        <v>1</v>
      </c>
      <c r="F100" s="250" t="s">
        <v>3862</v>
      </c>
      <c r="G100" s="598" t="s">
        <v>3863</v>
      </c>
      <c r="I100" s="249" t="s">
        <v>3864</v>
      </c>
    </row>
    <row r="101" spans="4:10" x14ac:dyDescent="0.1">
      <c r="D101" s="365" t="s">
        <v>2575</v>
      </c>
      <c r="E101" s="567">
        <v>1</v>
      </c>
      <c r="F101" s="250" t="s">
        <v>3865</v>
      </c>
      <c r="G101" s="371" t="s">
        <v>3866</v>
      </c>
    </row>
    <row r="102" spans="4:10" x14ac:dyDescent="0.1">
      <c r="D102" s="365" t="s">
        <v>3471</v>
      </c>
      <c r="E102" s="567"/>
      <c r="F102" s="250" t="s">
        <v>3867</v>
      </c>
      <c r="G102" s="371" t="s">
        <v>3868</v>
      </c>
    </row>
    <row r="103" spans="4:10" x14ac:dyDescent="0.1">
      <c r="D103" s="365" t="s">
        <v>3869</v>
      </c>
      <c r="E103" s="567">
        <v>1</v>
      </c>
      <c r="F103" s="250" t="s">
        <v>3859</v>
      </c>
      <c r="G103" s="3" t="s">
        <v>3870</v>
      </c>
    </row>
    <row r="104" spans="4:10" x14ac:dyDescent="0.1">
      <c r="D104" s="365" t="s">
        <v>3871</v>
      </c>
      <c r="E104" s="567"/>
      <c r="F104" s="250" t="s">
        <v>3872</v>
      </c>
      <c r="G104" s="3" t="s">
        <v>3873</v>
      </c>
    </row>
    <row r="105" spans="4:10" x14ac:dyDescent="0.1">
      <c r="D105" s="365" t="s">
        <v>3414</v>
      </c>
      <c r="E105" s="567"/>
      <c r="F105" s="250" t="s">
        <v>3874</v>
      </c>
      <c r="G105" s="3" t="s">
        <v>3875</v>
      </c>
    </row>
    <row r="106" spans="4:10" x14ac:dyDescent="0.1">
      <c r="D106" s="365" t="s">
        <v>3876</v>
      </c>
      <c r="E106" s="567"/>
      <c r="F106" s="250" t="s">
        <v>3877</v>
      </c>
      <c r="G106" s="406" t="s">
        <v>3878</v>
      </c>
    </row>
    <row r="107" spans="4:10" x14ac:dyDescent="0.1">
      <c r="D107" s="365" t="s">
        <v>3879</v>
      </c>
      <c r="E107" s="567"/>
      <c r="F107" s="250" t="s">
        <v>3880</v>
      </c>
      <c r="G107" s="371" t="s">
        <v>3881</v>
      </c>
    </row>
    <row r="108" spans="4:10" x14ac:dyDescent="0.1">
      <c r="D108" s="365" t="s">
        <v>3882</v>
      </c>
      <c r="E108" s="567"/>
      <c r="F108" s="250" t="s">
        <v>3775</v>
      </c>
      <c r="G108" s="371" t="s">
        <v>3883</v>
      </c>
    </row>
    <row r="109" spans="4:10" x14ac:dyDescent="0.1">
      <c r="D109" s="365" t="s">
        <v>2639</v>
      </c>
      <c r="E109" s="567">
        <v>1</v>
      </c>
      <c r="F109" s="362" t="s">
        <v>3884</v>
      </c>
      <c r="G109" s="365" t="s">
        <v>3885</v>
      </c>
    </row>
    <row r="110" spans="4:10" x14ac:dyDescent="0.1">
      <c r="D110" s="365" t="s">
        <v>3377</v>
      </c>
      <c r="E110" s="567">
        <v>1</v>
      </c>
      <c r="F110" s="362" t="s">
        <v>3846</v>
      </c>
      <c r="G110" s="368" t="s">
        <v>3847</v>
      </c>
      <c r="H110" s="362"/>
      <c r="I110" s="362" t="s">
        <v>3886</v>
      </c>
      <c r="J110" s="362"/>
    </row>
    <row r="111" spans="4:10" x14ac:dyDescent="0.1">
      <c r="D111" s="365" t="s">
        <v>3385</v>
      </c>
      <c r="E111" s="567"/>
      <c r="F111" s="362" t="s">
        <v>3887</v>
      </c>
      <c r="G111" s="368" t="s">
        <v>3888</v>
      </c>
      <c r="H111" s="520"/>
      <c r="I111" s="520" t="s">
        <v>3889</v>
      </c>
      <c r="J111" s="520"/>
    </row>
    <row r="112" spans="4:10" x14ac:dyDescent="0.1">
      <c r="D112" s="365" t="s">
        <v>3404</v>
      </c>
      <c r="E112" s="567">
        <v>1</v>
      </c>
      <c r="F112" s="560" t="s">
        <v>3712</v>
      </c>
      <c r="G112" s="368" t="s">
        <v>3890</v>
      </c>
      <c r="H112" s="249" t="s">
        <v>3891</v>
      </c>
      <c r="I112" s="249" t="s">
        <v>3892</v>
      </c>
    </row>
    <row r="113" spans="3:10" x14ac:dyDescent="0.1">
      <c r="D113" s="365" t="s">
        <v>2643</v>
      </c>
      <c r="E113" s="567">
        <v>1</v>
      </c>
      <c r="F113" s="362" t="s">
        <v>3884</v>
      </c>
      <c r="G113" s="365" t="s">
        <v>3885</v>
      </c>
    </row>
    <row r="114" spans="3:10" x14ac:dyDescent="0.1">
      <c r="D114" s="403" t="s">
        <v>2326</v>
      </c>
      <c r="E114" s="566"/>
      <c r="F114" s="559"/>
      <c r="G114" s="439" t="s">
        <v>3893</v>
      </c>
    </row>
    <row r="115" spans="3:10" x14ac:dyDescent="0.1">
      <c r="D115" s="365" t="s">
        <v>2593</v>
      </c>
      <c r="E115" s="567">
        <v>1</v>
      </c>
      <c r="F115" s="362" t="s">
        <v>3894</v>
      </c>
      <c r="G115" s="368" t="s">
        <v>3895</v>
      </c>
      <c r="H115" s="520"/>
      <c r="I115" s="520" t="s">
        <v>3896</v>
      </c>
      <c r="J115" s="520"/>
    </row>
    <row r="116" spans="3:10" x14ac:dyDescent="0.1">
      <c r="D116" s="365" t="s">
        <v>3515</v>
      </c>
      <c r="E116" s="567"/>
      <c r="F116" s="362" t="s">
        <v>3897</v>
      </c>
      <c r="G116" s="368" t="s">
        <v>3898</v>
      </c>
      <c r="H116" s="520"/>
      <c r="I116" s="520" t="s">
        <v>3899</v>
      </c>
      <c r="J116" s="520"/>
    </row>
    <row r="117" spans="3:10" x14ac:dyDescent="0.1">
      <c r="D117" s="365" t="s">
        <v>2366</v>
      </c>
      <c r="E117" s="567">
        <v>1</v>
      </c>
      <c r="F117" s="560" t="s">
        <v>3848</v>
      </c>
      <c r="G117" s="368" t="s">
        <v>3900</v>
      </c>
      <c r="H117" s="520"/>
      <c r="I117" s="520" t="s">
        <v>3901</v>
      </c>
      <c r="J117" s="520"/>
    </row>
    <row r="118" spans="3:10" x14ac:dyDescent="0.1">
      <c r="D118" s="365" t="s">
        <v>2648</v>
      </c>
      <c r="E118" s="567"/>
      <c r="F118" s="560"/>
      <c r="G118" s="507" t="s">
        <v>3902</v>
      </c>
    </row>
    <row r="119" spans="3:10" x14ac:dyDescent="0.1">
      <c r="D119" s="550" t="s">
        <v>2607</v>
      </c>
      <c r="E119" s="568">
        <v>2</v>
      </c>
      <c r="F119" s="560" t="s">
        <v>3903</v>
      </c>
      <c r="G119" s="368" t="s">
        <v>3904</v>
      </c>
      <c r="I119" s="249" t="s">
        <v>3905</v>
      </c>
    </row>
    <row r="120" spans="3:10" x14ac:dyDescent="0.1">
      <c r="D120" s="550" t="s">
        <v>2161</v>
      </c>
      <c r="E120" s="568">
        <v>2</v>
      </c>
      <c r="F120" s="560" t="s">
        <v>3906</v>
      </c>
      <c r="G120" s="368" t="s">
        <v>3907</v>
      </c>
      <c r="I120" s="364" t="s">
        <v>3908</v>
      </c>
    </row>
    <row r="121" spans="3:10" x14ac:dyDescent="0.1">
      <c r="D121" s="365" t="s">
        <v>2532</v>
      </c>
      <c r="E121" s="567">
        <v>2</v>
      </c>
      <c r="F121" s="560" t="s">
        <v>3909</v>
      </c>
      <c r="G121" s="368" t="s">
        <v>3910</v>
      </c>
      <c r="I121" s="364" t="s">
        <v>3911</v>
      </c>
    </row>
    <row r="122" spans="3:10" x14ac:dyDescent="0.1">
      <c r="D122" s="550" t="s">
        <v>2677</v>
      </c>
      <c r="E122" s="568">
        <v>2</v>
      </c>
      <c r="F122" s="560" t="s">
        <v>3912</v>
      </c>
      <c r="G122" s="368" t="s">
        <v>3913</v>
      </c>
      <c r="I122" s="364" t="s">
        <v>2679</v>
      </c>
    </row>
    <row r="123" spans="3:10" x14ac:dyDescent="0.1">
      <c r="D123" s="550" t="s">
        <v>2623</v>
      </c>
      <c r="E123" s="568">
        <v>2</v>
      </c>
      <c r="F123" s="560" t="s">
        <v>3914</v>
      </c>
      <c r="G123" s="368" t="s">
        <v>3915</v>
      </c>
      <c r="I123" s="364" t="s">
        <v>2624</v>
      </c>
    </row>
    <row r="124" spans="3:10" x14ac:dyDescent="0.1">
      <c r="C124" s="388" t="s">
        <v>3217</v>
      </c>
      <c r="D124" s="403" t="s">
        <v>2065</v>
      </c>
      <c r="E124" s="566"/>
      <c r="F124" s="560" t="s">
        <v>3916</v>
      </c>
      <c r="G124" s="3" t="s">
        <v>3917</v>
      </c>
    </row>
    <row r="125" spans="3:10" x14ac:dyDescent="0.1">
      <c r="C125" s="249">
        <v>33</v>
      </c>
      <c r="D125" s="403" t="s">
        <v>2189</v>
      </c>
      <c r="E125" s="566"/>
      <c r="F125" s="560" t="s">
        <v>3916</v>
      </c>
      <c r="G125" s="3" t="s">
        <v>3918</v>
      </c>
    </row>
    <row r="126" spans="3:10" x14ac:dyDescent="0.1">
      <c r="D126" s="403" t="s">
        <v>2025</v>
      </c>
      <c r="E126" s="566"/>
      <c r="F126" s="250" t="s">
        <v>3916</v>
      </c>
      <c r="G126" s="3" t="s">
        <v>3919</v>
      </c>
    </row>
    <row r="127" spans="3:10" x14ac:dyDescent="0.1">
      <c r="D127" s="403" t="s">
        <v>2253</v>
      </c>
      <c r="E127" s="566"/>
      <c r="F127" s="250" t="s">
        <v>3916</v>
      </c>
      <c r="G127" s="3" t="s">
        <v>3920</v>
      </c>
    </row>
    <row r="128" spans="3:10" x14ac:dyDescent="0.1">
      <c r="D128" s="403" t="s">
        <v>2221</v>
      </c>
      <c r="E128" s="566">
        <v>1</v>
      </c>
      <c r="F128" s="250" t="s">
        <v>3916</v>
      </c>
      <c r="G128" s="3" t="s">
        <v>3921</v>
      </c>
    </row>
    <row r="129" spans="4:7" x14ac:dyDescent="0.1">
      <c r="D129" s="403" t="s">
        <v>2344</v>
      </c>
      <c r="E129" s="566">
        <v>1</v>
      </c>
      <c r="F129" s="250" t="s">
        <v>3916</v>
      </c>
      <c r="G129" s="3" t="s">
        <v>3922</v>
      </c>
    </row>
    <row r="130" spans="4:7" x14ac:dyDescent="0.1">
      <c r="D130" s="403" t="s">
        <v>2093</v>
      </c>
      <c r="E130" s="566">
        <v>2</v>
      </c>
      <c r="F130" s="560" t="s">
        <v>3916</v>
      </c>
      <c r="G130" s="3" t="s">
        <v>3922</v>
      </c>
    </row>
    <row r="131" spans="4:7" x14ac:dyDescent="0.1">
      <c r="D131" s="403" t="s">
        <v>2107</v>
      </c>
      <c r="E131" s="566">
        <v>1</v>
      </c>
      <c r="F131" s="250" t="s">
        <v>3916</v>
      </c>
      <c r="G131" s="3" t="s">
        <v>3923</v>
      </c>
    </row>
    <row r="132" spans="4:7" x14ac:dyDescent="0.1">
      <c r="D132" s="403" t="s">
        <v>2393</v>
      </c>
      <c r="E132" s="566"/>
      <c r="F132" s="250" t="s">
        <v>3916</v>
      </c>
      <c r="G132" s="3" t="s">
        <v>3924</v>
      </c>
    </row>
    <row r="133" spans="4:7" x14ac:dyDescent="0.1">
      <c r="D133" s="403" t="s">
        <v>2173</v>
      </c>
      <c r="E133" s="566">
        <v>1</v>
      </c>
      <c r="F133" s="250" t="s">
        <v>3698</v>
      </c>
      <c r="G133" s="3" t="s">
        <v>3925</v>
      </c>
    </row>
    <row r="134" spans="4:7" x14ac:dyDescent="0.1">
      <c r="D134" s="403" t="s">
        <v>2364</v>
      </c>
      <c r="E134" s="566"/>
      <c r="F134" s="250" t="s">
        <v>3916</v>
      </c>
      <c r="G134" s="3" t="s">
        <v>3926</v>
      </c>
    </row>
    <row r="135" spans="4:7" x14ac:dyDescent="0.1">
      <c r="D135" s="403" t="s">
        <v>2144</v>
      </c>
      <c r="E135" s="566"/>
      <c r="F135" s="250" t="s">
        <v>3927</v>
      </c>
      <c r="G135" s="3" t="s">
        <v>3928</v>
      </c>
    </row>
    <row r="136" spans="4:7" x14ac:dyDescent="0.1">
      <c r="D136" s="403" t="s">
        <v>3386</v>
      </c>
      <c r="E136" s="566"/>
      <c r="F136" s="560"/>
      <c r="G136" s="505" t="s">
        <v>3902</v>
      </c>
    </row>
    <row r="137" spans="4:7" x14ac:dyDescent="0.1">
      <c r="D137" s="403" t="s">
        <v>2258</v>
      </c>
      <c r="E137" s="566"/>
      <c r="F137" s="250" t="s">
        <v>3929</v>
      </c>
      <c r="G137" s="249" t="s">
        <v>3930</v>
      </c>
    </row>
    <row r="138" spans="4:7" x14ac:dyDescent="0.1">
      <c r="D138" s="403" t="s">
        <v>2342</v>
      </c>
      <c r="E138" s="566">
        <v>1</v>
      </c>
      <c r="F138" s="250" t="s">
        <v>3929</v>
      </c>
      <c r="G138" s="249" t="s">
        <v>3930</v>
      </c>
    </row>
    <row r="139" spans="4:7" x14ac:dyDescent="0.1">
      <c r="D139" s="403" t="s">
        <v>2163</v>
      </c>
      <c r="E139" s="566">
        <v>1</v>
      </c>
      <c r="F139" s="250" t="s">
        <v>3931</v>
      </c>
      <c r="G139" s="3" t="s">
        <v>3932</v>
      </c>
    </row>
    <row r="140" spans="4:7" x14ac:dyDescent="0.1">
      <c r="D140" s="403" t="s">
        <v>3443</v>
      </c>
      <c r="E140" s="566">
        <v>1</v>
      </c>
      <c r="F140" s="250" t="s">
        <v>3931</v>
      </c>
      <c r="G140" s="3" t="s">
        <v>3932</v>
      </c>
    </row>
    <row r="141" spans="4:7" x14ac:dyDescent="0.1">
      <c r="D141" s="403" t="s">
        <v>2414</v>
      </c>
      <c r="E141" s="566"/>
      <c r="F141" s="560" t="s">
        <v>3916</v>
      </c>
      <c r="G141" s="3" t="s">
        <v>3933</v>
      </c>
    </row>
    <row r="142" spans="4:7" x14ac:dyDescent="0.1">
      <c r="D142" s="403" t="s">
        <v>2347</v>
      </c>
      <c r="E142" s="566"/>
      <c r="F142" s="250" t="s">
        <v>3916</v>
      </c>
      <c r="G142" s="3" t="s">
        <v>3934</v>
      </c>
    </row>
    <row r="143" spans="4:7" x14ac:dyDescent="0.1">
      <c r="D143" s="403" t="s">
        <v>2298</v>
      </c>
      <c r="E143" s="566">
        <v>1</v>
      </c>
      <c r="F143" s="250" t="s">
        <v>3916</v>
      </c>
      <c r="G143" s="3" t="s">
        <v>3935</v>
      </c>
    </row>
    <row r="144" spans="4:7" x14ac:dyDescent="0.1">
      <c r="D144" s="403" t="s">
        <v>2418</v>
      </c>
      <c r="E144" s="566"/>
      <c r="F144" s="250" t="s">
        <v>3916</v>
      </c>
      <c r="G144" s="3" t="s">
        <v>3920</v>
      </c>
    </row>
    <row r="145" spans="3:7" x14ac:dyDescent="0.1">
      <c r="D145" s="403" t="s">
        <v>2351</v>
      </c>
      <c r="E145" s="566"/>
      <c r="F145" s="250" t="s">
        <v>3916</v>
      </c>
      <c r="G145" s="3" t="s">
        <v>3936</v>
      </c>
    </row>
    <row r="146" spans="3:7" x14ac:dyDescent="0.1">
      <c r="D146" s="403" t="s">
        <v>2263</v>
      </c>
      <c r="E146" s="566">
        <v>1</v>
      </c>
      <c r="F146" s="560" t="s">
        <v>3916</v>
      </c>
      <c r="G146" s="3" t="s">
        <v>3937</v>
      </c>
    </row>
    <row r="147" spans="3:7" x14ac:dyDescent="0.1">
      <c r="D147" s="403" t="s">
        <v>2063</v>
      </c>
      <c r="E147" s="566"/>
      <c r="F147" s="250" t="s">
        <v>3916</v>
      </c>
      <c r="G147" s="3" t="s">
        <v>3938</v>
      </c>
    </row>
    <row r="148" spans="3:7" x14ac:dyDescent="0.1">
      <c r="D148" s="403" t="s">
        <v>2043</v>
      </c>
      <c r="E148" s="566"/>
      <c r="F148" s="250" t="s">
        <v>3916</v>
      </c>
      <c r="G148" s="3" t="s">
        <v>3939</v>
      </c>
    </row>
    <row r="149" spans="3:7" x14ac:dyDescent="0.1">
      <c r="D149" s="403" t="s">
        <v>2191</v>
      </c>
      <c r="E149" s="566"/>
      <c r="F149" s="250" t="s">
        <v>3916</v>
      </c>
      <c r="G149" s="3" t="s">
        <v>3940</v>
      </c>
    </row>
    <row r="150" spans="3:7" x14ac:dyDescent="0.1">
      <c r="D150" s="403" t="s">
        <v>2488</v>
      </c>
      <c r="E150" s="566"/>
      <c r="F150" s="250" t="s">
        <v>3916</v>
      </c>
      <c r="G150" s="3" t="s">
        <v>3941</v>
      </c>
    </row>
    <row r="151" spans="3:7" x14ac:dyDescent="0.1">
      <c r="D151" s="403" t="s">
        <v>3942</v>
      </c>
      <c r="E151" s="566">
        <v>1</v>
      </c>
      <c r="F151" s="250" t="s">
        <v>3916</v>
      </c>
      <c r="G151" s="3" t="s">
        <v>3943</v>
      </c>
    </row>
    <row r="152" spans="3:7" x14ac:dyDescent="0.1">
      <c r="D152" s="403" t="s">
        <v>2017</v>
      </c>
      <c r="E152" s="566">
        <v>1</v>
      </c>
      <c r="F152" s="250" t="s">
        <v>3698</v>
      </c>
      <c r="G152" s="3" t="s">
        <v>3944</v>
      </c>
    </row>
    <row r="153" spans="3:7" x14ac:dyDescent="0.1">
      <c r="D153" s="403" t="s">
        <v>2146</v>
      </c>
      <c r="E153" s="566">
        <v>1</v>
      </c>
      <c r="F153" s="250" t="s">
        <v>3916</v>
      </c>
      <c r="G153" s="3" t="s">
        <v>3945</v>
      </c>
    </row>
    <row r="154" spans="3:7" x14ac:dyDescent="0.1">
      <c r="D154" s="403" t="s">
        <v>2167</v>
      </c>
      <c r="E154" s="566">
        <v>1</v>
      </c>
      <c r="F154" s="250" t="s">
        <v>3698</v>
      </c>
      <c r="G154" s="3" t="s">
        <v>3925</v>
      </c>
    </row>
    <row r="155" spans="3:7" x14ac:dyDescent="0.1">
      <c r="D155" s="403" t="s">
        <v>2460</v>
      </c>
      <c r="E155" s="566">
        <v>1</v>
      </c>
      <c r="F155" s="250" t="s">
        <v>3916</v>
      </c>
      <c r="G155" s="3" t="s">
        <v>3946</v>
      </c>
    </row>
    <row r="156" spans="3:7" x14ac:dyDescent="0.1">
      <c r="D156" s="403" t="s">
        <v>2152</v>
      </c>
      <c r="E156" s="566"/>
      <c r="F156" s="250" t="s">
        <v>3916</v>
      </c>
      <c r="G156" s="3" t="s">
        <v>3947</v>
      </c>
    </row>
    <row r="157" spans="3:7" x14ac:dyDescent="0.1">
      <c r="C157" s="249" t="s">
        <v>3218</v>
      </c>
      <c r="D157" s="403" t="s">
        <v>2127</v>
      </c>
      <c r="E157" s="566">
        <v>2</v>
      </c>
      <c r="F157" s="560" t="s">
        <v>3916</v>
      </c>
      <c r="G157" s="3" t="s">
        <v>3948</v>
      </c>
    </row>
    <row r="158" spans="3:7" x14ac:dyDescent="0.1">
      <c r="C158" s="249">
        <v>58</v>
      </c>
      <c r="D158" s="403" t="s">
        <v>2038</v>
      </c>
      <c r="E158" s="566">
        <v>1</v>
      </c>
      <c r="F158" s="250" t="s">
        <v>3916</v>
      </c>
      <c r="G158" s="3" t="s">
        <v>3949</v>
      </c>
    </row>
    <row r="159" spans="3:7" x14ac:dyDescent="0.1">
      <c r="D159" s="403" t="s">
        <v>2311</v>
      </c>
      <c r="E159" s="566">
        <v>2</v>
      </c>
      <c r="F159" s="560" t="s">
        <v>3916</v>
      </c>
      <c r="G159" s="3" t="s">
        <v>3950</v>
      </c>
    </row>
    <row r="160" spans="3:7" x14ac:dyDescent="0.1">
      <c r="D160" s="403" t="s">
        <v>2088</v>
      </c>
      <c r="E160" s="566">
        <v>1</v>
      </c>
      <c r="F160" s="250" t="s">
        <v>3916</v>
      </c>
      <c r="G160" s="3" t="s">
        <v>3951</v>
      </c>
    </row>
    <row r="161" spans="3:7" x14ac:dyDescent="0.1">
      <c r="C161" s="388" t="s">
        <v>3396</v>
      </c>
      <c r="D161" s="403" t="s">
        <v>2496</v>
      </c>
      <c r="E161" s="566">
        <v>1</v>
      </c>
      <c r="F161" s="250" t="s">
        <v>3916</v>
      </c>
      <c r="G161" s="3" t="s">
        <v>3952</v>
      </c>
    </row>
    <row r="162" spans="3:7" x14ac:dyDescent="0.1">
      <c r="C162" s="388"/>
      <c r="D162" s="403" t="s">
        <v>3953</v>
      </c>
      <c r="E162" s="566"/>
      <c r="F162" s="250" t="s">
        <v>3954</v>
      </c>
      <c r="G162" s="3" t="s">
        <v>3955</v>
      </c>
    </row>
    <row r="163" spans="3:7" x14ac:dyDescent="0.1">
      <c r="D163" s="403" t="s">
        <v>2334</v>
      </c>
      <c r="E163" s="566"/>
      <c r="F163" s="250" t="s">
        <v>3956</v>
      </c>
      <c r="G163" s="3" t="s">
        <v>3957</v>
      </c>
    </row>
    <row r="164" spans="3:7" x14ac:dyDescent="0.1">
      <c r="D164" s="403" t="s">
        <v>2182</v>
      </c>
      <c r="E164" s="566">
        <v>1</v>
      </c>
      <c r="F164" s="250" t="s">
        <v>3916</v>
      </c>
      <c r="G164" s="3" t="s">
        <v>3958</v>
      </c>
    </row>
    <row r="165" spans="3:7" x14ac:dyDescent="0.1">
      <c r="D165" s="403" t="s">
        <v>2486</v>
      </c>
      <c r="E165" s="566"/>
      <c r="F165" s="250" t="s">
        <v>3916</v>
      </c>
      <c r="G165" s="3" t="s">
        <v>3920</v>
      </c>
    </row>
    <row r="166" spans="3:7" x14ac:dyDescent="0.1">
      <c r="D166" s="403" t="s">
        <v>2288</v>
      </c>
      <c r="E166" s="566"/>
      <c r="F166" s="250" t="s">
        <v>3959</v>
      </c>
      <c r="G166" s="3" t="s">
        <v>3960</v>
      </c>
    </row>
    <row r="167" spans="3:7" x14ac:dyDescent="0.1">
      <c r="D167" s="403" t="s">
        <v>2184</v>
      </c>
      <c r="E167" s="566">
        <v>1</v>
      </c>
      <c r="F167" s="250" t="s">
        <v>3916</v>
      </c>
      <c r="G167" s="3" t="s">
        <v>3961</v>
      </c>
    </row>
    <row r="168" spans="3:7" x14ac:dyDescent="0.1">
      <c r="D168" s="403" t="s">
        <v>2215</v>
      </c>
      <c r="E168" s="566"/>
      <c r="F168" s="250" t="s">
        <v>3916</v>
      </c>
      <c r="G168" s="3" t="s">
        <v>3962</v>
      </c>
    </row>
    <row r="169" spans="3:7" x14ac:dyDescent="0.1">
      <c r="D169" s="403" t="s">
        <v>3415</v>
      </c>
      <c r="E169" s="566">
        <v>1</v>
      </c>
      <c r="F169" s="250" t="s">
        <v>3927</v>
      </c>
      <c r="G169" s="3" t="s">
        <v>3963</v>
      </c>
    </row>
    <row r="170" spans="3:7" x14ac:dyDescent="0.1">
      <c r="D170" s="403" t="s">
        <v>2027</v>
      </c>
      <c r="E170" s="566"/>
      <c r="F170" s="250" t="s">
        <v>3916</v>
      </c>
      <c r="G170" s="3" t="s">
        <v>3920</v>
      </c>
    </row>
    <row r="171" spans="3:7" x14ac:dyDescent="0.1">
      <c r="D171" s="403" t="s">
        <v>2466</v>
      </c>
      <c r="E171" s="566"/>
      <c r="F171" s="250" t="s">
        <v>3916</v>
      </c>
      <c r="G171" s="3" t="s">
        <v>3964</v>
      </c>
    </row>
    <row r="172" spans="3:7" x14ac:dyDescent="0.1">
      <c r="D172" s="403" t="s">
        <v>2476</v>
      </c>
      <c r="E172" s="566">
        <v>1</v>
      </c>
      <c r="F172" s="250" t="s">
        <v>3916</v>
      </c>
      <c r="G172" s="3" t="s">
        <v>3965</v>
      </c>
    </row>
    <row r="173" spans="3:7" x14ac:dyDescent="0.1">
      <c r="D173" s="403" t="s">
        <v>2135</v>
      </c>
      <c r="E173" s="566">
        <v>1</v>
      </c>
      <c r="F173" s="250" t="s">
        <v>3916</v>
      </c>
      <c r="G173" s="3" t="s">
        <v>3966</v>
      </c>
    </row>
    <row r="174" spans="3:7" x14ac:dyDescent="0.1">
      <c r="D174" s="403" t="s">
        <v>2358</v>
      </c>
      <c r="E174" s="566">
        <v>1</v>
      </c>
      <c r="F174" s="250" t="s">
        <v>3967</v>
      </c>
      <c r="G174" s="3" t="s">
        <v>3968</v>
      </c>
    </row>
    <row r="175" spans="3:7" x14ac:dyDescent="0.1">
      <c r="D175" s="403" t="s">
        <v>2420</v>
      </c>
      <c r="E175" s="566">
        <v>1</v>
      </c>
      <c r="F175" s="250" t="s">
        <v>3916</v>
      </c>
      <c r="G175" s="3" t="s">
        <v>3952</v>
      </c>
    </row>
    <row r="176" spans="3:7" x14ac:dyDescent="0.1">
      <c r="D176" s="403" t="s">
        <v>2230</v>
      </c>
      <c r="E176" s="566">
        <v>1</v>
      </c>
      <c r="F176" s="250" t="s">
        <v>3916</v>
      </c>
      <c r="G176" s="3" t="s">
        <v>3952</v>
      </c>
    </row>
    <row r="177" spans="4:7" x14ac:dyDescent="0.1">
      <c r="D177" s="403" t="s">
        <v>2057</v>
      </c>
      <c r="E177" s="566">
        <v>1</v>
      </c>
      <c r="F177" s="250" t="s">
        <v>3916</v>
      </c>
      <c r="G177" s="3" t="s">
        <v>3969</v>
      </c>
    </row>
    <row r="178" spans="4:7" x14ac:dyDescent="0.1">
      <c r="D178" s="403" t="s">
        <v>2209</v>
      </c>
      <c r="E178" s="566">
        <v>1</v>
      </c>
      <c r="F178" s="250" t="s">
        <v>3916</v>
      </c>
      <c r="G178" s="3" t="s">
        <v>3970</v>
      </c>
    </row>
    <row r="179" spans="4:7" x14ac:dyDescent="0.1">
      <c r="D179" s="403" t="s">
        <v>2213</v>
      </c>
      <c r="E179" s="566">
        <v>1</v>
      </c>
      <c r="F179" s="250" t="s">
        <v>3916</v>
      </c>
      <c r="G179" s="3" t="s">
        <v>3971</v>
      </c>
    </row>
    <row r="180" spans="4:7" x14ac:dyDescent="0.1">
      <c r="D180" s="403" t="s">
        <v>2482</v>
      </c>
      <c r="E180" s="566">
        <v>1</v>
      </c>
      <c r="F180" s="250" t="s">
        <v>3916</v>
      </c>
      <c r="G180" s="3" t="s">
        <v>3972</v>
      </c>
    </row>
    <row r="181" spans="4:7" x14ac:dyDescent="0.1">
      <c r="D181" s="403" t="s">
        <v>2102</v>
      </c>
      <c r="E181" s="566">
        <v>1</v>
      </c>
      <c r="F181" s="250" t="s">
        <v>3916</v>
      </c>
      <c r="G181" s="3" t="s">
        <v>3958</v>
      </c>
    </row>
    <row r="182" spans="4:7" x14ac:dyDescent="0.1">
      <c r="D182" s="403" t="s">
        <v>2180</v>
      </c>
      <c r="E182" s="566">
        <v>1</v>
      </c>
      <c r="F182" s="250" t="s">
        <v>3916</v>
      </c>
      <c r="G182" s="3" t="s">
        <v>3958</v>
      </c>
    </row>
    <row r="183" spans="4:7" x14ac:dyDescent="0.1">
      <c r="D183" s="403" t="s">
        <v>2199</v>
      </c>
      <c r="E183" s="566"/>
      <c r="F183" s="250" t="s">
        <v>3698</v>
      </c>
      <c r="G183" s="3" t="s">
        <v>3973</v>
      </c>
    </row>
    <row r="184" spans="4:7" x14ac:dyDescent="0.1">
      <c r="D184" s="403" t="s">
        <v>2176</v>
      </c>
      <c r="E184" s="566">
        <v>1</v>
      </c>
      <c r="F184" s="250" t="s">
        <v>3698</v>
      </c>
      <c r="G184" s="3" t="s">
        <v>3973</v>
      </c>
    </row>
    <row r="185" spans="4:7" x14ac:dyDescent="0.1">
      <c r="D185" s="403" t="s">
        <v>2240</v>
      </c>
      <c r="E185" s="566">
        <v>1</v>
      </c>
      <c r="F185" s="250" t="s">
        <v>3916</v>
      </c>
      <c r="G185" s="3" t="s">
        <v>3970</v>
      </c>
    </row>
    <row r="186" spans="4:7" x14ac:dyDescent="0.1">
      <c r="D186" s="403" t="s">
        <v>2317</v>
      </c>
      <c r="E186" s="566"/>
      <c r="F186" s="250" t="s">
        <v>3916</v>
      </c>
      <c r="G186" s="3" t="s">
        <v>3974</v>
      </c>
    </row>
    <row r="187" spans="4:7" x14ac:dyDescent="0.1">
      <c r="D187" s="403" t="s">
        <v>2280</v>
      </c>
      <c r="E187" s="566">
        <v>2</v>
      </c>
      <c r="F187" s="560" t="s">
        <v>3916</v>
      </c>
      <c r="G187" s="3" t="s">
        <v>3975</v>
      </c>
    </row>
    <row r="188" spans="4:7" x14ac:dyDescent="0.1">
      <c r="D188" s="403" t="s">
        <v>2296</v>
      </c>
      <c r="E188" s="566">
        <v>1</v>
      </c>
      <c r="F188" s="250" t="s">
        <v>3916</v>
      </c>
      <c r="G188" s="3" t="s">
        <v>3919</v>
      </c>
    </row>
    <row r="189" spans="4:7" x14ac:dyDescent="0.1">
      <c r="D189" s="403" t="s">
        <v>2457</v>
      </c>
      <c r="E189" s="566">
        <v>1</v>
      </c>
      <c r="F189" s="250" t="s">
        <v>3916</v>
      </c>
      <c r="G189" s="3" t="s">
        <v>3976</v>
      </c>
    </row>
    <row r="190" spans="4:7" x14ac:dyDescent="0.1">
      <c r="D190" s="403" t="s">
        <v>2074</v>
      </c>
      <c r="E190" s="566">
        <v>1</v>
      </c>
      <c r="F190" s="250" t="s">
        <v>3916</v>
      </c>
      <c r="G190" s="3" t="s">
        <v>3976</v>
      </c>
    </row>
    <row r="191" spans="4:7" x14ac:dyDescent="0.1">
      <c r="D191" s="403" t="s">
        <v>2104</v>
      </c>
      <c r="E191" s="566">
        <v>2</v>
      </c>
      <c r="F191" s="250" t="s">
        <v>3931</v>
      </c>
      <c r="G191" s="3" t="s">
        <v>3932</v>
      </c>
    </row>
    <row r="192" spans="4:7" x14ac:dyDescent="0.1">
      <c r="D192" s="403" t="s">
        <v>2224</v>
      </c>
      <c r="E192" s="566"/>
      <c r="F192" s="250" t="s">
        <v>3916</v>
      </c>
      <c r="G192" s="3" t="s">
        <v>3977</v>
      </c>
    </row>
    <row r="193" spans="4:7" x14ac:dyDescent="0.1">
      <c r="D193" s="403" t="s">
        <v>2340</v>
      </c>
      <c r="E193" s="566">
        <v>1</v>
      </c>
      <c r="F193" s="250" t="s">
        <v>3916</v>
      </c>
      <c r="G193" s="3" t="s">
        <v>3978</v>
      </c>
    </row>
    <row r="194" spans="4:7" x14ac:dyDescent="0.1">
      <c r="D194" s="403" t="s">
        <v>1885</v>
      </c>
      <c r="E194" s="566">
        <v>1</v>
      </c>
      <c r="F194" s="250" t="s">
        <v>3916</v>
      </c>
      <c r="G194" s="3" t="s">
        <v>3979</v>
      </c>
    </row>
    <row r="195" spans="4:7" x14ac:dyDescent="0.1">
      <c r="D195" s="403" t="s">
        <v>2397</v>
      </c>
      <c r="E195" s="566">
        <v>1</v>
      </c>
      <c r="F195" s="250" t="s">
        <v>3916</v>
      </c>
      <c r="G195" s="3" t="s">
        <v>3980</v>
      </c>
    </row>
    <row r="196" spans="4:7" x14ac:dyDescent="0.1">
      <c r="D196" s="403" t="s">
        <v>2083</v>
      </c>
      <c r="E196" s="566">
        <v>1</v>
      </c>
      <c r="F196" s="250" t="s">
        <v>3916</v>
      </c>
      <c r="G196" s="3" t="s">
        <v>3970</v>
      </c>
    </row>
    <row r="197" spans="4:7" x14ac:dyDescent="0.1">
      <c r="D197" s="403" t="s">
        <v>1857</v>
      </c>
      <c r="E197" s="566">
        <v>1</v>
      </c>
      <c r="F197" s="250" t="s">
        <v>3916</v>
      </c>
      <c r="G197" s="3" t="s">
        <v>3981</v>
      </c>
    </row>
    <row r="198" spans="4:7" x14ac:dyDescent="0.1">
      <c r="D198" s="403" t="s">
        <v>1928</v>
      </c>
      <c r="E198" s="566">
        <v>1</v>
      </c>
      <c r="F198" s="250" t="s">
        <v>3916</v>
      </c>
      <c r="G198" s="3" t="s">
        <v>3982</v>
      </c>
    </row>
    <row r="199" spans="4:7" x14ac:dyDescent="0.1">
      <c r="D199" s="403" t="s">
        <v>2013</v>
      </c>
      <c r="E199" s="566">
        <v>1</v>
      </c>
      <c r="F199" s="250" t="s">
        <v>3916</v>
      </c>
      <c r="G199" s="3" t="s">
        <v>3983</v>
      </c>
    </row>
    <row r="200" spans="4:7" x14ac:dyDescent="0.1">
      <c r="D200" s="403" t="s">
        <v>2274</v>
      </c>
      <c r="E200" s="566"/>
      <c r="F200" s="250" t="s">
        <v>3916</v>
      </c>
      <c r="G200" s="3" t="s">
        <v>3984</v>
      </c>
    </row>
    <row r="201" spans="4:7" x14ac:dyDescent="0.1">
      <c r="D201" s="403" t="s">
        <v>2321</v>
      </c>
      <c r="E201" s="566"/>
      <c r="F201" s="250" t="s">
        <v>3929</v>
      </c>
      <c r="G201" s="249" t="s">
        <v>3985</v>
      </c>
    </row>
    <row r="202" spans="4:7" x14ac:dyDescent="0.1">
      <c r="D202" s="403" t="s">
        <v>2207</v>
      </c>
      <c r="E202" s="566"/>
      <c r="F202" s="250" t="s">
        <v>3929</v>
      </c>
      <c r="G202" s="249" t="s">
        <v>3986</v>
      </c>
    </row>
    <row r="203" spans="4:7" x14ac:dyDescent="0.1">
      <c r="D203" s="403" t="s">
        <v>2236</v>
      </c>
      <c r="E203" s="566"/>
      <c r="F203" s="250" t="s">
        <v>3929</v>
      </c>
      <c r="G203" s="249" t="s">
        <v>3987</v>
      </c>
    </row>
    <row r="204" spans="4:7" x14ac:dyDescent="0.1">
      <c r="D204" s="403" t="s">
        <v>3586</v>
      </c>
      <c r="E204" s="566">
        <v>1</v>
      </c>
      <c r="F204" s="250" t="s">
        <v>3988</v>
      </c>
      <c r="G204" s="3" t="s">
        <v>3989</v>
      </c>
    </row>
    <row r="205" spans="4:7" x14ac:dyDescent="0.1">
      <c r="D205" s="403" t="s">
        <v>1840</v>
      </c>
      <c r="E205" s="566"/>
      <c r="F205" s="250" t="s">
        <v>3916</v>
      </c>
      <c r="G205" s="3" t="s">
        <v>3990</v>
      </c>
    </row>
    <row r="206" spans="4:7" x14ac:dyDescent="0.1">
      <c r="D206" s="403" t="s">
        <v>1854</v>
      </c>
      <c r="E206" s="566"/>
      <c r="F206" s="560"/>
      <c r="G206" s="505" t="s">
        <v>3991</v>
      </c>
    </row>
    <row r="207" spans="4:7" x14ac:dyDescent="0.1">
      <c r="D207" s="403" t="s">
        <v>1867</v>
      </c>
      <c r="E207" s="566">
        <v>1</v>
      </c>
      <c r="F207" s="250" t="s">
        <v>3916</v>
      </c>
      <c r="G207" s="3" t="s">
        <v>3992</v>
      </c>
    </row>
    <row r="208" spans="4:7" x14ac:dyDescent="0.1">
      <c r="D208" s="403" t="s">
        <v>1920</v>
      </c>
      <c r="E208" s="566">
        <v>1</v>
      </c>
      <c r="F208" s="250" t="s">
        <v>3956</v>
      </c>
      <c r="G208" s="3" t="s">
        <v>3993</v>
      </c>
    </row>
    <row r="209" spans="3:7" x14ac:dyDescent="0.1">
      <c r="D209" s="403" t="s">
        <v>2015</v>
      </c>
      <c r="E209" s="566"/>
      <c r="F209" s="250" t="s">
        <v>3916</v>
      </c>
      <c r="G209" s="3" t="s">
        <v>3994</v>
      </c>
    </row>
    <row r="210" spans="3:7" x14ac:dyDescent="0.1">
      <c r="D210" s="403" t="s">
        <v>2226</v>
      </c>
      <c r="E210" s="566"/>
      <c r="F210" s="250" t="s">
        <v>3956</v>
      </c>
      <c r="G210" s="3" t="s">
        <v>3995</v>
      </c>
    </row>
    <row r="211" spans="3:7" x14ac:dyDescent="0.1">
      <c r="D211" s="403" t="s">
        <v>2228</v>
      </c>
      <c r="E211" s="566"/>
      <c r="F211" s="250" t="s">
        <v>3956</v>
      </c>
      <c r="G211" s="3" t="s">
        <v>3996</v>
      </c>
    </row>
    <row r="212" spans="3:7" x14ac:dyDescent="0.1">
      <c r="D212" s="403" t="s">
        <v>2247</v>
      </c>
      <c r="E212" s="566"/>
      <c r="F212" s="560"/>
      <c r="G212" s="505" t="s">
        <v>3997</v>
      </c>
    </row>
    <row r="213" spans="3:7" x14ac:dyDescent="0.1">
      <c r="D213" s="403" t="s">
        <v>2313</v>
      </c>
      <c r="E213" s="566">
        <v>1</v>
      </c>
      <c r="F213" s="250" t="s">
        <v>3998</v>
      </c>
      <c r="G213" s="3" t="s">
        <v>3999</v>
      </c>
    </row>
    <row r="214" spans="3:7" x14ac:dyDescent="0.1">
      <c r="D214" s="403" t="s">
        <v>2324</v>
      </c>
      <c r="E214" s="566">
        <v>1</v>
      </c>
      <c r="F214" s="250" t="s">
        <v>3988</v>
      </c>
      <c r="G214" s="3" t="s">
        <v>4000</v>
      </c>
    </row>
    <row r="215" spans="3:7" x14ac:dyDescent="0.1">
      <c r="D215" s="403" t="s">
        <v>2330</v>
      </c>
      <c r="E215" s="566">
        <v>1</v>
      </c>
      <c r="F215" s="250" t="s">
        <v>3916</v>
      </c>
      <c r="G215" s="3" t="s">
        <v>4001</v>
      </c>
    </row>
    <row r="216" spans="3:7" x14ac:dyDescent="0.1">
      <c r="D216" s="403" t="s">
        <v>2432</v>
      </c>
      <c r="E216" s="566">
        <v>1</v>
      </c>
      <c r="F216" s="250" t="s">
        <v>3916</v>
      </c>
      <c r="G216" s="3" t="s">
        <v>3920</v>
      </c>
    </row>
    <row r="217" spans="3:7" x14ac:dyDescent="0.1">
      <c r="D217" s="403" t="s">
        <v>2718</v>
      </c>
      <c r="E217" s="566">
        <v>1</v>
      </c>
      <c r="F217" s="250" t="s">
        <v>3929</v>
      </c>
      <c r="G217" s="249" t="s">
        <v>4002</v>
      </c>
    </row>
    <row r="218" spans="3:7" x14ac:dyDescent="0.1">
      <c r="C218" s="249" t="s">
        <v>4003</v>
      </c>
      <c r="D218" s="403" t="s">
        <v>1538</v>
      </c>
      <c r="E218" s="566">
        <v>1</v>
      </c>
      <c r="F218" s="559" t="s">
        <v>4004</v>
      </c>
      <c r="G218" s="438" t="s">
        <v>4005</v>
      </c>
    </row>
    <row r="219" spans="3:7" x14ac:dyDescent="0.1">
      <c r="C219" s="388">
        <v>11</v>
      </c>
      <c r="D219" s="404" t="s">
        <v>5</v>
      </c>
      <c r="E219" s="569">
        <v>1</v>
      </c>
      <c r="F219" s="559"/>
      <c r="G219" s="439" t="s">
        <v>4006</v>
      </c>
    </row>
    <row r="220" spans="3:7" x14ac:dyDescent="0.1">
      <c r="D220" s="403" t="s">
        <v>3267</v>
      </c>
      <c r="E220" s="566">
        <v>1</v>
      </c>
      <c r="F220" s="559" t="s">
        <v>4007</v>
      </c>
      <c r="G220" s="393" t="s">
        <v>4008</v>
      </c>
    </row>
    <row r="221" spans="3:7" x14ac:dyDescent="0.1">
      <c r="D221" s="404" t="s">
        <v>433</v>
      </c>
      <c r="E221" s="569">
        <v>1</v>
      </c>
      <c r="F221" s="559"/>
      <c r="G221" s="439" t="s">
        <v>4006</v>
      </c>
    </row>
    <row r="222" spans="3:7" x14ac:dyDescent="0.1">
      <c r="D222" s="403" t="s">
        <v>3287</v>
      </c>
      <c r="E222" s="566"/>
      <c r="F222" s="559"/>
      <c r="G222" s="438"/>
    </row>
    <row r="223" spans="3:7" x14ac:dyDescent="0.1">
      <c r="D223" s="403" t="s">
        <v>3302</v>
      </c>
      <c r="E223" s="566"/>
      <c r="F223" s="559" t="s">
        <v>4009</v>
      </c>
      <c r="G223" s="392" t="s">
        <v>4010</v>
      </c>
    </row>
    <row r="224" spans="3:7" x14ac:dyDescent="0.1">
      <c r="D224" s="403" t="s">
        <v>3313</v>
      </c>
      <c r="E224" s="566"/>
      <c r="F224" s="559" t="s">
        <v>4011</v>
      </c>
      <c r="G224" s="392" t="s">
        <v>4012</v>
      </c>
    </row>
    <row r="225" spans="3:9" x14ac:dyDescent="0.1">
      <c r="D225" s="403" t="s">
        <v>3324</v>
      </c>
      <c r="E225" s="566"/>
      <c r="F225" s="559" t="s">
        <v>4013</v>
      </c>
      <c r="G225" s="392" t="s">
        <v>4014</v>
      </c>
    </row>
    <row r="226" spans="3:9" x14ac:dyDescent="0.1">
      <c r="D226" s="403" t="s">
        <v>3335</v>
      </c>
      <c r="E226" s="566"/>
      <c r="F226" s="559"/>
      <c r="G226" s="438"/>
    </row>
    <row r="227" spans="3:9" x14ac:dyDescent="0.1">
      <c r="D227" s="403" t="s">
        <v>2551</v>
      </c>
      <c r="E227" s="566"/>
      <c r="F227" s="559"/>
      <c r="G227" s="508" t="s">
        <v>4015</v>
      </c>
    </row>
    <row r="228" spans="3:9" x14ac:dyDescent="0.1">
      <c r="D228" s="404" t="s">
        <v>3352</v>
      </c>
      <c r="E228" s="569">
        <v>1</v>
      </c>
      <c r="F228" s="559"/>
      <c r="G228" s="439" t="s">
        <v>4006</v>
      </c>
    </row>
    <row r="229" spans="3:9" x14ac:dyDescent="0.1">
      <c r="D229" s="403" t="s">
        <v>3364</v>
      </c>
      <c r="E229" s="566"/>
      <c r="F229" s="559"/>
      <c r="G229" s="438"/>
    </row>
    <row r="230" spans="3:9" x14ac:dyDescent="0.1">
      <c r="D230" s="403" t="s">
        <v>36</v>
      </c>
      <c r="E230" s="566">
        <v>1</v>
      </c>
      <c r="F230" s="559" t="s">
        <v>4016</v>
      </c>
      <c r="G230" s="392" t="s">
        <v>4017</v>
      </c>
    </row>
    <row r="231" spans="3:9" x14ac:dyDescent="0.1">
      <c r="D231" s="403" t="s">
        <v>2700</v>
      </c>
      <c r="E231" s="566">
        <v>1</v>
      </c>
      <c r="F231" s="559" t="s">
        <v>4018</v>
      </c>
      <c r="G231" s="438" t="s">
        <v>4019</v>
      </c>
    </row>
    <row r="232" spans="3:9" x14ac:dyDescent="0.1">
      <c r="D232" s="404" t="s">
        <v>2882</v>
      </c>
      <c r="E232" s="569">
        <v>1</v>
      </c>
      <c r="F232" s="559"/>
      <c r="G232" s="439" t="s">
        <v>4006</v>
      </c>
    </row>
    <row r="233" spans="3:9" x14ac:dyDescent="0.1">
      <c r="C233" s="249" t="s">
        <v>4020</v>
      </c>
      <c r="D233" s="403" t="s">
        <v>2078</v>
      </c>
      <c r="E233" s="566"/>
      <c r="F233" s="249" t="s">
        <v>3959</v>
      </c>
      <c r="G233" s="249" t="s">
        <v>4021</v>
      </c>
    </row>
    <row r="234" spans="3:9" x14ac:dyDescent="0.1">
      <c r="C234" s="388">
        <v>9</v>
      </c>
      <c r="D234" s="403" t="s">
        <v>2949</v>
      </c>
      <c r="E234" s="566"/>
      <c r="F234" s="249" t="s">
        <v>3698</v>
      </c>
      <c r="G234" s="249" t="s">
        <v>4022</v>
      </c>
    </row>
    <row r="235" spans="3:9" x14ac:dyDescent="0.1">
      <c r="D235" s="403" t="s">
        <v>2969</v>
      </c>
      <c r="E235" s="566">
        <v>1</v>
      </c>
      <c r="F235" s="559" t="s">
        <v>3698</v>
      </c>
      <c r="G235" s="249" t="s">
        <v>4023</v>
      </c>
    </row>
    <row r="236" spans="3:9" x14ac:dyDescent="0.1">
      <c r="D236" s="403" t="s">
        <v>2973</v>
      </c>
      <c r="E236" s="566">
        <v>2</v>
      </c>
      <c r="F236" s="559" t="s">
        <v>4024</v>
      </c>
      <c r="G236" s="249" t="s">
        <v>4025</v>
      </c>
    </row>
    <row r="237" spans="3:9" x14ac:dyDescent="0.1">
      <c r="D237" s="403" t="s">
        <v>2405</v>
      </c>
      <c r="E237" s="566"/>
      <c r="F237" s="559"/>
      <c r="G237" s="439" t="s">
        <v>4026</v>
      </c>
      <c r="I237" s="249" t="s">
        <v>4027</v>
      </c>
    </row>
    <row r="238" spans="3:9" x14ac:dyDescent="0.1">
      <c r="D238" s="403" t="s">
        <v>2976</v>
      </c>
      <c r="E238" s="566"/>
      <c r="F238" s="249" t="s">
        <v>3698</v>
      </c>
      <c r="G238" s="249" t="s">
        <v>4028</v>
      </c>
    </row>
    <row r="239" spans="3:9" x14ac:dyDescent="0.1">
      <c r="D239" s="403" t="s">
        <v>2981</v>
      </c>
      <c r="E239" s="566"/>
      <c r="F239" s="249" t="s">
        <v>3698</v>
      </c>
      <c r="G239" s="249" t="s">
        <v>4029</v>
      </c>
    </row>
    <row r="240" spans="3:9" x14ac:dyDescent="0.1">
      <c r="D240" s="403" t="s">
        <v>2072</v>
      </c>
      <c r="E240" s="566"/>
      <c r="F240" s="559"/>
      <c r="G240" s="439" t="s">
        <v>4030</v>
      </c>
    </row>
    <row r="241" spans="3:10" x14ac:dyDescent="0.1">
      <c r="D241" s="403" t="s">
        <v>1</v>
      </c>
      <c r="E241" s="566">
        <v>2</v>
      </c>
      <c r="F241" s="249" t="s">
        <v>4031</v>
      </c>
      <c r="G241" s="249" t="s">
        <v>4032</v>
      </c>
    </row>
    <row r="242" spans="3:10" x14ac:dyDescent="0.1">
      <c r="D242" s="403" t="s">
        <v>2395</v>
      </c>
      <c r="E242" s="566"/>
      <c r="F242" s="249" t="s">
        <v>3698</v>
      </c>
      <c r="G242" s="249" t="s">
        <v>4033</v>
      </c>
    </row>
    <row r="243" spans="3:10" x14ac:dyDescent="0.1">
      <c r="D243" s="403" t="s">
        <v>2952</v>
      </c>
      <c r="E243" s="566">
        <v>1</v>
      </c>
      <c r="F243" s="249" t="s">
        <v>4031</v>
      </c>
      <c r="G243" s="249" t="s">
        <v>4034</v>
      </c>
    </row>
    <row r="244" spans="3:10" x14ac:dyDescent="0.1">
      <c r="C244" s="249" t="s">
        <v>3221</v>
      </c>
      <c r="D244" s="403" t="s">
        <v>55</v>
      </c>
      <c r="E244" s="566"/>
      <c r="F244" s="559"/>
      <c r="G244" s="261" t="s">
        <v>4035</v>
      </c>
      <c r="I244" s="249" t="s">
        <v>4036</v>
      </c>
    </row>
    <row r="245" spans="3:10" x14ac:dyDescent="0.1">
      <c r="C245" s="388">
        <v>10</v>
      </c>
      <c r="D245" s="561" t="s">
        <v>3268</v>
      </c>
      <c r="E245" s="566"/>
      <c r="F245" s="559" t="s">
        <v>4037</v>
      </c>
      <c r="G245" s="556" t="s">
        <v>4038</v>
      </c>
    </row>
    <row r="246" spans="3:10" x14ac:dyDescent="0.1">
      <c r="D246" s="561" t="s">
        <v>2884</v>
      </c>
      <c r="E246" s="566"/>
      <c r="F246" s="559" t="s">
        <v>3884</v>
      </c>
      <c r="G246" s="556" t="s">
        <v>4039</v>
      </c>
      <c r="I246" s="249" t="s">
        <v>4040</v>
      </c>
    </row>
    <row r="247" spans="3:10" x14ac:dyDescent="0.1">
      <c r="D247" s="561" t="s">
        <v>2850</v>
      </c>
      <c r="E247" s="566"/>
      <c r="F247" s="249" t="s">
        <v>4041</v>
      </c>
      <c r="G247" s="556" t="s">
        <v>4042</v>
      </c>
    </row>
    <row r="248" spans="3:10" x14ac:dyDescent="0.1">
      <c r="D248" s="561" t="s">
        <v>2903</v>
      </c>
      <c r="E248" s="566"/>
      <c r="F248" s="249" t="s">
        <v>4043</v>
      </c>
      <c r="G248" s="556" t="s">
        <v>4044</v>
      </c>
    </row>
    <row r="249" spans="3:10" x14ac:dyDescent="0.1">
      <c r="D249" s="561" t="s">
        <v>2858</v>
      </c>
      <c r="E249" s="566"/>
      <c r="F249" s="249" t="s">
        <v>3916</v>
      </c>
      <c r="G249" s="556" t="s">
        <v>4045</v>
      </c>
      <c r="J249" s="523" t="s">
        <v>2859</v>
      </c>
    </row>
    <row r="250" spans="3:10" x14ac:dyDescent="0.1">
      <c r="D250" s="403" t="s">
        <v>2825</v>
      </c>
      <c r="E250" s="566">
        <v>2</v>
      </c>
      <c r="F250" s="559"/>
      <c r="G250" s="439" t="s">
        <v>4046</v>
      </c>
    </row>
    <row r="251" spans="3:10" x14ac:dyDescent="0.1">
      <c r="D251" s="403" t="s">
        <v>2893</v>
      </c>
      <c r="E251" s="566">
        <v>2</v>
      </c>
      <c r="F251" s="559"/>
      <c r="G251" s="439" t="s">
        <v>4046</v>
      </c>
    </row>
    <row r="252" spans="3:10" x14ac:dyDescent="0.1">
      <c r="D252" s="403" t="s">
        <v>3353</v>
      </c>
      <c r="E252" s="566">
        <v>2</v>
      </c>
      <c r="F252" s="559"/>
      <c r="G252" s="439" t="s">
        <v>4046</v>
      </c>
    </row>
    <row r="253" spans="3:10" x14ac:dyDescent="0.1">
      <c r="D253" s="403" t="s">
        <v>3365</v>
      </c>
      <c r="E253" s="566">
        <v>2</v>
      </c>
      <c r="F253" s="559"/>
      <c r="G253" s="439" t="s">
        <v>4046</v>
      </c>
    </row>
    <row r="254" spans="3:10" x14ac:dyDescent="0.1">
      <c r="C254" s="249" t="s">
        <v>3223</v>
      </c>
      <c r="D254" s="403" t="s">
        <v>72</v>
      </c>
      <c r="E254" s="566">
        <v>2</v>
      </c>
      <c r="F254" s="249" t="s">
        <v>4047</v>
      </c>
      <c r="G254" s="261" t="s">
        <v>4048</v>
      </c>
    </row>
    <row r="255" spans="3:10" x14ac:dyDescent="0.1">
      <c r="C255" s="388">
        <v>24</v>
      </c>
      <c r="D255" s="404" t="s">
        <v>3254</v>
      </c>
      <c r="E255" s="569">
        <v>1</v>
      </c>
      <c r="F255" s="559"/>
      <c r="G255" s="439" t="s">
        <v>4006</v>
      </c>
    </row>
    <row r="256" spans="3:10" x14ac:dyDescent="0.1">
      <c r="D256" s="404" t="s">
        <v>1739</v>
      </c>
      <c r="E256" s="569">
        <v>1</v>
      </c>
      <c r="F256" s="559"/>
      <c r="G256" s="439" t="s">
        <v>4006</v>
      </c>
    </row>
    <row r="257" spans="4:7" x14ac:dyDescent="0.1">
      <c r="D257" s="403" t="s">
        <v>1742</v>
      </c>
      <c r="E257" s="566">
        <v>2</v>
      </c>
      <c r="F257" s="559" t="s">
        <v>4049</v>
      </c>
      <c r="G257" s="397" t="s">
        <v>4050</v>
      </c>
    </row>
    <row r="258" spans="4:7" x14ac:dyDescent="0.1">
      <c r="D258" s="404" t="s">
        <v>3288</v>
      </c>
      <c r="E258" s="569">
        <v>1</v>
      </c>
      <c r="F258" s="559"/>
      <c r="G258" s="439" t="s">
        <v>4006</v>
      </c>
    </row>
    <row r="259" spans="4:7" x14ac:dyDescent="0.1">
      <c r="D259" s="404" t="s">
        <v>3304</v>
      </c>
      <c r="E259" s="569">
        <v>1</v>
      </c>
      <c r="F259" s="559"/>
      <c r="G259" s="439" t="s">
        <v>4006</v>
      </c>
    </row>
    <row r="260" spans="4:7" x14ac:dyDescent="0.1">
      <c r="D260" s="404" t="s">
        <v>3314</v>
      </c>
      <c r="E260" s="569">
        <v>1</v>
      </c>
      <c r="F260" s="559"/>
      <c r="G260" s="439" t="s">
        <v>4006</v>
      </c>
    </row>
    <row r="261" spans="4:7" x14ac:dyDescent="0.1">
      <c r="D261" s="404" t="s">
        <v>1737</v>
      </c>
      <c r="E261" s="569">
        <v>1</v>
      </c>
      <c r="F261" s="559"/>
      <c r="G261" s="439" t="s">
        <v>4006</v>
      </c>
    </row>
    <row r="262" spans="4:7" x14ac:dyDescent="0.1">
      <c r="D262" s="404" t="s">
        <v>1735</v>
      </c>
      <c r="E262" s="569">
        <v>1</v>
      </c>
      <c r="F262" s="559"/>
      <c r="G262" s="439" t="s">
        <v>4006</v>
      </c>
    </row>
    <row r="263" spans="4:7" x14ac:dyDescent="0.1">
      <c r="D263" s="403" t="s">
        <v>4051</v>
      </c>
      <c r="E263" s="566">
        <v>1</v>
      </c>
      <c r="F263" s="559" t="s">
        <v>4052</v>
      </c>
      <c r="G263" s="261" t="s">
        <v>4053</v>
      </c>
    </row>
    <row r="264" spans="4:7" x14ac:dyDescent="0.1">
      <c r="D264" s="403" t="s">
        <v>1622</v>
      </c>
      <c r="E264" s="566">
        <v>2</v>
      </c>
      <c r="F264" s="559"/>
      <c r="G264" s="439" t="s">
        <v>4006</v>
      </c>
    </row>
    <row r="265" spans="4:7" x14ac:dyDescent="0.1">
      <c r="D265" s="403" t="s">
        <v>1628</v>
      </c>
      <c r="E265" s="566"/>
      <c r="F265" s="559"/>
      <c r="G265" s="439" t="s">
        <v>4006</v>
      </c>
    </row>
    <row r="266" spans="4:7" x14ac:dyDescent="0.1">
      <c r="D266" s="403" t="s">
        <v>1613</v>
      </c>
      <c r="E266" s="566"/>
      <c r="F266" s="559"/>
      <c r="G266" s="439" t="s">
        <v>4006</v>
      </c>
    </row>
    <row r="267" spans="4:7" x14ac:dyDescent="0.1">
      <c r="D267" s="404" t="s">
        <v>3378</v>
      </c>
      <c r="E267" s="569">
        <v>1</v>
      </c>
      <c r="F267" s="559"/>
      <c r="G267" s="439" t="s">
        <v>4006</v>
      </c>
    </row>
    <row r="268" spans="4:7" x14ac:dyDescent="0.1">
      <c r="D268" s="403" t="s">
        <v>3387</v>
      </c>
      <c r="E268" s="566">
        <v>1</v>
      </c>
      <c r="F268" s="559" t="s">
        <v>4052</v>
      </c>
      <c r="G268" s="261" t="s">
        <v>4054</v>
      </c>
    </row>
    <row r="269" spans="4:7" x14ac:dyDescent="0.1">
      <c r="D269" s="403" t="s">
        <v>3406</v>
      </c>
      <c r="E269" s="566"/>
      <c r="F269" s="559" t="s">
        <v>4055</v>
      </c>
      <c r="G269" s="261" t="s">
        <v>4056</v>
      </c>
    </row>
    <row r="270" spans="4:7" x14ac:dyDescent="0.1">
      <c r="D270" s="404" t="s">
        <v>3416</v>
      </c>
      <c r="E270" s="569">
        <v>1</v>
      </c>
      <c r="F270" s="559"/>
      <c r="G270" s="439" t="s">
        <v>4006</v>
      </c>
    </row>
    <row r="271" spans="4:7" x14ac:dyDescent="0.1">
      <c r="D271" s="403" t="s">
        <v>4057</v>
      </c>
      <c r="E271" s="566">
        <v>1</v>
      </c>
      <c r="F271" s="559" t="s">
        <v>4055</v>
      </c>
      <c r="G271" s="261" t="s">
        <v>4058</v>
      </c>
    </row>
    <row r="272" spans="4:7" x14ac:dyDescent="0.1">
      <c r="D272" s="403" t="s">
        <v>4059</v>
      </c>
      <c r="E272" s="566">
        <v>1</v>
      </c>
      <c r="F272" s="559" t="s">
        <v>4055</v>
      </c>
      <c r="G272" s="261" t="s">
        <v>4058</v>
      </c>
    </row>
    <row r="273" spans="3:10" x14ac:dyDescent="0.1">
      <c r="D273" s="404" t="s">
        <v>3444</v>
      </c>
      <c r="E273" s="569">
        <v>1</v>
      </c>
      <c r="F273" s="559"/>
      <c r="G273" s="439" t="s">
        <v>4006</v>
      </c>
    </row>
    <row r="274" spans="3:10" x14ac:dyDescent="0.1">
      <c r="D274" s="404" t="s">
        <v>3450</v>
      </c>
      <c r="E274" s="569">
        <v>1</v>
      </c>
      <c r="F274" s="559"/>
      <c r="G274" s="439" t="s">
        <v>4006</v>
      </c>
    </row>
    <row r="275" spans="3:10" x14ac:dyDescent="0.1">
      <c r="D275" s="404" t="s">
        <v>3454</v>
      </c>
      <c r="E275" s="569">
        <v>1</v>
      </c>
      <c r="F275" s="559"/>
      <c r="G275" s="439" t="s">
        <v>4006</v>
      </c>
    </row>
    <row r="276" spans="3:10" x14ac:dyDescent="0.1">
      <c r="D276" s="404" t="s">
        <v>2799</v>
      </c>
      <c r="E276" s="569">
        <v>1</v>
      </c>
      <c r="F276" s="559"/>
      <c r="G276" s="439" t="s">
        <v>4006</v>
      </c>
    </row>
    <row r="277" spans="3:10" x14ac:dyDescent="0.1">
      <c r="D277" s="404" t="s">
        <v>3468</v>
      </c>
      <c r="E277" s="569">
        <v>1</v>
      </c>
      <c r="F277" s="559"/>
      <c r="G277" s="439" t="s">
        <v>4006</v>
      </c>
    </row>
    <row r="278" spans="3:10" x14ac:dyDescent="0.1">
      <c r="C278" s="249" t="s">
        <v>4060</v>
      </c>
      <c r="D278" s="561" t="s">
        <v>3239</v>
      </c>
      <c r="E278" s="570">
        <v>1</v>
      </c>
      <c r="F278" s="559" t="s">
        <v>4061</v>
      </c>
      <c r="G278" s="562" t="s">
        <v>4062</v>
      </c>
      <c r="I278" s="249" t="s">
        <v>4063</v>
      </c>
    </row>
    <row r="279" spans="3:10" x14ac:dyDescent="0.1">
      <c r="C279" s="388">
        <v>3</v>
      </c>
      <c r="D279" s="403" t="s">
        <v>3326</v>
      </c>
      <c r="E279" s="566">
        <v>1</v>
      </c>
      <c r="F279" s="559" t="s">
        <v>4064</v>
      </c>
      <c r="G279" s="433" t="s">
        <v>4065</v>
      </c>
      <c r="I279" s="249" t="s">
        <v>4066</v>
      </c>
    </row>
    <row r="280" spans="3:10" x14ac:dyDescent="0.1">
      <c r="C280" s="388"/>
      <c r="D280" s="403" t="s">
        <v>1318</v>
      </c>
      <c r="E280" s="566">
        <v>1</v>
      </c>
      <c r="F280" s="559"/>
      <c r="G280" s="433"/>
    </row>
    <row r="281" spans="3:10" x14ac:dyDescent="0.1">
      <c r="C281" s="249" t="s">
        <v>4067</v>
      </c>
      <c r="D281" s="365" t="s">
        <v>3256</v>
      </c>
      <c r="E281" s="567"/>
      <c r="F281" s="559"/>
      <c r="G281" s="506" t="s">
        <v>4006</v>
      </c>
    </row>
    <row r="282" spans="3:10" x14ac:dyDescent="0.1">
      <c r="C282" s="388">
        <v>10</v>
      </c>
      <c r="D282" s="365" t="s">
        <v>710</v>
      </c>
      <c r="E282" s="567"/>
      <c r="F282" s="559"/>
      <c r="G282" s="507" t="s">
        <v>4006</v>
      </c>
    </row>
    <row r="283" spans="3:10" x14ac:dyDescent="0.1">
      <c r="D283" s="365" t="s">
        <v>1302</v>
      </c>
      <c r="E283" s="567"/>
      <c r="F283" s="559"/>
      <c r="G283" s="507" t="s">
        <v>4006</v>
      </c>
    </row>
    <row r="284" spans="3:10" x14ac:dyDescent="0.1">
      <c r="D284" s="365" t="s">
        <v>62</v>
      </c>
      <c r="E284" s="567"/>
      <c r="F284" s="559"/>
      <c r="G284" s="439" t="s">
        <v>4006</v>
      </c>
    </row>
    <row r="285" spans="3:10" x14ac:dyDescent="0.1">
      <c r="D285" s="365" t="s">
        <v>3242</v>
      </c>
      <c r="E285" s="567"/>
      <c r="F285" s="559"/>
      <c r="G285" s="439" t="s">
        <v>4068</v>
      </c>
    </row>
    <row r="286" spans="3:10" x14ac:dyDescent="0.1">
      <c r="D286" s="365" t="s">
        <v>1272</v>
      </c>
      <c r="E286" s="567">
        <v>2</v>
      </c>
      <c r="F286" s="559"/>
      <c r="G286" s="439" t="s">
        <v>4069</v>
      </c>
    </row>
    <row r="287" spans="3:10" x14ac:dyDescent="0.1">
      <c r="D287" s="563" t="s">
        <v>3438</v>
      </c>
      <c r="E287" s="571">
        <v>2</v>
      </c>
      <c r="F287" s="559" t="s">
        <v>4070</v>
      </c>
      <c r="G287" s="556" t="s">
        <v>4071</v>
      </c>
      <c r="I287" s="249" t="s">
        <v>4072</v>
      </c>
      <c r="J287" s="249" t="s">
        <v>4073</v>
      </c>
    </row>
    <row r="288" spans="3:10" x14ac:dyDescent="0.1">
      <c r="D288" s="365" t="s">
        <v>3532</v>
      </c>
      <c r="E288" s="567">
        <v>1</v>
      </c>
      <c r="F288" s="559"/>
      <c r="G288" s="439" t="s">
        <v>4069</v>
      </c>
    </row>
    <row r="289" spans="3:9" x14ac:dyDescent="0.1">
      <c r="D289" s="365" t="s">
        <v>3536</v>
      </c>
      <c r="E289" s="567"/>
      <c r="F289" s="559"/>
      <c r="G289" s="439" t="s">
        <v>3902</v>
      </c>
    </row>
    <row r="290" spans="3:9" x14ac:dyDescent="0.1">
      <c r="D290" s="365" t="s">
        <v>3550</v>
      </c>
      <c r="E290" s="567"/>
      <c r="F290" s="559"/>
      <c r="G290" s="439" t="s">
        <v>3902</v>
      </c>
    </row>
    <row r="291" spans="3:9" x14ac:dyDescent="0.1">
      <c r="C291" s="249" t="s">
        <v>4074</v>
      </c>
      <c r="D291" s="550" t="s">
        <v>3247</v>
      </c>
      <c r="E291" s="568"/>
      <c r="F291" s="559"/>
      <c r="G291" s="439" t="s">
        <v>4075</v>
      </c>
    </row>
    <row r="292" spans="3:9" x14ac:dyDescent="0.1">
      <c r="C292" s="388">
        <v>10</v>
      </c>
      <c r="D292" s="550" t="s">
        <v>3257</v>
      </c>
      <c r="E292" s="568"/>
      <c r="F292" s="559"/>
      <c r="G292" s="439" t="s">
        <v>4075</v>
      </c>
    </row>
    <row r="293" spans="3:9" x14ac:dyDescent="0.1">
      <c r="D293" s="550" t="s">
        <v>511</v>
      </c>
      <c r="E293" s="568"/>
      <c r="F293" s="559"/>
      <c r="G293" s="439" t="s">
        <v>4075</v>
      </c>
    </row>
    <row r="294" spans="3:9" x14ac:dyDescent="0.1">
      <c r="D294" s="598" t="s">
        <v>3305</v>
      </c>
      <c r="E294" s="568">
        <v>2</v>
      </c>
      <c r="F294" s="559" t="s">
        <v>4076</v>
      </c>
      <c r="G294" s="599" t="s">
        <v>4077</v>
      </c>
    </row>
    <row r="295" spans="3:9" x14ac:dyDescent="0.1">
      <c r="D295" s="550" t="s">
        <v>1292</v>
      </c>
      <c r="E295" s="568"/>
      <c r="F295" s="559"/>
      <c r="G295" s="439" t="s">
        <v>4075</v>
      </c>
    </row>
    <row r="296" spans="3:9" x14ac:dyDescent="0.1">
      <c r="D296" s="550" t="s">
        <v>1328</v>
      </c>
      <c r="E296" s="568">
        <v>1</v>
      </c>
      <c r="F296" s="559"/>
      <c r="G296" s="439" t="s">
        <v>4078</v>
      </c>
    </row>
    <row r="297" spans="3:9" x14ac:dyDescent="0.1">
      <c r="C297" s="249" t="s">
        <v>3227</v>
      </c>
      <c r="D297" s="365" t="s">
        <v>1482</v>
      </c>
      <c r="E297" s="567">
        <v>2</v>
      </c>
      <c r="F297" s="559" t="s">
        <v>4079</v>
      </c>
      <c r="G297" s="368" t="s">
        <v>4080</v>
      </c>
      <c r="H297" s="518"/>
      <c r="I297" s="263"/>
    </row>
    <row r="298" spans="3:9" x14ac:dyDescent="0.1">
      <c r="C298" s="388">
        <v>48</v>
      </c>
      <c r="D298" s="365" t="s">
        <v>1468</v>
      </c>
      <c r="E298" s="567">
        <v>2</v>
      </c>
      <c r="F298" s="559" t="s">
        <v>4081</v>
      </c>
      <c r="G298" s="547" t="s">
        <v>4082</v>
      </c>
      <c r="H298" s="518"/>
      <c r="I298" s="263"/>
    </row>
    <row r="299" spans="3:9" x14ac:dyDescent="0.1">
      <c r="C299" s="249" t="s">
        <v>4083</v>
      </c>
      <c r="D299" s="365" t="s">
        <v>1475</v>
      </c>
      <c r="E299" s="567">
        <v>2</v>
      </c>
      <c r="F299" s="559" t="s">
        <v>4084</v>
      </c>
      <c r="G299" s="368" t="s">
        <v>4085</v>
      </c>
      <c r="H299" s="518"/>
      <c r="I299" s="263"/>
    </row>
    <row r="300" spans="3:9" x14ac:dyDescent="0.1">
      <c r="D300" s="365" t="s">
        <v>1484</v>
      </c>
      <c r="E300" s="567">
        <v>2</v>
      </c>
      <c r="F300" s="559" t="s">
        <v>3396</v>
      </c>
      <c r="G300" s="368" t="s">
        <v>4086</v>
      </c>
      <c r="H300" s="518"/>
      <c r="I300" s="263"/>
    </row>
    <row r="301" spans="3:9" x14ac:dyDescent="0.1">
      <c r="D301" s="365" t="s">
        <v>1472</v>
      </c>
      <c r="E301" s="567">
        <v>3</v>
      </c>
      <c r="F301" s="559" t="s">
        <v>4087</v>
      </c>
      <c r="G301" s="432" t="s">
        <v>4088</v>
      </c>
      <c r="H301" s="518"/>
      <c r="I301" s="263"/>
    </row>
    <row r="302" spans="3:9" x14ac:dyDescent="0.1">
      <c r="D302" s="405" t="s">
        <v>1460</v>
      </c>
      <c r="E302" s="572">
        <v>3</v>
      </c>
      <c r="F302" s="559"/>
      <c r="G302" s="439" t="s">
        <v>4006</v>
      </c>
      <c r="H302" s="518"/>
      <c r="I302" s="263"/>
    </row>
    <row r="303" spans="3:9" x14ac:dyDescent="0.1">
      <c r="D303" s="405" t="s">
        <v>1464</v>
      </c>
      <c r="E303" s="572">
        <v>5</v>
      </c>
      <c r="F303" s="559"/>
      <c r="G303" s="439" t="s">
        <v>4006</v>
      </c>
      <c r="H303" s="518"/>
      <c r="I303" s="263"/>
    </row>
    <row r="304" spans="3:9" x14ac:dyDescent="0.1">
      <c r="D304" s="405" t="s">
        <v>3435</v>
      </c>
      <c r="E304" s="572">
        <v>3</v>
      </c>
      <c r="F304" s="559"/>
      <c r="G304" s="439" t="s">
        <v>4006</v>
      </c>
      <c r="H304" s="518"/>
      <c r="I304" s="263"/>
    </row>
    <row r="305" spans="4:10" x14ac:dyDescent="0.1">
      <c r="D305" s="365" t="s">
        <v>4089</v>
      </c>
      <c r="E305" s="567"/>
      <c r="F305" s="559" t="s">
        <v>4090</v>
      </c>
      <c r="G305" s="263" t="s">
        <v>4091</v>
      </c>
      <c r="H305" s="518"/>
      <c r="I305" s="263" t="s">
        <v>4092</v>
      </c>
    </row>
    <row r="306" spans="4:10" x14ac:dyDescent="0.1">
      <c r="D306" s="365" t="s">
        <v>3437</v>
      </c>
      <c r="E306" s="567">
        <v>1</v>
      </c>
      <c r="F306" s="559" t="s">
        <v>4093</v>
      </c>
      <c r="G306" s="371" t="s">
        <v>4094</v>
      </c>
      <c r="H306" s="518"/>
      <c r="I306" s="263"/>
    </row>
    <row r="307" spans="4:10" x14ac:dyDescent="0.1">
      <c r="D307" s="563" t="s">
        <v>3463</v>
      </c>
      <c r="E307" s="567">
        <v>1</v>
      </c>
      <c r="F307" s="559" t="s">
        <v>4095</v>
      </c>
      <c r="G307" s="583" t="s">
        <v>4096</v>
      </c>
      <c r="H307" s="518"/>
      <c r="I307" s="263" t="s">
        <v>4097</v>
      </c>
      <c r="J307" s="523" t="s">
        <v>4098</v>
      </c>
    </row>
    <row r="308" spans="4:10" x14ac:dyDescent="0.1">
      <c r="D308" s="365" t="s">
        <v>3489</v>
      </c>
      <c r="E308" s="567"/>
      <c r="F308" s="559" t="s">
        <v>4099</v>
      </c>
      <c r="G308" s="431" t="s">
        <v>4100</v>
      </c>
      <c r="H308" s="518"/>
      <c r="I308" s="263"/>
    </row>
    <row r="309" spans="4:10" x14ac:dyDescent="0.1">
      <c r="D309" s="365" t="s">
        <v>3493</v>
      </c>
      <c r="E309" s="567">
        <v>2</v>
      </c>
      <c r="F309" s="559" t="s">
        <v>4101</v>
      </c>
      <c r="G309" s="263" t="s">
        <v>4102</v>
      </c>
      <c r="H309" s="518"/>
      <c r="I309" s="263"/>
      <c r="J309" s="249" t="s">
        <v>4103</v>
      </c>
    </row>
    <row r="310" spans="4:10" x14ac:dyDescent="0.1">
      <c r="D310" s="365" t="s">
        <v>3505</v>
      </c>
      <c r="E310" s="567"/>
      <c r="F310" s="559" t="s">
        <v>4104</v>
      </c>
      <c r="G310" s="263" t="s">
        <v>4105</v>
      </c>
      <c r="H310" s="518"/>
      <c r="I310" s="263"/>
    </row>
    <row r="311" spans="4:10" x14ac:dyDescent="0.1">
      <c r="D311" s="365" t="s">
        <v>3401</v>
      </c>
      <c r="E311" s="567">
        <v>1</v>
      </c>
      <c r="F311" s="559" t="s">
        <v>4106</v>
      </c>
      <c r="G311" s="263" t="s">
        <v>4107</v>
      </c>
      <c r="H311" s="518"/>
      <c r="I311" s="263"/>
    </row>
    <row r="312" spans="4:10" x14ac:dyDescent="0.1">
      <c r="D312" s="365" t="s">
        <v>3456</v>
      </c>
      <c r="E312" s="567"/>
      <c r="F312" s="559" t="s">
        <v>4104</v>
      </c>
      <c r="G312" s="368" t="s">
        <v>4108</v>
      </c>
      <c r="H312" s="518"/>
      <c r="I312" s="263"/>
    </row>
    <row r="313" spans="4:10" x14ac:dyDescent="0.1">
      <c r="D313" s="365" t="s">
        <v>3481</v>
      </c>
      <c r="E313" s="567">
        <v>1</v>
      </c>
      <c r="F313" s="559" t="s">
        <v>4109</v>
      </c>
      <c r="G313" s="263" t="s">
        <v>4110</v>
      </c>
      <c r="H313" s="518"/>
      <c r="I313" s="431"/>
    </row>
    <row r="314" spans="4:10" x14ac:dyDescent="0.1">
      <c r="D314" s="365" t="s">
        <v>3475</v>
      </c>
      <c r="E314" s="567">
        <v>1</v>
      </c>
      <c r="F314" s="559" t="s">
        <v>4111</v>
      </c>
      <c r="G314" s="263" t="s">
        <v>4112</v>
      </c>
      <c r="H314" s="518"/>
      <c r="I314" s="263"/>
    </row>
    <row r="315" spans="4:10" x14ac:dyDescent="0.1">
      <c r="D315" s="365" t="s">
        <v>3488</v>
      </c>
      <c r="E315" s="567">
        <v>2</v>
      </c>
      <c r="F315" s="559" t="s">
        <v>4113</v>
      </c>
      <c r="G315" s="393" t="s">
        <v>4114</v>
      </c>
      <c r="H315" s="518"/>
      <c r="I315" s="263"/>
    </row>
    <row r="316" spans="4:10" x14ac:dyDescent="0.1">
      <c r="D316" s="365" t="s">
        <v>3503</v>
      </c>
      <c r="E316" s="567">
        <v>2</v>
      </c>
      <c r="F316" s="559" t="s">
        <v>4115</v>
      </c>
      <c r="G316" s="368" t="s">
        <v>4116</v>
      </c>
      <c r="H316" s="518"/>
      <c r="I316" s="263"/>
    </row>
    <row r="317" spans="4:10" x14ac:dyDescent="0.1">
      <c r="D317" s="365" t="s">
        <v>3368</v>
      </c>
      <c r="E317" s="567"/>
      <c r="F317" s="559" t="s">
        <v>4117</v>
      </c>
      <c r="G317" s="263" t="s">
        <v>4118</v>
      </c>
      <c r="H317" s="518"/>
      <c r="I317" s="263"/>
    </row>
    <row r="318" spans="4:10" x14ac:dyDescent="0.1">
      <c r="D318" s="365" t="s">
        <v>3329</v>
      </c>
      <c r="E318" s="567">
        <v>2</v>
      </c>
      <c r="F318" s="559" t="s">
        <v>4087</v>
      </c>
      <c r="G318" s="263" t="s">
        <v>4119</v>
      </c>
      <c r="H318" s="518"/>
      <c r="I318" s="371"/>
    </row>
    <row r="319" spans="4:10" x14ac:dyDescent="0.1">
      <c r="D319" s="365" t="s">
        <v>3357</v>
      </c>
      <c r="E319" s="567">
        <v>1</v>
      </c>
      <c r="F319" s="559" t="s">
        <v>4120</v>
      </c>
      <c r="G319" s="263" t="s">
        <v>4121</v>
      </c>
      <c r="H319" s="518"/>
      <c r="I319" s="431"/>
    </row>
    <row r="320" spans="4:10" x14ac:dyDescent="0.1">
      <c r="D320" s="365" t="s">
        <v>3533</v>
      </c>
      <c r="E320" s="567">
        <v>1</v>
      </c>
      <c r="F320" s="559" t="s">
        <v>4122</v>
      </c>
      <c r="G320" s="368" t="s">
        <v>4123</v>
      </c>
      <c r="H320" s="518"/>
      <c r="I320" s="431"/>
    </row>
    <row r="321" spans="4:10" x14ac:dyDescent="0.1">
      <c r="D321" s="365" t="s">
        <v>3339</v>
      </c>
      <c r="E321" s="567">
        <v>1</v>
      </c>
      <c r="F321" s="559" t="s">
        <v>4124</v>
      </c>
      <c r="G321" s="263" t="s">
        <v>4125</v>
      </c>
      <c r="H321" s="518"/>
      <c r="I321" s="263"/>
    </row>
    <row r="322" spans="4:10" x14ac:dyDescent="0.1">
      <c r="D322" s="598" t="s">
        <v>3347</v>
      </c>
      <c r="E322" s="567">
        <v>1</v>
      </c>
      <c r="F322" s="559" t="s">
        <v>4126</v>
      </c>
      <c r="G322" s="602" t="s">
        <v>4127</v>
      </c>
      <c r="H322" s="518"/>
      <c r="I322" s="263"/>
    </row>
    <row r="323" spans="4:10" x14ac:dyDescent="0.1">
      <c r="D323" s="365" t="s">
        <v>3392</v>
      </c>
      <c r="E323" s="567">
        <v>1</v>
      </c>
      <c r="F323" s="559"/>
      <c r="G323" s="263"/>
      <c r="H323" s="518"/>
      <c r="I323" s="431"/>
    </row>
    <row r="324" spans="4:10" x14ac:dyDescent="0.1">
      <c r="D324" s="365" t="s">
        <v>3382</v>
      </c>
      <c r="E324" s="567">
        <v>2</v>
      </c>
      <c r="F324" s="559" t="s">
        <v>4128</v>
      </c>
      <c r="G324" s="263" t="s">
        <v>4129</v>
      </c>
      <c r="H324" s="518"/>
      <c r="I324" s="263"/>
      <c r="J324" s="523" t="s">
        <v>4130</v>
      </c>
    </row>
    <row r="325" spans="4:10" x14ac:dyDescent="0.1">
      <c r="D325" s="365" t="s">
        <v>3294</v>
      </c>
      <c r="E325" s="567">
        <v>2</v>
      </c>
      <c r="F325" s="559" t="s">
        <v>4131</v>
      </c>
      <c r="G325" s="263" t="s">
        <v>4132</v>
      </c>
      <c r="H325" s="518"/>
      <c r="I325" s="263"/>
    </row>
    <row r="326" spans="4:10" x14ac:dyDescent="0.1">
      <c r="D326" s="365" t="s">
        <v>3307</v>
      </c>
      <c r="E326" s="567">
        <v>1</v>
      </c>
      <c r="F326" s="559" t="s">
        <v>4087</v>
      </c>
      <c r="G326" s="263" t="s">
        <v>4133</v>
      </c>
      <c r="H326" s="518"/>
      <c r="I326" s="431"/>
    </row>
    <row r="327" spans="4:10" x14ac:dyDescent="0.1">
      <c r="D327" s="365" t="s">
        <v>3318</v>
      </c>
      <c r="E327" s="567">
        <v>1</v>
      </c>
      <c r="F327" s="559" t="s">
        <v>4134</v>
      </c>
      <c r="G327" s="263" t="s">
        <v>4135</v>
      </c>
      <c r="H327" s="518"/>
      <c r="I327" s="263"/>
      <c r="J327" s="523" t="s">
        <v>4136</v>
      </c>
    </row>
    <row r="328" spans="4:10" x14ac:dyDescent="0.1">
      <c r="D328" s="365" t="s">
        <v>3553</v>
      </c>
      <c r="E328" s="567"/>
      <c r="F328" s="559" t="s">
        <v>3396</v>
      </c>
      <c r="G328" s="519" t="s">
        <v>4137</v>
      </c>
      <c r="H328" s="554" t="s">
        <v>4138</v>
      </c>
      <c r="I328" s="393"/>
    </row>
    <row r="329" spans="4:10" x14ac:dyDescent="0.1">
      <c r="D329" s="365" t="s">
        <v>3554</v>
      </c>
      <c r="E329" s="567"/>
      <c r="F329" s="559"/>
      <c r="G329" s="519" t="s">
        <v>4139</v>
      </c>
      <c r="H329" s="548" t="s">
        <v>4140</v>
      </c>
      <c r="I329" s="263"/>
    </row>
    <row r="330" spans="4:10" x14ac:dyDescent="0.1">
      <c r="D330" s="365" t="s">
        <v>3556</v>
      </c>
      <c r="E330" s="567"/>
      <c r="F330" s="559"/>
      <c r="G330" s="519" t="s">
        <v>4141</v>
      </c>
      <c r="H330" s="548" t="s">
        <v>4140</v>
      </c>
      <c r="I330" s="263"/>
    </row>
    <row r="331" spans="4:10" x14ac:dyDescent="0.1">
      <c r="D331" s="365" t="s">
        <v>4142</v>
      </c>
      <c r="E331" s="567">
        <v>1</v>
      </c>
      <c r="F331" s="559"/>
      <c r="G331" s="519" t="s">
        <v>4143</v>
      </c>
      <c r="H331" s="249" t="s">
        <v>4144</v>
      </c>
    </row>
    <row r="332" spans="4:10" x14ac:dyDescent="0.1">
      <c r="D332" s="365" t="s">
        <v>3420</v>
      </c>
      <c r="E332" s="567">
        <v>2</v>
      </c>
      <c r="F332" s="559" t="s">
        <v>4145</v>
      </c>
      <c r="G332" s="263" t="s">
        <v>4146</v>
      </c>
    </row>
    <row r="333" spans="4:10" x14ac:dyDescent="0.1">
      <c r="D333" s="365" t="s">
        <v>3428</v>
      </c>
      <c r="E333" s="567">
        <v>2</v>
      </c>
      <c r="F333" s="559" t="s">
        <v>4147</v>
      </c>
      <c r="G333" s="263" t="s">
        <v>4148</v>
      </c>
    </row>
    <row r="334" spans="4:10" x14ac:dyDescent="0.1">
      <c r="D334" s="365" t="s">
        <v>3510</v>
      </c>
      <c r="E334" s="567"/>
      <c r="F334" s="559"/>
      <c r="G334" s="519" t="s">
        <v>4149</v>
      </c>
    </row>
    <row r="335" spans="4:10" x14ac:dyDescent="0.1">
      <c r="D335" s="365" t="s">
        <v>3410</v>
      </c>
      <c r="E335" s="567">
        <v>2</v>
      </c>
      <c r="F335" s="559" t="s">
        <v>4150</v>
      </c>
      <c r="G335" s="263" t="s">
        <v>4151</v>
      </c>
    </row>
    <row r="336" spans="4:10" x14ac:dyDescent="0.1">
      <c r="D336" s="405" t="s">
        <v>3560</v>
      </c>
      <c r="E336" s="572">
        <v>1</v>
      </c>
      <c r="F336" s="559"/>
      <c r="G336" s="439" t="s">
        <v>4006</v>
      </c>
    </row>
    <row r="337" spans="3:10" x14ac:dyDescent="0.1">
      <c r="D337" s="405" t="s">
        <v>3561</v>
      </c>
      <c r="E337" s="572">
        <v>2</v>
      </c>
      <c r="F337" s="559"/>
      <c r="G337" s="439" t="s">
        <v>4006</v>
      </c>
    </row>
    <row r="338" spans="3:10" x14ac:dyDescent="0.1">
      <c r="D338" s="405" t="s">
        <v>3565</v>
      </c>
      <c r="E338" s="572">
        <v>2</v>
      </c>
      <c r="F338" s="559"/>
      <c r="G338" s="439" t="s">
        <v>4006</v>
      </c>
    </row>
    <row r="339" spans="3:10" x14ac:dyDescent="0.1">
      <c r="D339" s="405" t="s">
        <v>3570</v>
      </c>
      <c r="E339" s="572">
        <v>2</v>
      </c>
      <c r="F339" s="559"/>
      <c r="G339" s="439" t="s">
        <v>4006</v>
      </c>
    </row>
    <row r="340" spans="3:10" x14ac:dyDescent="0.1">
      <c r="D340" s="405" t="s">
        <v>3574</v>
      </c>
      <c r="E340" s="572">
        <v>2</v>
      </c>
      <c r="F340" s="559"/>
      <c r="G340" s="439" t="s">
        <v>4006</v>
      </c>
    </row>
    <row r="341" spans="3:10" x14ac:dyDescent="0.1">
      <c r="D341" s="365" t="s">
        <v>1504</v>
      </c>
      <c r="E341" s="567">
        <v>2</v>
      </c>
      <c r="F341" s="559"/>
      <c r="G341" s="519" t="s">
        <v>4152</v>
      </c>
    </row>
    <row r="342" spans="3:10" x14ac:dyDescent="0.1">
      <c r="D342" s="365" t="s">
        <v>1506</v>
      </c>
      <c r="E342" s="567">
        <v>2</v>
      </c>
      <c r="F342" s="559"/>
      <c r="G342" s="519" t="s">
        <v>4152</v>
      </c>
    </row>
    <row r="343" spans="3:10" x14ac:dyDescent="0.1">
      <c r="D343" s="365" t="s">
        <v>3344</v>
      </c>
      <c r="E343" s="567">
        <v>2</v>
      </c>
      <c r="F343" s="559"/>
      <c r="G343" s="519" t="s">
        <v>4152</v>
      </c>
    </row>
    <row r="344" spans="3:10" x14ac:dyDescent="0.1">
      <c r="D344" s="365" t="s">
        <v>3291</v>
      </c>
      <c r="E344" s="567">
        <v>1</v>
      </c>
      <c r="F344" s="559"/>
      <c r="G344" s="519" t="s">
        <v>4152</v>
      </c>
    </row>
    <row r="345" spans="3:10" x14ac:dyDescent="0.1">
      <c r="D345" s="365" t="s">
        <v>3388</v>
      </c>
      <c r="E345" s="567"/>
      <c r="F345" s="559"/>
      <c r="G345" s="519" t="s">
        <v>4152</v>
      </c>
    </row>
    <row r="346" spans="3:10" x14ac:dyDescent="0.1">
      <c r="D346" s="405" t="s">
        <v>3567</v>
      </c>
      <c r="E346" s="572">
        <v>1</v>
      </c>
      <c r="F346" s="559"/>
      <c r="G346" s="439" t="s">
        <v>4006</v>
      </c>
    </row>
    <row r="347" spans="3:10" x14ac:dyDescent="0.1">
      <c r="D347" s="405" t="s">
        <v>3568</v>
      </c>
      <c r="E347" s="572">
        <v>2</v>
      </c>
      <c r="F347" s="559"/>
      <c r="G347" s="439" t="s">
        <v>4006</v>
      </c>
    </row>
    <row r="348" spans="3:10" x14ac:dyDescent="0.1">
      <c r="D348" s="405" t="s">
        <v>3569</v>
      </c>
      <c r="E348" s="572"/>
      <c r="F348" s="559"/>
      <c r="G348" s="439" t="s">
        <v>4006</v>
      </c>
    </row>
    <row r="349" spans="3:10" x14ac:dyDescent="0.1">
      <c r="C349" s="249" t="s">
        <v>3228</v>
      </c>
      <c r="D349" s="550" t="s">
        <v>3241</v>
      </c>
      <c r="E349" s="568">
        <v>1</v>
      </c>
      <c r="F349" s="559" t="s">
        <v>4153</v>
      </c>
      <c r="G349" s="509" t="s">
        <v>4154</v>
      </c>
      <c r="H349" s="249" t="s">
        <v>4155</v>
      </c>
      <c r="I349" s="249" t="s">
        <v>4156</v>
      </c>
    </row>
    <row r="350" spans="3:10" x14ac:dyDescent="0.1">
      <c r="C350" s="388">
        <v>13</v>
      </c>
      <c r="D350" s="550" t="s">
        <v>3259</v>
      </c>
      <c r="E350" s="568"/>
      <c r="H350" s="249" t="s">
        <v>4157</v>
      </c>
      <c r="I350" s="249" t="s">
        <v>4158</v>
      </c>
      <c r="J350" s="523" t="s">
        <v>4159</v>
      </c>
    </row>
    <row r="351" spans="3:10" x14ac:dyDescent="0.1">
      <c r="D351" s="549" t="s">
        <v>3317</v>
      </c>
      <c r="E351" s="579"/>
      <c r="F351" s="249" t="s">
        <v>4160</v>
      </c>
      <c r="G351" s="261" t="s">
        <v>4161</v>
      </c>
      <c r="H351" s="249" t="s">
        <v>4162</v>
      </c>
      <c r="J351" s="523" t="s">
        <v>4163</v>
      </c>
    </row>
    <row r="352" spans="3:10" x14ac:dyDescent="0.1">
      <c r="D352" s="549" t="s">
        <v>3336</v>
      </c>
      <c r="E352" s="579"/>
      <c r="I352" s="249" t="s">
        <v>4164</v>
      </c>
      <c r="J352" s="523" t="s">
        <v>4165</v>
      </c>
    </row>
    <row r="353" spans="3:10" x14ac:dyDescent="0.1">
      <c r="D353" s="549" t="s">
        <v>3345</v>
      </c>
      <c r="E353" s="579"/>
      <c r="F353" s="249" t="s">
        <v>4166</v>
      </c>
      <c r="G353" s="261" t="s">
        <v>4167</v>
      </c>
      <c r="H353" s="249" t="s">
        <v>4168</v>
      </c>
      <c r="I353" s="249" t="s">
        <v>4169</v>
      </c>
      <c r="J353" s="523" t="s">
        <v>4170</v>
      </c>
    </row>
    <row r="354" spans="3:10" x14ac:dyDescent="0.1">
      <c r="D354" s="549" t="s">
        <v>3371</v>
      </c>
      <c r="E354" s="579"/>
      <c r="F354" s="265" t="s">
        <v>4171</v>
      </c>
      <c r="G354" s="509" t="s">
        <v>4172</v>
      </c>
      <c r="I354" s="249" t="s">
        <v>4173</v>
      </c>
      <c r="J354" s="523"/>
    </row>
    <row r="355" spans="3:10" x14ac:dyDescent="0.1">
      <c r="D355" s="549" t="s">
        <v>3408</v>
      </c>
      <c r="E355" s="579"/>
      <c r="J355" s="523"/>
    </row>
    <row r="356" spans="3:10" x14ac:dyDescent="0.1">
      <c r="D356" s="549" t="s">
        <v>3271</v>
      </c>
      <c r="E356" s="579"/>
      <c r="F356" s="265" t="s">
        <v>4174</v>
      </c>
      <c r="G356" s="509" t="s">
        <v>4175</v>
      </c>
      <c r="I356" s="249" t="s">
        <v>4176</v>
      </c>
      <c r="J356" s="523"/>
    </row>
    <row r="357" spans="3:10" x14ac:dyDescent="0.1">
      <c r="D357" s="549" t="s">
        <v>3281</v>
      </c>
      <c r="E357" s="579"/>
      <c r="J357" s="523"/>
    </row>
    <row r="358" spans="3:10" x14ac:dyDescent="0.1">
      <c r="D358" s="549" t="s">
        <v>660</v>
      </c>
      <c r="E358" s="579"/>
      <c r="F358" s="265" t="s">
        <v>4177</v>
      </c>
      <c r="G358" s="509" t="s">
        <v>4178</v>
      </c>
      <c r="I358" s="249" t="s">
        <v>4179</v>
      </c>
      <c r="J358" s="523"/>
    </row>
    <row r="359" spans="3:10" x14ac:dyDescent="0.1">
      <c r="D359" s="549" t="s">
        <v>4180</v>
      </c>
      <c r="E359" s="579"/>
      <c r="F359" s="265" t="s">
        <v>4181</v>
      </c>
      <c r="G359" s="509" t="s">
        <v>4182</v>
      </c>
      <c r="I359" s="249" t="s">
        <v>4183</v>
      </c>
      <c r="J359" s="523"/>
    </row>
    <row r="360" spans="3:10" x14ac:dyDescent="0.1">
      <c r="D360" s="549" t="s">
        <v>3292</v>
      </c>
      <c r="E360" s="579"/>
      <c r="J360" s="523"/>
    </row>
    <row r="361" spans="3:10" x14ac:dyDescent="0.1">
      <c r="D361" s="549" t="s">
        <v>4184</v>
      </c>
      <c r="E361" s="579"/>
      <c r="F361" s="265"/>
      <c r="G361" s="509" t="s">
        <v>4185</v>
      </c>
      <c r="I361" s="249" t="s">
        <v>4186</v>
      </c>
      <c r="J361" s="523"/>
    </row>
    <row r="362" spans="3:10" x14ac:dyDescent="0.1">
      <c r="D362" s="549" t="s">
        <v>4187</v>
      </c>
      <c r="E362" s="579"/>
      <c r="J362" s="523"/>
    </row>
    <row r="363" spans="3:10" x14ac:dyDescent="0.1">
      <c r="D363" s="549" t="s">
        <v>3426</v>
      </c>
      <c r="E363" s="579"/>
      <c r="J363" s="523"/>
    </row>
    <row r="364" spans="3:10" x14ac:dyDescent="0.1">
      <c r="D364" s="549" t="s">
        <v>3366</v>
      </c>
      <c r="E364" s="579"/>
      <c r="F364" s="265" t="s">
        <v>4188</v>
      </c>
      <c r="G364" s="509" t="s">
        <v>4189</v>
      </c>
      <c r="I364" s="249" t="s">
        <v>4190</v>
      </c>
      <c r="J364" s="523"/>
    </row>
    <row r="365" spans="3:10" x14ac:dyDescent="0.1">
      <c r="C365" s="249" t="s">
        <v>3229</v>
      </c>
      <c r="D365" s="561" t="s">
        <v>1553</v>
      </c>
      <c r="E365" s="570">
        <v>3</v>
      </c>
      <c r="F365" s="559" t="s">
        <v>4191</v>
      </c>
      <c r="G365" s="556" t="s">
        <v>4192</v>
      </c>
      <c r="H365" s="249" t="s">
        <v>4193</v>
      </c>
      <c r="I365" s="249" t="s">
        <v>4194</v>
      </c>
      <c r="J365" s="523" t="s">
        <v>163</v>
      </c>
    </row>
    <row r="366" spans="3:10" x14ac:dyDescent="0.1">
      <c r="C366" s="388">
        <v>13</v>
      </c>
      <c r="D366" s="549" t="s">
        <v>3260</v>
      </c>
      <c r="E366" s="579"/>
      <c r="F366" s="559" t="s">
        <v>4195</v>
      </c>
      <c r="G366" s="261" t="s">
        <v>4196</v>
      </c>
      <c r="H366" s="249" t="s">
        <v>4197</v>
      </c>
      <c r="I366" s="249" t="s">
        <v>4198</v>
      </c>
      <c r="J366" s="523" t="s">
        <v>4199</v>
      </c>
    </row>
    <row r="367" spans="3:10" x14ac:dyDescent="0.1">
      <c r="D367" s="549" t="s">
        <v>3272</v>
      </c>
      <c r="E367" s="579">
        <v>2</v>
      </c>
      <c r="F367" s="559" t="s">
        <v>4200</v>
      </c>
      <c r="G367" s="261" t="s">
        <v>4201</v>
      </c>
      <c r="H367" s="249" t="s">
        <v>4202</v>
      </c>
      <c r="I367" s="249" t="s">
        <v>4203</v>
      </c>
    </row>
    <row r="368" spans="3:10" x14ac:dyDescent="0.1">
      <c r="D368" s="549" t="s">
        <v>3293</v>
      </c>
      <c r="E368" s="579">
        <v>1</v>
      </c>
      <c r="F368" s="559" t="s">
        <v>4204</v>
      </c>
      <c r="G368" s="261" t="s">
        <v>4205</v>
      </c>
      <c r="I368" s="249" t="s">
        <v>4206</v>
      </c>
    </row>
    <row r="369" spans="3:11" x14ac:dyDescent="0.1">
      <c r="D369" s="549" t="s">
        <v>4207</v>
      </c>
      <c r="E369" s="579"/>
      <c r="F369" s="559"/>
    </row>
    <row r="370" spans="3:11" x14ac:dyDescent="0.1">
      <c r="D370" s="549" t="s">
        <v>444</v>
      </c>
      <c r="E370" s="579">
        <v>1</v>
      </c>
      <c r="F370" s="559" t="s">
        <v>4208</v>
      </c>
      <c r="G370" s="261" t="s">
        <v>4209</v>
      </c>
      <c r="I370" s="249" t="s">
        <v>4210</v>
      </c>
    </row>
    <row r="371" spans="3:11" x14ac:dyDescent="0.1">
      <c r="D371" s="549" t="s">
        <v>441</v>
      </c>
      <c r="E371" s="579">
        <v>1</v>
      </c>
      <c r="F371" s="559" t="s">
        <v>4211</v>
      </c>
      <c r="G371" s="261" t="s">
        <v>4212</v>
      </c>
      <c r="I371" s="249" t="s">
        <v>4213</v>
      </c>
    </row>
    <row r="372" spans="3:11" x14ac:dyDescent="0.1">
      <c r="D372" s="549" t="s">
        <v>4214</v>
      </c>
      <c r="E372" s="579"/>
      <c r="F372" s="559" t="s">
        <v>4215</v>
      </c>
      <c r="G372" s="261" t="s">
        <v>4216</v>
      </c>
      <c r="H372" s="249" t="s">
        <v>4217</v>
      </c>
      <c r="I372" s="249" t="s">
        <v>4218</v>
      </c>
    </row>
    <row r="373" spans="3:11" x14ac:dyDescent="0.1">
      <c r="D373" s="549" t="s">
        <v>3367</v>
      </c>
      <c r="E373" s="579"/>
      <c r="F373" s="559" t="s">
        <v>4219</v>
      </c>
      <c r="G373" s="261" t="s">
        <v>4220</v>
      </c>
      <c r="H373" s="249" t="s">
        <v>4221</v>
      </c>
      <c r="I373" s="249" t="s">
        <v>4222</v>
      </c>
      <c r="J373" s="523" t="s">
        <v>4223</v>
      </c>
    </row>
    <row r="374" spans="3:11" x14ac:dyDescent="0.1">
      <c r="D374" s="549" t="s">
        <v>3380</v>
      </c>
      <c r="E374" s="579"/>
      <c r="F374" s="249" t="s">
        <v>4224</v>
      </c>
      <c r="G374" s="261" t="s">
        <v>4225</v>
      </c>
      <c r="H374" s="249" t="s">
        <v>4226</v>
      </c>
      <c r="I374" s="249" t="s">
        <v>4227</v>
      </c>
    </row>
    <row r="375" spans="3:11" x14ac:dyDescent="0.1">
      <c r="D375" s="549" t="s">
        <v>3390</v>
      </c>
      <c r="E375" s="579"/>
      <c r="F375" s="249" t="s">
        <v>4228</v>
      </c>
      <c r="G375" s="261" t="s">
        <v>4229</v>
      </c>
      <c r="H375" s="249" t="s">
        <v>4230</v>
      </c>
      <c r="I375" s="249" t="s">
        <v>4231</v>
      </c>
      <c r="J375" s="523"/>
    </row>
    <row r="376" spans="3:11" x14ac:dyDescent="0.1">
      <c r="D376" s="549" t="s">
        <v>3399</v>
      </c>
      <c r="E376" s="579"/>
      <c r="F376" s="249" t="s">
        <v>4232</v>
      </c>
      <c r="G376" s="261" t="s">
        <v>4233</v>
      </c>
      <c r="H376" s="249" t="s">
        <v>4234</v>
      </c>
      <c r="I376" s="249" t="s">
        <v>4235</v>
      </c>
    </row>
    <row r="377" spans="3:11" x14ac:dyDescent="0.1">
      <c r="D377" s="549" t="s">
        <v>3269</v>
      </c>
      <c r="E377" s="579"/>
      <c r="F377" s="249" t="s">
        <v>4236</v>
      </c>
      <c r="G377" s="261" t="s">
        <v>4237</v>
      </c>
      <c r="H377" s="249" t="s">
        <v>4238</v>
      </c>
      <c r="I377" s="249" t="s">
        <v>4239</v>
      </c>
      <c r="J377" s="523" t="s">
        <v>4240</v>
      </c>
      <c r="K377" s="249" t="s">
        <v>4241</v>
      </c>
    </row>
    <row r="378" spans="3:11" x14ac:dyDescent="0.1">
      <c r="C378" s="249" t="s">
        <v>3230</v>
      </c>
      <c r="D378" s="551" t="s">
        <v>3261</v>
      </c>
      <c r="E378" s="580"/>
      <c r="F378" s="559"/>
      <c r="G378" s="261" t="s">
        <v>4242</v>
      </c>
    </row>
    <row r="379" spans="3:11" x14ac:dyDescent="0.1">
      <c r="C379" s="388">
        <v>7</v>
      </c>
      <c r="D379" s="555" t="s">
        <v>422</v>
      </c>
      <c r="E379" s="581">
        <v>1</v>
      </c>
      <c r="F379" s="559" t="s">
        <v>4243</v>
      </c>
      <c r="G379" s="556" t="s">
        <v>4244</v>
      </c>
    </row>
    <row r="380" spans="3:11" x14ac:dyDescent="0.1">
      <c r="D380" s="549" t="s">
        <v>3391</v>
      </c>
      <c r="E380" s="579"/>
      <c r="F380" s="559"/>
      <c r="G380" s="261" t="s">
        <v>4242</v>
      </c>
    </row>
    <row r="381" spans="3:11" x14ac:dyDescent="0.1">
      <c r="D381" s="561" t="s">
        <v>3432</v>
      </c>
      <c r="E381" s="579"/>
      <c r="F381" s="559" t="s">
        <v>4245</v>
      </c>
      <c r="G381" s="564" t="s">
        <v>4246</v>
      </c>
    </row>
    <row r="382" spans="3:11" x14ac:dyDescent="0.1">
      <c r="D382" s="549" t="s">
        <v>1152</v>
      </c>
      <c r="E382" s="579">
        <v>1</v>
      </c>
      <c r="F382" s="559"/>
      <c r="G382" s="439" t="s">
        <v>4247</v>
      </c>
    </row>
    <row r="383" spans="3:11" x14ac:dyDescent="0.1">
      <c r="D383" s="549" t="s">
        <v>1121</v>
      </c>
      <c r="E383" s="579"/>
      <c r="F383" s="559"/>
      <c r="G383" s="439" t="s">
        <v>4242</v>
      </c>
    </row>
    <row r="384" spans="3:11" x14ac:dyDescent="0.1">
      <c r="D384" s="549" t="s">
        <v>1113</v>
      </c>
      <c r="E384" s="579">
        <v>2</v>
      </c>
      <c r="F384" s="559"/>
      <c r="G384" s="439" t="s">
        <v>4248</v>
      </c>
      <c r="I384" s="249" t="s">
        <v>4249</v>
      </c>
    </row>
    <row r="385" spans="3:9" x14ac:dyDescent="0.1">
      <c r="D385" s="549" t="s">
        <v>66</v>
      </c>
      <c r="E385" s="579"/>
      <c r="F385" s="559"/>
      <c r="G385" s="439" t="s">
        <v>4247</v>
      </c>
    </row>
    <row r="386" spans="3:9" x14ac:dyDescent="0.1">
      <c r="C386" s="249" t="s">
        <v>3231</v>
      </c>
      <c r="D386" s="549" t="s">
        <v>1540</v>
      </c>
      <c r="E386" s="579">
        <v>1</v>
      </c>
      <c r="F386" s="559"/>
      <c r="I386" s="249" t="s">
        <v>4250</v>
      </c>
    </row>
    <row r="387" spans="3:9" x14ac:dyDescent="0.1">
      <c r="C387" s="388">
        <v>7</v>
      </c>
      <c r="D387" s="549" t="s">
        <v>1542</v>
      </c>
      <c r="E387" s="579"/>
      <c r="G387" s="261" t="s">
        <v>4251</v>
      </c>
      <c r="I387" s="249" t="s">
        <v>4252</v>
      </c>
    </row>
    <row r="388" spans="3:9" x14ac:dyDescent="0.1">
      <c r="D388" s="549" t="s">
        <v>3273</v>
      </c>
      <c r="E388" s="579"/>
      <c r="I388" s="249" t="s">
        <v>4253</v>
      </c>
    </row>
    <row r="389" spans="3:9" x14ac:dyDescent="0.1">
      <c r="D389" s="549" t="s">
        <v>4254</v>
      </c>
      <c r="E389" s="579">
        <v>1</v>
      </c>
      <c r="F389" s="559"/>
      <c r="G389" s="523" t="s">
        <v>4255</v>
      </c>
      <c r="I389" s="249" t="s">
        <v>4256</v>
      </c>
    </row>
    <row r="390" spans="3:9" x14ac:dyDescent="0.1">
      <c r="D390" s="549" t="s">
        <v>3283</v>
      </c>
      <c r="E390" s="579"/>
      <c r="F390" s="559"/>
      <c r="G390" s="439" t="s">
        <v>4257</v>
      </c>
      <c r="I390" s="249" t="s">
        <v>4258</v>
      </c>
    </row>
    <row r="391" spans="3:9" x14ac:dyDescent="0.1">
      <c r="D391" s="549" t="s">
        <v>4259</v>
      </c>
      <c r="E391" s="579"/>
      <c r="I391" s="249" t="s">
        <v>4260</v>
      </c>
    </row>
    <row r="392" spans="3:9" x14ac:dyDescent="0.1">
      <c r="D392" s="549" t="s">
        <v>4261</v>
      </c>
      <c r="E392" s="579">
        <v>1</v>
      </c>
      <c r="F392" s="559"/>
      <c r="G392" s="439" t="s">
        <v>4262</v>
      </c>
      <c r="I392" s="249" t="s">
        <v>4263</v>
      </c>
    </row>
    <row r="393" spans="3:9" x14ac:dyDescent="0.1">
      <c r="D393" s="549" t="s">
        <v>687</v>
      </c>
      <c r="E393" s="579">
        <v>1</v>
      </c>
      <c r="F393" s="559"/>
      <c r="I393" s="249" t="s">
        <v>4264</v>
      </c>
    </row>
    <row r="394" spans="3:9" x14ac:dyDescent="0.1">
      <c r="D394" s="403" t="s">
        <v>1548</v>
      </c>
      <c r="E394" s="566">
        <v>2</v>
      </c>
      <c r="F394" s="559" t="s">
        <v>4265</v>
      </c>
      <c r="G394" s="509" t="s">
        <v>4266</v>
      </c>
      <c r="I394" s="249" t="s">
        <v>4267</v>
      </c>
    </row>
    <row r="395" spans="3:9" x14ac:dyDescent="0.1">
      <c r="C395" s="249" t="s">
        <v>3232</v>
      </c>
      <c r="D395" s="549" t="s">
        <v>1550</v>
      </c>
      <c r="E395" s="579"/>
      <c r="F395" s="559"/>
      <c r="G395" s="523" t="s">
        <v>4268</v>
      </c>
      <c r="I395" s="249" t="s">
        <v>4269</v>
      </c>
    </row>
    <row r="396" spans="3:9" x14ac:dyDescent="0.1">
      <c r="C396" s="388">
        <v>3</v>
      </c>
      <c r="D396" s="549" t="s">
        <v>1546</v>
      </c>
      <c r="E396" s="579" t="s">
        <v>3396</v>
      </c>
      <c r="I396" s="249" t="s">
        <v>4270</v>
      </c>
    </row>
    <row r="397" spans="3:9" x14ac:dyDescent="0.1">
      <c r="D397" s="549" t="s">
        <v>3284</v>
      </c>
      <c r="E397" s="579">
        <v>1</v>
      </c>
      <c r="F397" s="559"/>
      <c r="G397" s="439" t="s">
        <v>4271</v>
      </c>
      <c r="I397" s="249" t="s">
        <v>4272</v>
      </c>
    </row>
    <row r="398" spans="3:9" x14ac:dyDescent="0.1">
      <c r="C398" s="249" t="s">
        <v>855</v>
      </c>
      <c r="D398" s="403" t="s">
        <v>507</v>
      </c>
      <c r="E398" s="566">
        <v>1</v>
      </c>
      <c r="G398" s="439" t="s">
        <v>4069</v>
      </c>
    </row>
    <row r="399" spans="3:9" x14ac:dyDescent="0.1">
      <c r="C399" s="388">
        <v>6</v>
      </c>
      <c r="D399" s="549" t="s">
        <v>3348</v>
      </c>
      <c r="E399" s="579">
        <v>1</v>
      </c>
      <c r="F399" s="559"/>
      <c r="G399" s="439" t="s">
        <v>4247</v>
      </c>
      <c r="I399" s="249" t="s">
        <v>4083</v>
      </c>
    </row>
    <row r="400" spans="3:9" x14ac:dyDescent="0.1">
      <c r="C400" s="388" t="s">
        <v>3396</v>
      </c>
      <c r="D400" s="549" t="s">
        <v>1177</v>
      </c>
      <c r="E400" s="579">
        <v>1</v>
      </c>
      <c r="F400" s="559"/>
      <c r="G400" s="439" t="s">
        <v>4247</v>
      </c>
      <c r="I400" s="249" t="s">
        <v>4273</v>
      </c>
    </row>
    <row r="401" spans="3:9" x14ac:dyDescent="0.1">
      <c r="D401" s="561" t="s">
        <v>2674</v>
      </c>
      <c r="E401" s="579">
        <v>2</v>
      </c>
      <c r="F401" s="559" t="s">
        <v>4274</v>
      </c>
      <c r="G401" s="556" t="s">
        <v>4275</v>
      </c>
      <c r="I401" s="249" t="s">
        <v>4276</v>
      </c>
    </row>
    <row r="402" spans="3:9" x14ac:dyDescent="0.1">
      <c r="D402" s="561" t="s">
        <v>1266</v>
      </c>
      <c r="E402" s="579">
        <v>2</v>
      </c>
      <c r="F402" s="559" t="s">
        <v>4277</v>
      </c>
      <c r="G402" s="556" t="s">
        <v>4278</v>
      </c>
      <c r="I402" s="249" t="s">
        <v>4279</v>
      </c>
    </row>
    <row r="403" spans="3:9" x14ac:dyDescent="0.1">
      <c r="D403" s="561" t="s">
        <v>2889</v>
      </c>
      <c r="E403" s="579">
        <v>2</v>
      </c>
      <c r="F403" s="559" t="s">
        <v>4280</v>
      </c>
      <c r="G403" s="556" t="s">
        <v>4281</v>
      </c>
      <c r="I403" s="249" t="s">
        <v>4282</v>
      </c>
    </row>
    <row r="404" spans="3:9" x14ac:dyDescent="0.1">
      <c r="D404" s="403" t="s">
        <v>4283</v>
      </c>
      <c r="E404" s="566"/>
      <c r="F404" s="559"/>
      <c r="G404" s="439" t="s">
        <v>4006</v>
      </c>
    </row>
    <row r="405" spans="3:9" x14ac:dyDescent="0.1">
      <c r="C405" s="249" t="s">
        <v>3234</v>
      </c>
      <c r="D405" s="403" t="s">
        <v>877</v>
      </c>
      <c r="E405" s="566"/>
      <c r="F405" s="559"/>
      <c r="G405" s="439" t="s">
        <v>4046</v>
      </c>
    </row>
    <row r="406" spans="3:9" x14ac:dyDescent="0.1">
      <c r="C406" s="388">
        <v>9</v>
      </c>
      <c r="D406" s="403" t="s">
        <v>3298</v>
      </c>
      <c r="E406" s="566"/>
      <c r="F406" s="559"/>
      <c r="G406" s="439" t="s">
        <v>4046</v>
      </c>
    </row>
    <row r="407" spans="3:9" x14ac:dyDescent="0.1">
      <c r="D407" s="403" t="s">
        <v>3251</v>
      </c>
      <c r="E407" s="566"/>
      <c r="F407" s="559"/>
      <c r="G407" s="439" t="s">
        <v>4046</v>
      </c>
    </row>
    <row r="408" spans="3:9" x14ac:dyDescent="0.1">
      <c r="D408" s="403" t="s">
        <v>3263</v>
      </c>
      <c r="E408" s="566">
        <v>1</v>
      </c>
      <c r="F408" s="559"/>
      <c r="G408" s="439" t="s">
        <v>4046</v>
      </c>
    </row>
    <row r="409" spans="3:9" x14ac:dyDescent="0.1">
      <c r="D409" s="403" t="s">
        <v>3274</v>
      </c>
      <c r="E409" s="566">
        <v>1</v>
      </c>
      <c r="F409" s="559"/>
      <c r="G409" s="439" t="s">
        <v>4046</v>
      </c>
    </row>
    <row r="410" spans="3:9" x14ac:dyDescent="0.1">
      <c r="D410" s="403" t="s">
        <v>3285</v>
      </c>
      <c r="E410" s="566">
        <v>1</v>
      </c>
      <c r="F410" s="559"/>
      <c r="G410" s="439" t="s">
        <v>4046</v>
      </c>
    </row>
    <row r="411" spans="3:9" x14ac:dyDescent="0.1">
      <c r="D411" s="403" t="s">
        <v>3299</v>
      </c>
      <c r="E411" s="566">
        <v>1</v>
      </c>
      <c r="F411" s="559"/>
      <c r="G411" s="439" t="s">
        <v>4046</v>
      </c>
    </row>
    <row r="412" spans="3:9" x14ac:dyDescent="0.1">
      <c r="D412" s="403" t="s">
        <v>3309</v>
      </c>
      <c r="E412" s="566">
        <v>1</v>
      </c>
      <c r="F412" s="559"/>
      <c r="G412" s="439" t="s">
        <v>4046</v>
      </c>
    </row>
    <row r="413" spans="3:9" x14ac:dyDescent="0.1">
      <c r="D413" s="403" t="s">
        <v>3319</v>
      </c>
      <c r="E413" s="566">
        <v>1</v>
      </c>
      <c r="F413" s="559"/>
      <c r="G413" s="439" t="s">
        <v>4046</v>
      </c>
    </row>
    <row r="414" spans="3:9" x14ac:dyDescent="0.1">
      <c r="C414" s="249" t="s">
        <v>3587</v>
      </c>
      <c r="D414" s="402">
        <f>C406+C399+C396+C387+C379+C366+C350+C298+C292+C282+C279+C255+C245+C234+C219+C158+C125+C94+C57+C30+C5</f>
        <v>396</v>
      </c>
      <c r="E414" s="575">
        <f>E4</f>
        <v>300</v>
      </c>
    </row>
    <row r="416" spans="3:9" x14ac:dyDescent="0.1">
      <c r="C416" s="249" t="s">
        <v>4284</v>
      </c>
      <c r="D416" s="402">
        <v>30</v>
      </c>
    </row>
  </sheetData>
  <phoneticPr fontId="1" type="noConversion"/>
  <hyperlinks>
    <hyperlink ref="J40" r:id="rId1" xr:uid="{00000000-0004-0000-0400-000000000000}"/>
    <hyperlink ref="J41" r:id="rId2" xr:uid="{00000000-0004-0000-0400-000001000000}"/>
    <hyperlink ref="J31" r:id="rId3" xr:uid="{00000000-0004-0000-0400-000002000000}"/>
    <hyperlink ref="J45" r:id="rId4" xr:uid="{00000000-0004-0000-0400-000003000000}"/>
    <hyperlink ref="J49" r:id="rId5" xr:uid="{00000000-0004-0000-0400-000004000000}"/>
    <hyperlink ref="J50" r:id="rId6" xr:uid="{00000000-0004-0000-0400-000005000000}"/>
    <hyperlink ref="J33" r:id="rId7" xr:uid="{00000000-0004-0000-0400-000006000000}"/>
    <hyperlink ref="J54" r:id="rId8" xr:uid="{00000000-0004-0000-0400-000007000000}"/>
    <hyperlink ref="J55" r:id="rId9" xr:uid="{00000000-0004-0000-0400-000008000000}"/>
    <hyperlink ref="J53" r:id="rId10" xr:uid="{00000000-0004-0000-0400-000009000000}"/>
    <hyperlink ref="J32" r:id="rId11" xr:uid="{00000000-0004-0000-0400-00000A000000}"/>
    <hyperlink ref="J34" r:id="rId12" display="mailto:stevenpark@lgchem.com" xr:uid="{00000000-0004-0000-0400-00000B000000}"/>
    <hyperlink ref="J38" r:id="rId13" xr:uid="{00000000-0004-0000-0400-00000C000000}"/>
    <hyperlink ref="J44" r:id="rId14" xr:uid="{00000000-0004-0000-0400-00000D000000}"/>
    <hyperlink ref="J47" r:id="rId15" xr:uid="{00000000-0004-0000-0400-00000E000000}"/>
    <hyperlink ref="J51" r:id="rId16" xr:uid="{00000000-0004-0000-0400-00000F000000}"/>
    <hyperlink ref="J46" r:id="rId17" xr:uid="{00000000-0004-0000-0400-000010000000}"/>
    <hyperlink ref="J43" r:id="rId18" xr:uid="{00000000-0004-0000-0400-000011000000}"/>
    <hyperlink ref="J350" r:id="rId19" xr:uid="{00000000-0004-0000-0400-000012000000}"/>
    <hyperlink ref="J351" r:id="rId20" xr:uid="{00000000-0004-0000-0400-000013000000}"/>
    <hyperlink ref="J352" r:id="rId21" xr:uid="{00000000-0004-0000-0400-000014000000}"/>
    <hyperlink ref="J353" r:id="rId22" xr:uid="{00000000-0004-0000-0400-000015000000}"/>
    <hyperlink ref="J365" r:id="rId23" xr:uid="{00000000-0004-0000-0400-000016000000}"/>
    <hyperlink ref="J366" r:id="rId24" xr:uid="{00000000-0004-0000-0400-000017000000}"/>
    <hyperlink ref="J373" r:id="rId25" xr:uid="{00000000-0004-0000-0400-000018000000}"/>
    <hyperlink ref="J377" r:id="rId26" xr:uid="{00000000-0004-0000-0400-000019000000}"/>
    <hyperlink ref="J249" r:id="rId27" xr:uid="{00000000-0004-0000-0400-00001A000000}"/>
    <hyperlink ref="J327" r:id="rId28" xr:uid="{00000000-0004-0000-0400-00001B000000}"/>
    <hyperlink ref="J307" r:id="rId29" xr:uid="{00000000-0004-0000-0400-00001C000000}"/>
    <hyperlink ref="J324" r:id="rId30" xr:uid="{00000000-0004-0000-0400-00001D000000}"/>
    <hyperlink ref="G389" r:id="rId31" xr:uid="{00000000-0004-0000-0400-00001E000000}"/>
    <hyperlink ref="G395" r:id="rId32" xr:uid="{00000000-0004-0000-0400-00001F000000}"/>
  </hyperlinks>
  <pageMargins left="0.7" right="0.7" top="0.75" bottom="0.75" header="0.3" footer="0.3"/>
  <pageSetup paperSize="9" orientation="portrait" verticalDpi="0" r:id="rId3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2"/>
  <sheetViews>
    <sheetView tabSelected="1" workbookViewId="0">
      <pane xSplit="2" ySplit="1" topLeftCell="F27" activePane="bottomRight" state="frozen"/>
      <selection pane="bottomLeft" activeCell="A2" sqref="A2"/>
      <selection pane="topRight" activeCell="C1" sqref="C1"/>
      <selection pane="bottomRight" activeCell="B33" sqref="B33"/>
    </sheetView>
  </sheetViews>
  <sheetFormatPr defaultColWidth="9.00390625" defaultRowHeight="12.75" x14ac:dyDescent="0.1"/>
  <cols>
    <col min="1" max="1" width="1.05078125" style="97" customWidth="1"/>
    <col min="2" max="2" width="23.03515625" style="97" customWidth="1"/>
    <col min="3" max="3" width="14.96875" style="97" customWidth="1"/>
    <col min="4" max="4" width="16.01953125" style="97" customWidth="1"/>
    <col min="5" max="8" width="9.00390625" style="97" customWidth="1"/>
    <col min="9" max="9" width="16.01953125" style="97" customWidth="1"/>
    <col min="10" max="10" width="19.99609375" style="97" customWidth="1"/>
    <col min="11" max="11" width="9.00390625" style="97" customWidth="1"/>
    <col min="12" max="12" width="10.0546875" style="97" customWidth="1"/>
    <col min="13" max="13" width="9.8203125" style="97" customWidth="1"/>
    <col min="14" max="16384" width="9.00390625" style="97"/>
  </cols>
  <sheetData>
    <row r="1" spans="1:10" x14ac:dyDescent="0.15">
      <c r="A1" s="1">
        <v>10</v>
      </c>
      <c r="B1" s="664" t="s">
        <v>1622</v>
      </c>
      <c r="C1" s="4" t="s">
        <v>4325</v>
      </c>
      <c r="D1" s="4" t="s">
        <v>3223</v>
      </c>
      <c r="E1" s="665" t="s">
        <v>4297</v>
      </c>
      <c r="F1" s="759">
        <v>20</v>
      </c>
      <c r="G1" s="759">
        <v>1</v>
      </c>
      <c r="H1" s="4" t="s">
        <v>4304</v>
      </c>
      <c r="I1" s="759"/>
      <c r="J1" s="759"/>
    </row>
    <row r="2" spans="1:10" x14ac:dyDescent="0.15">
      <c r="A2" s="1">
        <v>12</v>
      </c>
      <c r="B2" s="664" t="s">
        <v>1628</v>
      </c>
      <c r="C2" s="4" t="s">
        <v>4325</v>
      </c>
      <c r="D2" s="4" t="s">
        <v>3223</v>
      </c>
      <c r="E2" s="665" t="s">
        <v>4297</v>
      </c>
      <c r="F2" s="1">
        <v>10</v>
      </c>
      <c r="G2" s="1">
        <v>0</v>
      </c>
      <c r="H2" s="4" t="s">
        <v>4298</v>
      </c>
      <c r="I2" s="1"/>
      <c r="J2" s="1"/>
    </row>
    <row r="3" spans="1:10" x14ac:dyDescent="0.15">
      <c r="A3" s="1">
        <v>15</v>
      </c>
      <c r="B3" s="664" t="s">
        <v>467</v>
      </c>
      <c r="C3" s="4" t="s">
        <v>4325</v>
      </c>
      <c r="D3" s="4" t="s">
        <v>3223</v>
      </c>
      <c r="E3" s="665" t="s">
        <v>4297</v>
      </c>
      <c r="F3" s="1">
        <v>52</v>
      </c>
      <c r="G3" s="1">
        <v>0</v>
      </c>
      <c r="H3" s="4" t="s">
        <v>4298</v>
      </c>
      <c r="I3" s="1" t="s">
        <v>4336</v>
      </c>
      <c r="J3" s="1"/>
    </row>
    <row r="4" spans="1:10" x14ac:dyDescent="0.15">
      <c r="A4" s="1">
        <v>33</v>
      </c>
      <c r="B4" s="664" t="s">
        <v>1613</v>
      </c>
      <c r="C4" s="4" t="s">
        <v>4325</v>
      </c>
      <c r="D4" s="4" t="s">
        <v>3223</v>
      </c>
      <c r="E4" s="665" t="s">
        <v>4297</v>
      </c>
      <c r="F4" s="1">
        <v>10</v>
      </c>
      <c r="G4" s="1">
        <v>0</v>
      </c>
      <c r="H4" s="4" t="s">
        <v>4298</v>
      </c>
      <c r="I4" s="759"/>
      <c r="J4" s="1"/>
    </row>
    <row r="5" spans="1:10" x14ac:dyDescent="0.15">
      <c r="A5" s="1">
        <v>34</v>
      </c>
      <c r="B5" s="664" t="s">
        <v>1650</v>
      </c>
      <c r="C5" s="4" t="s">
        <v>4325</v>
      </c>
      <c r="D5" s="4" t="s">
        <v>3223</v>
      </c>
      <c r="E5" s="665" t="s">
        <v>4297</v>
      </c>
      <c r="F5" s="1">
        <v>5</v>
      </c>
      <c r="G5" s="1">
        <v>0</v>
      </c>
      <c r="H5" s="4" t="s">
        <v>4298</v>
      </c>
      <c r="I5" s="1"/>
      <c r="J5" s="759"/>
    </row>
    <row r="6" spans="1:10" x14ac:dyDescent="0.15">
      <c r="A6" s="1">
        <v>35</v>
      </c>
      <c r="B6" s="664" t="s">
        <v>455</v>
      </c>
      <c r="C6" s="4" t="s">
        <v>4325</v>
      </c>
      <c r="D6" s="4" t="s">
        <v>3223</v>
      </c>
      <c r="E6" s="665" t="s">
        <v>4297</v>
      </c>
      <c r="F6" s="1">
        <v>5</v>
      </c>
      <c r="G6" s="1">
        <v>0</v>
      </c>
      <c r="H6" s="4" t="s">
        <v>4298</v>
      </c>
      <c r="I6" s="1"/>
      <c r="J6" s="1"/>
    </row>
    <row r="7" spans="1:10" x14ac:dyDescent="0.15">
      <c r="A7" s="1">
        <v>36</v>
      </c>
      <c r="B7" s="664" t="s">
        <v>4325</v>
      </c>
      <c r="C7" s="4" t="s">
        <v>4325</v>
      </c>
      <c r="D7" s="4" t="s">
        <v>3223</v>
      </c>
      <c r="E7" s="665" t="s">
        <v>4297</v>
      </c>
      <c r="F7" s="1">
        <v>30</v>
      </c>
      <c r="G7" s="1">
        <v>0</v>
      </c>
      <c r="H7" s="4" t="s">
        <v>4298</v>
      </c>
      <c r="I7" s="1"/>
      <c r="J7" s="1"/>
    </row>
    <row r="8" spans="1:10" x14ac:dyDescent="0.15">
      <c r="A8" s="1">
        <v>78</v>
      </c>
      <c r="B8" s="664" t="s">
        <v>45</v>
      </c>
      <c r="C8" s="759" t="s">
        <v>4403</v>
      </c>
      <c r="D8" s="4" t="s">
        <v>4303</v>
      </c>
      <c r="E8" s="665" t="s">
        <v>4297</v>
      </c>
      <c r="F8" s="1">
        <v>10</v>
      </c>
      <c r="G8" s="1">
        <v>2</v>
      </c>
      <c r="H8" s="4" t="s">
        <v>4404</v>
      </c>
      <c r="I8" s="759"/>
      <c r="J8" s="1"/>
    </row>
    <row r="9" spans="1:10" x14ac:dyDescent="0.15">
      <c r="A9" s="1">
        <v>93</v>
      </c>
      <c r="B9" s="664" t="s">
        <v>4422</v>
      </c>
      <c r="C9" s="4" t="s">
        <v>4403</v>
      </c>
      <c r="D9" s="4" t="s">
        <v>4303</v>
      </c>
      <c r="E9" s="665" t="s">
        <v>4297</v>
      </c>
      <c r="F9" s="1">
        <v>20</v>
      </c>
      <c r="G9" s="1">
        <v>2</v>
      </c>
      <c r="H9" s="4" t="s">
        <v>4334</v>
      </c>
      <c r="I9" s="759"/>
      <c r="J9" s="1"/>
    </row>
    <row r="10" spans="1:10" x14ac:dyDescent="0.15">
      <c r="A10" s="1">
        <v>100</v>
      </c>
      <c r="B10" s="664" t="s">
        <v>2677</v>
      </c>
      <c r="C10" s="4" t="s">
        <v>4403</v>
      </c>
      <c r="D10" s="4" t="s">
        <v>4303</v>
      </c>
      <c r="E10" s="665" t="s">
        <v>4297</v>
      </c>
      <c r="F10" s="1">
        <v>20</v>
      </c>
      <c r="G10" s="1">
        <v>0</v>
      </c>
      <c r="H10" s="4" t="s">
        <v>4334</v>
      </c>
      <c r="I10" s="4" t="s">
        <v>4083</v>
      </c>
      <c r="J10" s="1"/>
    </row>
    <row r="11" spans="1:10" x14ac:dyDescent="0.15">
      <c r="A11" s="1">
        <v>126</v>
      </c>
      <c r="B11" s="664" t="s">
        <v>2532</v>
      </c>
      <c r="C11" s="4" t="s">
        <v>4403</v>
      </c>
      <c r="D11" s="4" t="s">
        <v>4303</v>
      </c>
      <c r="E11" s="665" t="s">
        <v>4297</v>
      </c>
      <c r="F11" s="1">
        <v>10</v>
      </c>
      <c r="G11" s="1">
        <v>1</v>
      </c>
      <c r="H11" s="4" t="s">
        <v>4304</v>
      </c>
      <c r="I11" s="1"/>
      <c r="J11" s="1"/>
    </row>
    <row r="12" spans="1:10" x14ac:dyDescent="0.15">
      <c r="A12" s="1">
        <v>191</v>
      </c>
      <c r="B12" s="664" t="s">
        <v>2718</v>
      </c>
      <c r="C12" s="759" t="s">
        <v>4403</v>
      </c>
      <c r="D12" s="4" t="s">
        <v>4303</v>
      </c>
      <c r="E12" s="665" t="s">
        <v>4297</v>
      </c>
      <c r="F12" s="1">
        <v>10</v>
      </c>
      <c r="G12" s="1">
        <v>0</v>
      </c>
      <c r="H12" s="4" t="s">
        <v>4298</v>
      </c>
      <c r="I12" s="1"/>
      <c r="J12" s="1"/>
    </row>
    <row r="13" spans="1:10" x14ac:dyDescent="0.15">
      <c r="A13" s="1">
        <v>192</v>
      </c>
      <c r="B13" s="664" t="s">
        <v>2127</v>
      </c>
      <c r="C13" s="759" t="s">
        <v>4403</v>
      </c>
      <c r="D13" s="4" t="s">
        <v>4303</v>
      </c>
      <c r="E13" s="665" t="s">
        <v>4297</v>
      </c>
      <c r="F13" s="1">
        <v>10</v>
      </c>
      <c r="G13" s="1">
        <v>2</v>
      </c>
      <c r="H13" s="4" t="s">
        <v>4334</v>
      </c>
      <c r="I13" s="1"/>
      <c r="J13" s="759"/>
    </row>
    <row r="14" spans="1:10" x14ac:dyDescent="0.15">
      <c r="A14" s="1">
        <v>215</v>
      </c>
      <c r="B14" s="664" t="s">
        <v>2623</v>
      </c>
      <c r="C14" s="759" t="s">
        <v>4403</v>
      </c>
      <c r="D14" s="4" t="s">
        <v>4303</v>
      </c>
      <c r="E14" s="665" t="s">
        <v>4297</v>
      </c>
      <c r="F14" s="1">
        <v>20</v>
      </c>
      <c r="G14" s="1">
        <v>1</v>
      </c>
      <c r="H14" s="4" t="s">
        <v>4348</v>
      </c>
      <c r="I14" s="1"/>
      <c r="J14" s="759"/>
    </row>
    <row r="15" spans="1:10" x14ac:dyDescent="0.15">
      <c r="A15" s="1">
        <v>20</v>
      </c>
      <c r="B15" s="664" t="s">
        <v>1742</v>
      </c>
      <c r="C15" s="4" t="s">
        <v>4342</v>
      </c>
      <c r="D15" s="4" t="s">
        <v>3223</v>
      </c>
      <c r="E15" s="665" t="s">
        <v>4297</v>
      </c>
      <c r="F15" s="1">
        <v>20</v>
      </c>
      <c r="G15" s="1">
        <v>2</v>
      </c>
      <c r="H15" s="4" t="s">
        <v>4334</v>
      </c>
      <c r="I15" s="1"/>
      <c r="J15" s="1"/>
    </row>
    <row r="16" spans="1:10" x14ac:dyDescent="0.15">
      <c r="A16" s="1">
        <v>42</v>
      </c>
      <c r="B16" s="664" t="s">
        <v>3486</v>
      </c>
      <c r="C16" s="4" t="s">
        <v>4342</v>
      </c>
      <c r="D16" s="4" t="s">
        <v>3223</v>
      </c>
      <c r="E16" s="665" t="s">
        <v>4297</v>
      </c>
      <c r="F16" s="1">
        <v>10</v>
      </c>
      <c r="G16" s="1">
        <v>0</v>
      </c>
      <c r="H16" s="4" t="s">
        <v>4298</v>
      </c>
      <c r="I16" s="759"/>
      <c r="J16" s="1"/>
    </row>
    <row r="17" spans="1:10" x14ac:dyDescent="0.15">
      <c r="A17" s="1">
        <v>49</v>
      </c>
      <c r="B17" s="664" t="s">
        <v>1739</v>
      </c>
      <c r="C17" s="4" t="s">
        <v>4342</v>
      </c>
      <c r="D17" s="4" t="s">
        <v>3223</v>
      </c>
      <c r="E17" s="665" t="s">
        <v>4297</v>
      </c>
      <c r="F17" s="1">
        <v>20</v>
      </c>
      <c r="G17" s="1">
        <v>1</v>
      </c>
      <c r="H17" s="4" t="s">
        <v>4304</v>
      </c>
      <c r="I17" s="1"/>
      <c r="J17" s="759"/>
    </row>
    <row r="18" spans="1:10" x14ac:dyDescent="0.15">
      <c r="A18" s="1">
        <v>78</v>
      </c>
      <c r="B18" s="664" t="s">
        <v>1737</v>
      </c>
      <c r="C18" s="4" t="s">
        <v>4342</v>
      </c>
      <c r="D18" s="4" t="s">
        <v>3223</v>
      </c>
      <c r="E18" s="665" t="s">
        <v>4297</v>
      </c>
      <c r="F18" s="1">
        <v>20</v>
      </c>
      <c r="G18" s="1">
        <v>1</v>
      </c>
      <c r="H18" s="4" t="s">
        <v>4304</v>
      </c>
      <c r="I18" s="1"/>
      <c r="J18" s="1"/>
    </row>
    <row r="19" spans="1:10" x14ac:dyDescent="0.15">
      <c r="A19" s="1">
        <v>79</v>
      </c>
      <c r="B19" s="664" t="s">
        <v>3288</v>
      </c>
      <c r="C19" s="4" t="s">
        <v>4342</v>
      </c>
      <c r="D19" s="4" t="s">
        <v>3223</v>
      </c>
      <c r="E19" s="665" t="s">
        <v>4297</v>
      </c>
      <c r="F19" s="1">
        <v>10</v>
      </c>
      <c r="G19" s="1">
        <v>0</v>
      </c>
      <c r="H19" s="4" t="s">
        <v>4298</v>
      </c>
      <c r="I19" s="1"/>
      <c r="J19" s="1"/>
    </row>
    <row r="20" spans="1:10" x14ac:dyDescent="0.15">
      <c r="A20" s="1">
        <v>80</v>
      </c>
      <c r="B20" s="664" t="s">
        <v>3416</v>
      </c>
      <c r="C20" s="4" t="s">
        <v>4342</v>
      </c>
      <c r="D20" s="4" t="s">
        <v>3223</v>
      </c>
      <c r="E20" s="665" t="s">
        <v>4297</v>
      </c>
      <c r="F20" s="1">
        <v>10</v>
      </c>
      <c r="G20" s="1">
        <v>0</v>
      </c>
      <c r="H20" s="4" t="s">
        <v>4298</v>
      </c>
      <c r="I20" s="1"/>
      <c r="J20" s="1"/>
    </row>
    <row r="21" spans="1:10" x14ac:dyDescent="0.15">
      <c r="A21" s="1">
        <v>81</v>
      </c>
      <c r="B21" s="664" t="s">
        <v>3378</v>
      </c>
      <c r="C21" s="4" t="s">
        <v>4342</v>
      </c>
      <c r="D21" s="4" t="s">
        <v>3223</v>
      </c>
      <c r="E21" s="665" t="s">
        <v>4297</v>
      </c>
      <c r="F21" s="1">
        <v>5</v>
      </c>
      <c r="G21" s="1">
        <v>1</v>
      </c>
      <c r="H21" s="4" t="s">
        <v>4304</v>
      </c>
      <c r="I21" s="759"/>
      <c r="J21" s="1"/>
    </row>
    <row r="22" spans="1:10" x14ac:dyDescent="0.15">
      <c r="A22" s="1">
        <v>81</v>
      </c>
      <c r="B22" s="664" t="s">
        <v>4051</v>
      </c>
      <c r="C22" s="759" t="s">
        <v>4342</v>
      </c>
      <c r="D22" s="4" t="s">
        <v>3223</v>
      </c>
      <c r="E22" s="665" t="s">
        <v>4297</v>
      </c>
      <c r="F22" s="1">
        <v>10</v>
      </c>
      <c r="G22" s="1">
        <v>1</v>
      </c>
      <c r="H22" s="4" t="s">
        <v>4304</v>
      </c>
      <c r="I22" s="1"/>
      <c r="J22" s="1"/>
    </row>
    <row r="23" spans="1:10" x14ac:dyDescent="0.15">
      <c r="A23" s="1">
        <v>96</v>
      </c>
      <c r="B23" s="664" t="s">
        <v>3304</v>
      </c>
      <c r="C23" s="4" t="s">
        <v>4342</v>
      </c>
      <c r="D23" s="4" t="s">
        <v>3223</v>
      </c>
      <c r="E23" s="665" t="s">
        <v>4297</v>
      </c>
      <c r="F23" s="1">
        <v>10</v>
      </c>
      <c r="G23" s="1">
        <v>1</v>
      </c>
      <c r="H23" s="4" t="s">
        <v>4304</v>
      </c>
      <c r="I23" s="759"/>
      <c r="J23" s="1"/>
    </row>
    <row r="24" spans="1:10" x14ac:dyDescent="0.15">
      <c r="A24" s="1">
        <v>126</v>
      </c>
      <c r="B24" s="664" t="s">
        <v>4057</v>
      </c>
      <c r="C24" s="759" t="s">
        <v>4342</v>
      </c>
      <c r="D24" s="4" t="s">
        <v>3223</v>
      </c>
      <c r="E24" s="665" t="s">
        <v>4297</v>
      </c>
      <c r="F24" s="1">
        <v>5</v>
      </c>
      <c r="G24" s="1">
        <v>1</v>
      </c>
      <c r="H24" s="4" t="s">
        <v>4304</v>
      </c>
      <c r="I24" s="1"/>
      <c r="J24" s="1"/>
    </row>
    <row r="25" spans="1:10" x14ac:dyDescent="0.15">
      <c r="A25" s="1">
        <v>128</v>
      </c>
      <c r="B25" s="664" t="s">
        <v>3254</v>
      </c>
      <c r="C25" s="759" t="s">
        <v>4342</v>
      </c>
      <c r="D25" s="4" t="s">
        <v>3223</v>
      </c>
      <c r="E25" s="665" t="s">
        <v>4297</v>
      </c>
      <c r="F25" s="1">
        <v>20</v>
      </c>
      <c r="G25" s="1">
        <v>1</v>
      </c>
      <c r="H25" s="4" t="s">
        <v>4304</v>
      </c>
      <c r="I25" s="1"/>
      <c r="J25" s="1"/>
    </row>
    <row r="26" spans="1:10" x14ac:dyDescent="0.15">
      <c r="A26" s="1">
        <v>162</v>
      </c>
      <c r="B26" s="664" t="s">
        <v>3314</v>
      </c>
      <c r="C26" s="759" t="s">
        <v>4342</v>
      </c>
      <c r="D26" s="4" t="s">
        <v>3223</v>
      </c>
      <c r="E26" s="665" t="s">
        <v>4297</v>
      </c>
      <c r="F26" s="1">
        <v>10</v>
      </c>
      <c r="G26" s="1">
        <v>0</v>
      </c>
      <c r="H26" s="4" t="s">
        <v>4298</v>
      </c>
      <c r="I26" s="1"/>
      <c r="J26" s="759"/>
    </row>
    <row r="27" spans="1:10" x14ac:dyDescent="0.15">
      <c r="A27" s="1">
        <v>166</v>
      </c>
      <c r="B27" s="664" t="s">
        <v>4059</v>
      </c>
      <c r="C27" s="759" t="s">
        <v>4342</v>
      </c>
      <c r="D27" s="4" t="s">
        <v>3223</v>
      </c>
      <c r="E27" s="665" t="s">
        <v>4297</v>
      </c>
      <c r="F27" s="1">
        <v>10</v>
      </c>
      <c r="G27" s="1">
        <v>1</v>
      </c>
      <c r="H27" s="4" t="s">
        <v>4304</v>
      </c>
      <c r="I27" s="759"/>
      <c r="J27" s="1"/>
    </row>
    <row r="28" spans="1:10" x14ac:dyDescent="0.15">
      <c r="A28" s="1">
        <v>233</v>
      </c>
      <c r="B28" s="664" t="s">
        <v>1735</v>
      </c>
      <c r="C28" s="4" t="s">
        <v>4342</v>
      </c>
      <c r="D28" s="4" t="s">
        <v>3223</v>
      </c>
      <c r="E28" s="665" t="s">
        <v>4297</v>
      </c>
      <c r="F28" s="1">
        <v>30</v>
      </c>
      <c r="G28" s="1">
        <v>1</v>
      </c>
      <c r="H28" s="4" t="s">
        <v>4304</v>
      </c>
      <c r="I28" s="1"/>
      <c r="J28" s="1"/>
    </row>
    <row r="29" spans="1:10" x14ac:dyDescent="0.15">
      <c r="A29" s="1">
        <v>11</v>
      </c>
      <c r="B29" s="664" t="s">
        <v>4326</v>
      </c>
      <c r="C29" s="4" t="s">
        <v>4327</v>
      </c>
      <c r="D29" s="759"/>
      <c r="E29" s="665" t="s">
        <v>4297</v>
      </c>
      <c r="F29" s="1">
        <v>10</v>
      </c>
      <c r="G29" s="1">
        <v>0</v>
      </c>
      <c r="H29" s="4" t="s">
        <v>4298</v>
      </c>
      <c r="I29" s="1"/>
      <c r="J29" s="1"/>
    </row>
    <row r="30" spans="1:10" x14ac:dyDescent="0.15">
      <c r="A30" s="1">
        <v>3</v>
      </c>
      <c r="B30" s="664" t="s">
        <v>3385</v>
      </c>
      <c r="C30" s="4" t="s">
        <v>4302</v>
      </c>
      <c r="D30" s="4" t="s">
        <v>4303</v>
      </c>
      <c r="E30" s="665" t="s">
        <v>4297</v>
      </c>
      <c r="F30" s="1">
        <v>10</v>
      </c>
      <c r="G30" s="1">
        <v>1</v>
      </c>
      <c r="H30" s="4" t="s">
        <v>4304</v>
      </c>
      <c r="I30" s="4" t="s">
        <v>4305</v>
      </c>
      <c r="J30" s="1"/>
    </row>
    <row r="31" spans="1:10" x14ac:dyDescent="0.15">
      <c r="A31" s="1">
        <v>6</v>
      </c>
      <c r="B31" s="664" t="s">
        <v>2366</v>
      </c>
      <c r="C31" s="4" t="s">
        <v>4302</v>
      </c>
      <c r="D31" s="4" t="s">
        <v>4303</v>
      </c>
      <c r="E31" s="665" t="s">
        <v>4297</v>
      </c>
      <c r="F31" s="1">
        <v>10</v>
      </c>
      <c r="G31" s="1">
        <v>1</v>
      </c>
      <c r="H31" s="4" t="s">
        <v>4304</v>
      </c>
      <c r="I31" s="4" t="s">
        <v>4313</v>
      </c>
      <c r="J31" s="1"/>
    </row>
    <row r="32" spans="1:10" x14ac:dyDescent="0.15">
      <c r="A32" s="1">
        <v>27</v>
      </c>
      <c r="B32" s="664" t="s">
        <v>3321</v>
      </c>
      <c r="C32" s="4" t="s">
        <v>4302</v>
      </c>
      <c r="D32" s="4" t="s">
        <v>4303</v>
      </c>
      <c r="E32" s="665" t="s">
        <v>4297</v>
      </c>
      <c r="F32" s="1">
        <v>20</v>
      </c>
      <c r="G32" s="1">
        <v>1</v>
      </c>
      <c r="H32" s="4" t="s">
        <v>4304</v>
      </c>
      <c r="I32" s="759"/>
      <c r="J32" s="1"/>
    </row>
    <row r="33" spans="1:14" x14ac:dyDescent="0.15">
      <c r="A33" s="1">
        <v>28</v>
      </c>
      <c r="B33" s="664" t="s">
        <v>2575</v>
      </c>
      <c r="C33" s="4" t="s">
        <v>4302</v>
      </c>
      <c r="D33" s="4" t="s">
        <v>4303</v>
      </c>
      <c r="E33" s="665" t="s">
        <v>4297</v>
      </c>
      <c r="F33" s="1">
        <v>10</v>
      </c>
      <c r="G33" s="1">
        <v>1</v>
      </c>
      <c r="H33" s="4" t="s">
        <v>4304</v>
      </c>
      <c r="I33" s="1"/>
      <c r="J33" s="1"/>
    </row>
    <row r="34" spans="1:14" x14ac:dyDescent="0.15">
      <c r="A34" s="1">
        <v>38</v>
      </c>
      <c r="B34" s="664" t="s">
        <v>4368</v>
      </c>
      <c r="C34" s="4" t="s">
        <v>4302</v>
      </c>
      <c r="D34" s="4" t="s">
        <v>4303</v>
      </c>
      <c r="E34" s="665" t="s">
        <v>4297</v>
      </c>
      <c r="F34" s="1">
        <v>10</v>
      </c>
      <c r="G34" s="1">
        <v>1</v>
      </c>
      <c r="H34" s="4" t="s">
        <v>4304</v>
      </c>
      <c r="I34" s="759"/>
      <c r="J34" s="1"/>
    </row>
    <row r="35" spans="1:14" x14ac:dyDescent="0.15">
      <c r="A35" s="1">
        <v>42</v>
      </c>
      <c r="B35" s="664" t="s">
        <v>2607</v>
      </c>
      <c r="C35" s="4" t="s">
        <v>4302</v>
      </c>
      <c r="D35" s="4" t="s">
        <v>4303</v>
      </c>
      <c r="E35" s="665" t="s">
        <v>4297</v>
      </c>
      <c r="F35" s="1">
        <v>20</v>
      </c>
      <c r="G35" s="1">
        <v>2</v>
      </c>
      <c r="H35" s="4" t="s">
        <v>4334</v>
      </c>
      <c r="I35" s="4" t="s">
        <v>4015</v>
      </c>
      <c r="J35" s="4" t="s">
        <v>4376</v>
      </c>
    </row>
    <row r="36" spans="1:14" x14ac:dyDescent="0.15">
      <c r="A36" s="1">
        <v>46</v>
      </c>
      <c r="B36" s="664" t="s">
        <v>2541</v>
      </c>
      <c r="C36" s="4" t="s">
        <v>4302</v>
      </c>
      <c r="D36" s="4" t="s">
        <v>4303</v>
      </c>
      <c r="E36" s="665" t="s">
        <v>4297</v>
      </c>
      <c r="F36" s="1">
        <v>20</v>
      </c>
      <c r="G36" s="1">
        <v>0</v>
      </c>
      <c r="H36" s="4" t="s">
        <v>4298</v>
      </c>
      <c r="I36" s="759"/>
      <c r="J36" s="1"/>
    </row>
    <row r="37" spans="1:14" x14ac:dyDescent="0.15">
      <c r="A37" s="1">
        <v>48</v>
      </c>
      <c r="B37" s="664" t="s">
        <v>49</v>
      </c>
      <c r="C37" s="4" t="s">
        <v>4302</v>
      </c>
      <c r="D37" s="4" t="s">
        <v>4303</v>
      </c>
      <c r="E37" s="665" t="s">
        <v>4297</v>
      </c>
      <c r="F37" s="1">
        <v>10</v>
      </c>
      <c r="G37" s="1">
        <v>1</v>
      </c>
      <c r="H37" s="4" t="s">
        <v>4304</v>
      </c>
      <c r="I37" s="1"/>
      <c r="J37" s="1"/>
    </row>
    <row r="38" spans="1:14" x14ac:dyDescent="0.15">
      <c r="A38" s="1">
        <v>64</v>
      </c>
      <c r="B38" s="664" t="s">
        <v>2643</v>
      </c>
      <c r="C38" s="4" t="s">
        <v>4302</v>
      </c>
      <c r="D38" s="4" t="s">
        <v>4303</v>
      </c>
      <c r="E38" s="665" t="s">
        <v>4297</v>
      </c>
      <c r="F38" s="1">
        <v>10</v>
      </c>
      <c r="G38" s="1">
        <v>1</v>
      </c>
      <c r="H38" s="4" t="s">
        <v>4304</v>
      </c>
      <c r="I38" s="1"/>
      <c r="J38" s="1"/>
    </row>
    <row r="39" spans="1:14" x14ac:dyDescent="0.15">
      <c r="A39" s="1">
        <v>66</v>
      </c>
      <c r="B39" s="664" t="s">
        <v>2278</v>
      </c>
      <c r="C39" s="4" t="s">
        <v>4302</v>
      </c>
      <c r="D39" s="4" t="s">
        <v>4303</v>
      </c>
      <c r="E39" s="665" t="s">
        <v>4297</v>
      </c>
      <c r="F39" s="1">
        <v>10</v>
      </c>
      <c r="G39" s="1">
        <v>0</v>
      </c>
      <c r="H39" s="4" t="s">
        <v>4298</v>
      </c>
      <c r="I39" s="759" t="s">
        <v>4083</v>
      </c>
      <c r="J39" s="1"/>
    </row>
    <row r="40" spans="1:14" x14ac:dyDescent="0.15">
      <c r="A40" s="1">
        <v>68</v>
      </c>
      <c r="B40" s="664" t="s">
        <v>2682</v>
      </c>
      <c r="C40" s="4" t="s">
        <v>4302</v>
      </c>
      <c r="D40" s="4" t="s">
        <v>4303</v>
      </c>
      <c r="E40" s="665" t="s">
        <v>4297</v>
      </c>
      <c r="F40" s="1">
        <v>5</v>
      </c>
      <c r="G40" s="1">
        <v>1</v>
      </c>
      <c r="H40" s="4" t="s">
        <v>4304</v>
      </c>
      <c r="I40" s="759"/>
      <c r="J40" s="1"/>
    </row>
    <row r="41" spans="1:14" x14ac:dyDescent="0.15">
      <c r="A41" s="1">
        <v>83</v>
      </c>
      <c r="B41" s="664" t="s">
        <v>3383</v>
      </c>
      <c r="C41" s="4" t="s">
        <v>4302</v>
      </c>
      <c r="D41" s="4" t="s">
        <v>4303</v>
      </c>
      <c r="E41" s="665" t="s">
        <v>4297</v>
      </c>
      <c r="F41" s="1">
        <v>10</v>
      </c>
      <c r="G41" s="1">
        <v>1</v>
      </c>
      <c r="H41" s="4" t="s">
        <v>4304</v>
      </c>
      <c r="I41" s="4" t="s">
        <v>4242</v>
      </c>
      <c r="J41" s="4" t="s">
        <v>4406</v>
      </c>
    </row>
    <row r="42" spans="1:14" x14ac:dyDescent="0.15">
      <c r="A42" s="1">
        <v>84</v>
      </c>
      <c r="B42" s="664" t="s">
        <v>2889</v>
      </c>
      <c r="C42" s="4" t="s">
        <v>4302</v>
      </c>
      <c r="D42" s="4" t="s">
        <v>4323</v>
      </c>
      <c r="E42" s="665" t="s">
        <v>4297</v>
      </c>
      <c r="F42" s="1">
        <v>20</v>
      </c>
      <c r="G42" s="1">
        <v>2</v>
      </c>
      <c r="H42" s="4" t="s">
        <v>4334</v>
      </c>
      <c r="I42" s="1"/>
      <c r="J42" s="759"/>
      <c r="K42" s="754" t="s">
        <v>6471</v>
      </c>
      <c r="L42" s="755" t="s">
        <v>6472</v>
      </c>
      <c r="M42" s="755" t="s">
        <v>6443</v>
      </c>
      <c r="N42" s="97">
        <v>20</v>
      </c>
    </row>
    <row r="43" spans="1:14" x14ac:dyDescent="0.15">
      <c r="A43" s="1">
        <v>85</v>
      </c>
      <c r="B43" s="664" t="s">
        <v>3404</v>
      </c>
      <c r="C43" s="4" t="s">
        <v>4302</v>
      </c>
      <c r="D43" s="4" t="s">
        <v>4303</v>
      </c>
      <c r="E43" s="665" t="s">
        <v>4297</v>
      </c>
      <c r="F43" s="1">
        <v>10</v>
      </c>
      <c r="G43" s="1">
        <v>1</v>
      </c>
      <c r="H43" s="4" t="s">
        <v>4304</v>
      </c>
      <c r="I43" s="759"/>
      <c r="J43" s="1"/>
    </row>
    <row r="44" spans="1:14" x14ac:dyDescent="0.15">
      <c r="A44" s="1">
        <v>96</v>
      </c>
      <c r="B44" s="664" t="s">
        <v>3268</v>
      </c>
      <c r="C44" s="759" t="s">
        <v>4302</v>
      </c>
      <c r="D44" s="4" t="s">
        <v>4427</v>
      </c>
      <c r="E44" s="665" t="s">
        <v>4297</v>
      </c>
      <c r="F44" s="1">
        <v>5</v>
      </c>
      <c r="G44" s="1">
        <v>1</v>
      </c>
      <c r="H44" s="4" t="s">
        <v>4304</v>
      </c>
      <c r="I44" s="1"/>
      <c r="J44" s="1"/>
    </row>
    <row r="45" spans="1:14" x14ac:dyDescent="0.15">
      <c r="A45" s="1">
        <v>146</v>
      </c>
      <c r="B45" s="664" t="s">
        <v>3879</v>
      </c>
      <c r="C45" s="4" t="s">
        <v>4302</v>
      </c>
      <c r="D45" s="4" t="s">
        <v>4303</v>
      </c>
      <c r="E45" s="665" t="s">
        <v>4297</v>
      </c>
      <c r="F45" s="1">
        <v>10</v>
      </c>
      <c r="G45" s="1">
        <v>0</v>
      </c>
      <c r="H45" s="4" t="s">
        <v>4298</v>
      </c>
      <c r="I45" s="1"/>
      <c r="J45" s="759"/>
    </row>
    <row r="46" spans="1:14" x14ac:dyDescent="0.15">
      <c r="A46" s="1">
        <v>175</v>
      </c>
      <c r="B46" s="664" t="s">
        <v>3351</v>
      </c>
      <c r="C46" s="4" t="s">
        <v>4302</v>
      </c>
      <c r="D46" s="4" t="s">
        <v>4303</v>
      </c>
      <c r="E46" s="665" t="s">
        <v>4297</v>
      </c>
      <c r="F46" s="1">
        <v>10</v>
      </c>
      <c r="G46" s="1">
        <v>1</v>
      </c>
      <c r="H46" s="4" t="s">
        <v>4304</v>
      </c>
      <c r="I46" s="1"/>
      <c r="J46" s="1"/>
    </row>
    <row r="47" spans="1:14" x14ac:dyDescent="0.15">
      <c r="A47" s="1">
        <v>178</v>
      </c>
      <c r="B47" s="664" t="s">
        <v>2610</v>
      </c>
      <c r="C47" s="4" t="s">
        <v>4302</v>
      </c>
      <c r="D47" s="4" t="s">
        <v>4303</v>
      </c>
      <c r="E47" s="665" t="s">
        <v>4297</v>
      </c>
      <c r="F47" s="1">
        <v>10</v>
      </c>
      <c r="G47" s="1">
        <v>1</v>
      </c>
      <c r="H47" s="4" t="s">
        <v>4304</v>
      </c>
      <c r="I47" s="1"/>
      <c r="J47" s="1"/>
      <c r="K47" s="750" t="s">
        <v>4553</v>
      </c>
    </row>
    <row r="48" spans="1:14" x14ac:dyDescent="0.15">
      <c r="A48" s="1">
        <v>210</v>
      </c>
      <c r="B48" s="664" t="s">
        <v>2511</v>
      </c>
      <c r="C48" s="4" t="s">
        <v>4302</v>
      </c>
      <c r="D48" s="4" t="s">
        <v>4303</v>
      </c>
      <c r="E48" s="665" t="s">
        <v>4297</v>
      </c>
      <c r="F48" s="704">
        <v>10</v>
      </c>
      <c r="G48" s="1">
        <v>0</v>
      </c>
      <c r="H48" s="4" t="s">
        <v>4298</v>
      </c>
      <c r="I48" s="4" t="s">
        <v>4585</v>
      </c>
      <c r="J48" s="1"/>
    </row>
    <row r="49" spans="1:10" x14ac:dyDescent="0.15">
      <c r="A49" s="1">
        <v>220</v>
      </c>
      <c r="B49" s="664" t="s">
        <v>2648</v>
      </c>
      <c r="C49" s="4" t="s">
        <v>4302</v>
      </c>
      <c r="D49" s="4" t="s">
        <v>4303</v>
      </c>
      <c r="E49" s="665" t="s">
        <v>4297</v>
      </c>
      <c r="F49" s="704">
        <v>10</v>
      </c>
      <c r="G49" s="1">
        <v>0</v>
      </c>
      <c r="H49" s="4" t="s">
        <v>4298</v>
      </c>
      <c r="I49" s="4" t="s">
        <v>4585</v>
      </c>
      <c r="J49" s="1"/>
    </row>
    <row r="50" spans="1:10" x14ac:dyDescent="0.15">
      <c r="A50" s="1">
        <v>228</v>
      </c>
      <c r="B50" s="664" t="s">
        <v>2674</v>
      </c>
      <c r="C50" s="4" t="s">
        <v>4302</v>
      </c>
      <c r="D50" s="4" t="s">
        <v>4303</v>
      </c>
      <c r="E50" s="665" t="s">
        <v>4297</v>
      </c>
      <c r="F50" s="1">
        <v>10</v>
      </c>
      <c r="G50" s="1">
        <v>2</v>
      </c>
      <c r="H50" s="4" t="s">
        <v>4334</v>
      </c>
      <c r="I50" s="759"/>
      <c r="J50" s="1"/>
    </row>
    <row r="51" spans="1:10" x14ac:dyDescent="0.15">
      <c r="A51" s="1">
        <v>230</v>
      </c>
      <c r="B51" s="664" t="s">
        <v>2603</v>
      </c>
      <c r="C51" s="4" t="s">
        <v>4302</v>
      </c>
      <c r="D51" s="4" t="s">
        <v>4303</v>
      </c>
      <c r="E51" s="665" t="s">
        <v>4297</v>
      </c>
      <c r="F51" s="1">
        <v>10</v>
      </c>
      <c r="G51" s="1">
        <v>1</v>
      </c>
      <c r="H51" s="4" t="s">
        <v>4304</v>
      </c>
      <c r="I51" s="1"/>
      <c r="J51" s="1"/>
    </row>
    <row r="52" spans="1:10" x14ac:dyDescent="0.15">
      <c r="A52" s="1">
        <v>243</v>
      </c>
      <c r="B52" s="664" t="s">
        <v>417</v>
      </c>
      <c r="C52" s="4" t="s">
        <v>4302</v>
      </c>
      <c r="D52" s="4" t="s">
        <v>4303</v>
      </c>
      <c r="E52" s="665" t="s">
        <v>4297</v>
      </c>
      <c r="F52" s="1">
        <v>10</v>
      </c>
      <c r="G52" s="1">
        <v>1</v>
      </c>
      <c r="H52" s="665" t="s">
        <v>4304</v>
      </c>
      <c r="I52" s="1"/>
      <c r="J52" s="1"/>
    </row>
    <row r="53" spans="1:10" x14ac:dyDescent="0.15">
      <c r="A53" s="1">
        <v>6</v>
      </c>
      <c r="B53" s="664" t="s">
        <v>2038</v>
      </c>
      <c r="C53" s="4" t="s">
        <v>4314</v>
      </c>
      <c r="D53" s="4" t="s">
        <v>4303</v>
      </c>
      <c r="E53" s="665" t="s">
        <v>4297</v>
      </c>
      <c r="F53" s="1">
        <v>20</v>
      </c>
      <c r="G53" s="1">
        <v>1</v>
      </c>
      <c r="H53" s="4" t="s">
        <v>4304</v>
      </c>
      <c r="I53" s="1"/>
      <c r="J53" s="1"/>
    </row>
    <row r="54" spans="1:10" x14ac:dyDescent="0.15">
      <c r="A54" s="1">
        <v>32</v>
      </c>
      <c r="B54" s="664" t="s">
        <v>3443</v>
      </c>
      <c r="C54" s="4" t="s">
        <v>4314</v>
      </c>
      <c r="D54" s="4" t="s">
        <v>4303</v>
      </c>
      <c r="E54" s="665" t="s">
        <v>4297</v>
      </c>
      <c r="F54" s="1">
        <v>10</v>
      </c>
      <c r="G54" s="1">
        <v>0</v>
      </c>
      <c r="H54" s="4" t="s">
        <v>4298</v>
      </c>
      <c r="I54" s="1"/>
      <c r="J54" s="1"/>
    </row>
    <row r="55" spans="1:10" x14ac:dyDescent="0.15">
      <c r="A55" s="1">
        <v>35</v>
      </c>
      <c r="B55" s="664" t="s">
        <v>2973</v>
      </c>
      <c r="C55" s="4" t="s">
        <v>4314</v>
      </c>
      <c r="D55" s="4" t="s">
        <v>4303</v>
      </c>
      <c r="E55" s="665" t="s">
        <v>4297</v>
      </c>
      <c r="F55" s="1">
        <v>20</v>
      </c>
      <c r="G55" s="1">
        <v>2</v>
      </c>
      <c r="H55" s="4" t="s">
        <v>4334</v>
      </c>
      <c r="I55" s="1"/>
      <c r="J55" s="1"/>
    </row>
    <row r="56" spans="1:10" x14ac:dyDescent="0.15">
      <c r="A56" s="1">
        <v>60</v>
      </c>
      <c r="B56" s="664" t="s">
        <v>2317</v>
      </c>
      <c r="C56" s="4" t="s">
        <v>4314</v>
      </c>
      <c r="D56" s="4" t="s">
        <v>4303</v>
      </c>
      <c r="E56" s="665" t="s">
        <v>4297</v>
      </c>
      <c r="F56" s="1">
        <v>10</v>
      </c>
      <c r="G56" s="1">
        <v>1</v>
      </c>
      <c r="H56" s="4" t="s">
        <v>4304</v>
      </c>
      <c r="I56" s="1"/>
      <c r="J56" s="1"/>
    </row>
    <row r="57" spans="1:10" x14ac:dyDescent="0.15">
      <c r="A57" s="1">
        <v>62</v>
      </c>
      <c r="B57" s="664" t="s">
        <v>2102</v>
      </c>
      <c r="C57" s="4" t="s">
        <v>4314</v>
      </c>
      <c r="D57" s="4" t="s">
        <v>4303</v>
      </c>
      <c r="E57" s="665" t="s">
        <v>4297</v>
      </c>
      <c r="F57" s="1">
        <v>10</v>
      </c>
      <c r="G57" s="1">
        <v>1</v>
      </c>
      <c r="H57" s="4" t="s">
        <v>4304</v>
      </c>
      <c r="I57" s="4" t="s">
        <v>4083</v>
      </c>
      <c r="J57" s="1"/>
    </row>
    <row r="58" spans="1:10" x14ac:dyDescent="0.15">
      <c r="A58" s="1">
        <v>63</v>
      </c>
      <c r="B58" s="664" t="s">
        <v>2083</v>
      </c>
      <c r="C58" s="4" t="s">
        <v>4314</v>
      </c>
      <c r="D58" s="4" t="s">
        <v>4303</v>
      </c>
      <c r="E58" s="665" t="s">
        <v>4297</v>
      </c>
      <c r="F58" s="1">
        <v>5</v>
      </c>
      <c r="G58" s="1">
        <v>0</v>
      </c>
      <c r="H58" s="4" t="s">
        <v>4298</v>
      </c>
      <c r="I58" s="759"/>
      <c r="J58" s="1"/>
    </row>
    <row r="59" spans="1:10" x14ac:dyDescent="0.15">
      <c r="A59" s="1">
        <v>65</v>
      </c>
      <c r="B59" s="664" t="s">
        <v>3953</v>
      </c>
      <c r="C59" s="4" t="s">
        <v>4314</v>
      </c>
      <c r="D59" s="4" t="s">
        <v>4303</v>
      </c>
      <c r="E59" s="665" t="s">
        <v>4297</v>
      </c>
      <c r="F59" s="1">
        <v>10</v>
      </c>
      <c r="G59" s="1">
        <v>0</v>
      </c>
      <c r="H59" s="4" t="s">
        <v>4298</v>
      </c>
      <c r="I59" s="759"/>
      <c r="J59" s="1"/>
    </row>
    <row r="60" spans="1:10" x14ac:dyDescent="0.15">
      <c r="A60" s="1">
        <v>73</v>
      </c>
      <c r="B60" s="664" t="s">
        <v>1885</v>
      </c>
      <c r="C60" s="4" t="s">
        <v>4314</v>
      </c>
      <c r="D60" s="4" t="s">
        <v>4303</v>
      </c>
      <c r="E60" s="665" t="s">
        <v>4297</v>
      </c>
      <c r="F60" s="1">
        <v>10</v>
      </c>
      <c r="G60" s="1">
        <v>1</v>
      </c>
      <c r="H60" s="4" t="s">
        <v>4304</v>
      </c>
      <c r="I60" s="759"/>
      <c r="J60" s="1"/>
    </row>
    <row r="61" spans="1:10" x14ac:dyDescent="0.15">
      <c r="A61" s="1">
        <v>74</v>
      </c>
      <c r="B61" s="664" t="s">
        <v>2334</v>
      </c>
      <c r="C61" s="4" t="s">
        <v>4314</v>
      </c>
      <c r="D61" s="4" t="s">
        <v>4303</v>
      </c>
      <c r="E61" s="665" t="s">
        <v>4297</v>
      </c>
      <c r="F61" s="1">
        <v>10</v>
      </c>
      <c r="G61" s="1">
        <v>0</v>
      </c>
      <c r="H61" s="4" t="s">
        <v>4298</v>
      </c>
      <c r="I61" s="759"/>
      <c r="J61" s="1"/>
    </row>
    <row r="62" spans="1:10" x14ac:dyDescent="0.15">
      <c r="A62" s="1">
        <v>75</v>
      </c>
      <c r="B62" s="664" t="s">
        <v>2057</v>
      </c>
      <c r="C62" s="4" t="s">
        <v>4314</v>
      </c>
      <c r="D62" s="4" t="s">
        <v>4303</v>
      </c>
      <c r="E62" s="665" t="s">
        <v>4297</v>
      </c>
      <c r="F62" s="1">
        <v>10</v>
      </c>
      <c r="G62" s="1">
        <v>0</v>
      </c>
      <c r="H62" s="4" t="s">
        <v>4298</v>
      </c>
      <c r="I62" s="1"/>
      <c r="J62" s="1"/>
    </row>
    <row r="63" spans="1:10" x14ac:dyDescent="0.15">
      <c r="A63" s="1">
        <v>76</v>
      </c>
      <c r="B63" s="664" t="s">
        <v>1920</v>
      </c>
      <c r="C63" s="4" t="s">
        <v>4314</v>
      </c>
      <c r="D63" s="4" t="s">
        <v>4303</v>
      </c>
      <c r="E63" s="665" t="s">
        <v>4297</v>
      </c>
      <c r="F63" s="1">
        <v>5</v>
      </c>
      <c r="G63" s="1">
        <v>0</v>
      </c>
      <c r="H63" s="4" t="s">
        <v>4298</v>
      </c>
      <c r="I63" s="759"/>
      <c r="J63" s="1"/>
    </row>
    <row r="64" spans="1:10" x14ac:dyDescent="0.15">
      <c r="A64" s="1">
        <v>119</v>
      </c>
      <c r="B64" s="664" t="s">
        <v>2182</v>
      </c>
      <c r="C64" s="4" t="s">
        <v>4314</v>
      </c>
      <c r="D64" s="4" t="s">
        <v>4303</v>
      </c>
      <c r="E64" s="665" t="s">
        <v>4297</v>
      </c>
      <c r="F64" s="1">
        <v>10</v>
      </c>
      <c r="G64" s="1">
        <v>1</v>
      </c>
      <c r="H64" s="4" t="s">
        <v>4304</v>
      </c>
      <c r="I64" s="1"/>
      <c r="J64" s="1"/>
    </row>
    <row r="65" spans="1:14" x14ac:dyDescent="0.15">
      <c r="A65" s="1">
        <v>140</v>
      </c>
      <c r="B65" s="664" t="s">
        <v>2358</v>
      </c>
      <c r="C65" s="759" t="s">
        <v>4314</v>
      </c>
      <c r="D65" s="4" t="s">
        <v>4303</v>
      </c>
      <c r="E65" s="665" t="s">
        <v>4297</v>
      </c>
      <c r="F65" s="1">
        <v>10</v>
      </c>
      <c r="G65" s="1">
        <v>0</v>
      </c>
      <c r="H65" s="4" t="s">
        <v>4298</v>
      </c>
      <c r="I65" s="1"/>
      <c r="J65" s="1"/>
    </row>
    <row r="66" spans="1:14" x14ac:dyDescent="0.15">
      <c r="A66" s="1">
        <v>152</v>
      </c>
      <c r="B66" s="664" t="s">
        <v>2496</v>
      </c>
      <c r="C66" s="4" t="s">
        <v>4314</v>
      </c>
      <c r="D66" s="4" t="s">
        <v>4303</v>
      </c>
      <c r="E66" s="665" t="s">
        <v>4297</v>
      </c>
      <c r="F66" s="1">
        <v>10</v>
      </c>
      <c r="G66" s="1">
        <v>0</v>
      </c>
      <c r="H66" s="4" t="s">
        <v>4298</v>
      </c>
      <c r="I66" s="1"/>
      <c r="J66" s="1"/>
    </row>
    <row r="67" spans="1:14" x14ac:dyDescent="0.15">
      <c r="A67" s="1">
        <v>160</v>
      </c>
      <c r="B67" s="664" t="s">
        <v>2311</v>
      </c>
      <c r="C67" s="4" t="s">
        <v>4314</v>
      </c>
      <c r="D67" s="4" t="s">
        <v>4303</v>
      </c>
      <c r="E67" s="665" t="s">
        <v>4297</v>
      </c>
      <c r="F67" s="1">
        <v>10</v>
      </c>
      <c r="G67" s="1">
        <v>2</v>
      </c>
      <c r="H67" s="4" t="s">
        <v>4334</v>
      </c>
      <c r="I67" s="1"/>
      <c r="J67" s="1"/>
    </row>
    <row r="68" spans="1:14" x14ac:dyDescent="0.15">
      <c r="A68" s="1">
        <v>164</v>
      </c>
      <c r="B68" s="664" t="s">
        <v>3415</v>
      </c>
      <c r="C68" s="4" t="s">
        <v>4314</v>
      </c>
      <c r="D68" s="4" t="s">
        <v>4303</v>
      </c>
      <c r="E68" s="665" t="s">
        <v>4297</v>
      </c>
      <c r="F68" s="1">
        <v>5</v>
      </c>
      <c r="G68" s="1">
        <v>0</v>
      </c>
      <c r="H68" s="4" t="s">
        <v>4298</v>
      </c>
      <c r="I68" s="1"/>
      <c r="J68" s="1"/>
    </row>
    <row r="69" spans="1:14" x14ac:dyDescent="0.15">
      <c r="A69" s="1">
        <v>166</v>
      </c>
      <c r="B69" s="664" t="s">
        <v>2184</v>
      </c>
      <c r="C69" s="4" t="s">
        <v>4314</v>
      </c>
      <c r="D69" s="4" t="s">
        <v>4303</v>
      </c>
      <c r="E69" s="665" t="s">
        <v>4297</v>
      </c>
      <c r="F69" s="1">
        <v>10</v>
      </c>
      <c r="G69" s="1">
        <v>0</v>
      </c>
      <c r="H69" s="4" t="s">
        <v>4298</v>
      </c>
      <c r="I69" s="1"/>
      <c r="J69" s="1"/>
    </row>
    <row r="70" spans="1:14" x14ac:dyDescent="0.15">
      <c r="A70" s="1">
        <v>167</v>
      </c>
      <c r="B70" s="664" t="s">
        <v>2324</v>
      </c>
      <c r="C70" s="4" t="s">
        <v>4314</v>
      </c>
      <c r="D70" s="4" t="s">
        <v>4303</v>
      </c>
      <c r="E70" s="665" t="s">
        <v>4297</v>
      </c>
      <c r="F70" s="1">
        <v>10</v>
      </c>
      <c r="G70" s="1">
        <v>0</v>
      </c>
      <c r="H70" s="4" t="s">
        <v>4298</v>
      </c>
      <c r="I70" s="1"/>
      <c r="J70" s="1"/>
    </row>
    <row r="71" spans="1:14" x14ac:dyDescent="0.15">
      <c r="A71" s="1">
        <v>168</v>
      </c>
      <c r="B71" s="664" t="s">
        <v>3586</v>
      </c>
      <c r="C71" s="4" t="s">
        <v>4314</v>
      </c>
      <c r="D71" s="4" t="s">
        <v>4303</v>
      </c>
      <c r="E71" s="665" t="s">
        <v>4297</v>
      </c>
      <c r="F71" s="1">
        <v>5</v>
      </c>
      <c r="G71" s="1">
        <v>0</v>
      </c>
      <c r="H71" s="4" t="s">
        <v>4298</v>
      </c>
      <c r="I71" s="759"/>
      <c r="J71" s="1"/>
    </row>
    <row r="72" spans="1:14" x14ac:dyDescent="0.15">
      <c r="A72" s="1">
        <v>169</v>
      </c>
      <c r="B72" s="664" t="s">
        <v>2952</v>
      </c>
      <c r="C72" s="4" t="s">
        <v>4314</v>
      </c>
      <c r="D72" s="4" t="s">
        <v>4303</v>
      </c>
      <c r="E72" s="665" t="s">
        <v>4297</v>
      </c>
      <c r="F72" s="1">
        <v>10</v>
      </c>
      <c r="G72" s="1">
        <v>0</v>
      </c>
      <c r="H72" s="4" t="s">
        <v>4298</v>
      </c>
      <c r="I72" s="1"/>
      <c r="J72" s="1"/>
    </row>
    <row r="73" spans="1:14" x14ac:dyDescent="0.15">
      <c r="A73" s="1">
        <v>170</v>
      </c>
      <c r="B73" s="664" t="s">
        <v>1</v>
      </c>
      <c r="C73" s="4" t="s">
        <v>4314</v>
      </c>
      <c r="D73" s="4" t="s">
        <v>4303</v>
      </c>
      <c r="E73" s="665" t="s">
        <v>4297</v>
      </c>
      <c r="F73" s="1">
        <v>10</v>
      </c>
      <c r="G73" s="1">
        <v>0</v>
      </c>
      <c r="H73" s="4" t="s">
        <v>4298</v>
      </c>
      <c r="I73" s="759"/>
      <c r="J73" s="1"/>
    </row>
    <row r="74" spans="1:14" x14ac:dyDescent="0.15">
      <c r="A74" s="1">
        <v>172</v>
      </c>
      <c r="B74" s="664" t="s">
        <v>1857</v>
      </c>
      <c r="C74" s="4" t="s">
        <v>4314</v>
      </c>
      <c r="D74" s="4" t="s">
        <v>4303</v>
      </c>
      <c r="E74" s="665" t="s">
        <v>4297</v>
      </c>
      <c r="F74" s="1">
        <v>10</v>
      </c>
      <c r="G74" s="1">
        <v>1</v>
      </c>
      <c r="H74" s="4" t="s">
        <v>4304</v>
      </c>
      <c r="I74" s="1"/>
      <c r="J74" s="1"/>
    </row>
    <row r="75" spans="1:14" x14ac:dyDescent="0.15">
      <c r="A75" s="1">
        <v>173</v>
      </c>
      <c r="B75" s="664" t="s">
        <v>2207</v>
      </c>
      <c r="C75" s="4" t="s">
        <v>4314</v>
      </c>
      <c r="D75" s="4" t="s">
        <v>4303</v>
      </c>
      <c r="E75" s="665" t="s">
        <v>4297</v>
      </c>
      <c r="F75" s="1">
        <v>5</v>
      </c>
      <c r="G75" s="1">
        <v>0</v>
      </c>
      <c r="H75" s="4" t="s">
        <v>4298</v>
      </c>
      <c r="I75" s="1"/>
      <c r="J75" s="1"/>
    </row>
    <row r="76" spans="1:14" x14ac:dyDescent="0.15">
      <c r="A76" s="1">
        <v>200</v>
      </c>
      <c r="B76" s="664" t="s">
        <v>2944</v>
      </c>
      <c r="C76" s="4" t="s">
        <v>4314</v>
      </c>
      <c r="D76" s="4" t="s">
        <v>4303</v>
      </c>
      <c r="E76" s="665" t="s">
        <v>4297</v>
      </c>
      <c r="F76" s="704">
        <v>10</v>
      </c>
      <c r="G76" s="1">
        <v>0</v>
      </c>
      <c r="H76" s="4" t="s">
        <v>4298</v>
      </c>
      <c r="I76" s="4" t="s">
        <v>4585</v>
      </c>
      <c r="J76" s="759"/>
    </row>
    <row r="77" spans="1:14" x14ac:dyDescent="0.15">
      <c r="A77" s="1">
        <v>209</v>
      </c>
      <c r="B77" s="664" t="s">
        <v>2405</v>
      </c>
      <c r="C77" s="4" t="s">
        <v>4314</v>
      </c>
      <c r="D77" s="4" t="s">
        <v>4303</v>
      </c>
      <c r="E77" s="665" t="s">
        <v>4297</v>
      </c>
      <c r="F77" s="704">
        <v>10</v>
      </c>
      <c r="G77" s="1">
        <v>0</v>
      </c>
      <c r="H77" s="4" t="s">
        <v>4298</v>
      </c>
      <c r="I77" s="4" t="s">
        <v>4585</v>
      </c>
      <c r="J77" s="1"/>
    </row>
    <row r="78" spans="1:14" x14ac:dyDescent="0.15">
      <c r="A78" s="1">
        <v>234</v>
      </c>
      <c r="B78" s="664" t="s">
        <v>2903</v>
      </c>
      <c r="C78" s="4" t="s">
        <v>4314</v>
      </c>
      <c r="D78" s="4" t="s">
        <v>4303</v>
      </c>
      <c r="E78" s="665" t="s">
        <v>4297</v>
      </c>
      <c r="F78" s="1">
        <v>5</v>
      </c>
      <c r="G78" s="1">
        <v>1</v>
      </c>
      <c r="H78" s="4" t="s">
        <v>4304</v>
      </c>
      <c r="I78" s="759"/>
      <c r="J78" s="4" t="s">
        <v>4619</v>
      </c>
    </row>
    <row r="79" spans="1:14" x14ac:dyDescent="0.15">
      <c r="A79" s="1">
        <v>3</v>
      </c>
      <c r="B79" s="664" t="s">
        <v>3516</v>
      </c>
      <c r="C79" s="4" t="s">
        <v>1107</v>
      </c>
      <c r="D79" s="4" t="s">
        <v>4306</v>
      </c>
      <c r="E79" s="665" t="s">
        <v>4297</v>
      </c>
      <c r="F79" s="1">
        <v>17</v>
      </c>
      <c r="G79" s="1">
        <v>0</v>
      </c>
      <c r="H79" s="4" t="s">
        <v>4298</v>
      </c>
      <c r="I79" s="1" t="s">
        <v>4307</v>
      </c>
      <c r="J79" s="4" t="s">
        <v>4308</v>
      </c>
      <c r="K79" s="750" t="s">
        <v>4309</v>
      </c>
      <c r="L79" s="750"/>
      <c r="M79" s="750"/>
      <c r="N79" s="750"/>
    </row>
    <row r="80" spans="1:14" x14ac:dyDescent="0.15">
      <c r="A80" s="1">
        <v>7</v>
      </c>
      <c r="B80" s="664" t="s">
        <v>3366</v>
      </c>
      <c r="C80" s="4" t="s">
        <v>1107</v>
      </c>
      <c r="D80" s="4" t="s">
        <v>4306</v>
      </c>
      <c r="E80" s="665" t="s">
        <v>4297</v>
      </c>
      <c r="F80" s="1">
        <v>5</v>
      </c>
      <c r="G80" s="1">
        <v>0</v>
      </c>
      <c r="H80" s="4" t="s">
        <v>4315</v>
      </c>
      <c r="I80" s="1" t="s">
        <v>4316</v>
      </c>
      <c r="J80" s="759"/>
    </row>
    <row r="81" spans="1:15" x14ac:dyDescent="0.15">
      <c r="A81" s="1">
        <v>7</v>
      </c>
      <c r="B81" s="664" t="s">
        <v>3242</v>
      </c>
      <c r="C81" s="4" t="s">
        <v>1107</v>
      </c>
      <c r="D81" s="4" t="s">
        <v>4306</v>
      </c>
      <c r="E81" s="665" t="s">
        <v>4297</v>
      </c>
      <c r="F81" s="1">
        <v>17</v>
      </c>
      <c r="G81" s="1">
        <v>0</v>
      </c>
      <c r="H81" s="4" t="s">
        <v>4298</v>
      </c>
      <c r="I81" s="759" t="s">
        <v>4307</v>
      </c>
      <c r="J81" s="4" t="s">
        <v>4317</v>
      </c>
    </row>
    <row r="82" spans="1:15" x14ac:dyDescent="0.15">
      <c r="A82" s="1">
        <v>8</v>
      </c>
      <c r="B82" s="664" t="s">
        <v>3338</v>
      </c>
      <c r="C82" s="4" t="s">
        <v>1107</v>
      </c>
      <c r="D82" s="4" t="s">
        <v>4306</v>
      </c>
      <c r="E82" s="665" t="s">
        <v>4297</v>
      </c>
      <c r="F82" s="1">
        <v>9</v>
      </c>
      <c r="G82" s="1">
        <v>0</v>
      </c>
      <c r="H82" s="4" t="s">
        <v>4298</v>
      </c>
      <c r="I82" s="1" t="s">
        <v>4318</v>
      </c>
      <c r="J82" s="4" t="s">
        <v>4319</v>
      </c>
    </row>
    <row r="83" spans="1:15" x14ac:dyDescent="0.15">
      <c r="A83" s="1">
        <v>14</v>
      </c>
      <c r="B83" s="664" t="s">
        <v>441</v>
      </c>
      <c r="C83" s="4" t="s">
        <v>1107</v>
      </c>
      <c r="D83" s="4" t="s">
        <v>4306</v>
      </c>
      <c r="E83" s="665" t="s">
        <v>4297</v>
      </c>
      <c r="F83" s="1">
        <v>10</v>
      </c>
      <c r="G83" s="1">
        <v>1</v>
      </c>
      <c r="H83" s="4" t="s">
        <v>4304</v>
      </c>
      <c r="I83" s="759"/>
      <c r="J83" s="4" t="s">
        <v>4319</v>
      </c>
    </row>
    <row r="84" spans="1:15" x14ac:dyDescent="0.15">
      <c r="A84" s="1">
        <v>31</v>
      </c>
      <c r="B84" s="664" t="s">
        <v>3366</v>
      </c>
      <c r="C84" s="4" t="s">
        <v>1107</v>
      </c>
      <c r="D84" s="4" t="s">
        <v>4306</v>
      </c>
      <c r="E84" s="665" t="s">
        <v>4297</v>
      </c>
      <c r="F84" s="1">
        <v>-5</v>
      </c>
      <c r="G84" s="1">
        <v>0</v>
      </c>
      <c r="H84" s="4" t="s">
        <v>4298</v>
      </c>
      <c r="I84" s="4" t="s">
        <v>4360</v>
      </c>
      <c r="J84" s="759"/>
    </row>
    <row r="85" spans="1:15" x14ac:dyDescent="0.15">
      <c r="A85" s="1">
        <v>39</v>
      </c>
      <c r="B85" s="664" t="s">
        <v>3261</v>
      </c>
      <c r="C85" s="4" t="s">
        <v>1107</v>
      </c>
      <c r="D85" s="4" t="s">
        <v>4306</v>
      </c>
      <c r="E85" s="665" t="s">
        <v>4297</v>
      </c>
      <c r="F85" s="1">
        <v>20</v>
      </c>
      <c r="G85" s="1">
        <v>0</v>
      </c>
      <c r="H85" s="4" t="s">
        <v>4298</v>
      </c>
      <c r="I85" s="4" t="s">
        <v>4369</v>
      </c>
      <c r="J85" s="4" t="s">
        <v>4370</v>
      </c>
    </row>
    <row r="86" spans="1:15" x14ac:dyDescent="0.15">
      <c r="A86" s="1">
        <v>40</v>
      </c>
      <c r="B86" s="664" t="s">
        <v>422</v>
      </c>
      <c r="C86" s="4" t="s">
        <v>1107</v>
      </c>
      <c r="D86" s="4" t="s">
        <v>4306</v>
      </c>
      <c r="E86" s="665" t="s">
        <v>4297</v>
      </c>
      <c r="F86" s="1">
        <v>20</v>
      </c>
      <c r="G86" s="1">
        <v>1</v>
      </c>
      <c r="H86" s="4" t="s">
        <v>4304</v>
      </c>
      <c r="I86" s="4" t="s">
        <v>4369</v>
      </c>
      <c r="J86" s="4" t="s">
        <v>4373</v>
      </c>
    </row>
    <row r="87" spans="1:15" x14ac:dyDescent="0.15">
      <c r="A87" s="1">
        <v>41</v>
      </c>
      <c r="B87" s="664" t="s">
        <v>4374</v>
      </c>
      <c r="C87" s="4" t="s">
        <v>1107</v>
      </c>
      <c r="D87" s="4" t="s">
        <v>4306</v>
      </c>
      <c r="E87" s="665" t="s">
        <v>4297</v>
      </c>
      <c r="F87" s="1">
        <v>10</v>
      </c>
      <c r="G87" s="1">
        <v>0</v>
      </c>
      <c r="H87" s="4" t="s">
        <v>4298</v>
      </c>
      <c r="I87" s="759"/>
      <c r="J87" s="4" t="s">
        <v>4375</v>
      </c>
    </row>
    <row r="88" spans="1:15" x14ac:dyDescent="0.15">
      <c r="A88" s="1">
        <v>43</v>
      </c>
      <c r="B88" s="664" t="s">
        <v>3355</v>
      </c>
      <c r="C88" s="4" t="s">
        <v>1107</v>
      </c>
      <c r="D88" s="4" t="s">
        <v>4306</v>
      </c>
      <c r="E88" s="665" t="s">
        <v>4297</v>
      </c>
      <c r="F88" s="1">
        <v>10</v>
      </c>
      <c r="G88" s="1">
        <v>0</v>
      </c>
      <c r="H88" s="4" t="s">
        <v>4298</v>
      </c>
      <c r="I88" s="4" t="s">
        <v>4377</v>
      </c>
      <c r="J88" s="4" t="s">
        <v>4319</v>
      </c>
    </row>
    <row r="89" spans="1:15" x14ac:dyDescent="0.15">
      <c r="A89" s="1">
        <v>44</v>
      </c>
      <c r="B89" s="664" t="s">
        <v>444</v>
      </c>
      <c r="C89" s="4" t="s">
        <v>1107</v>
      </c>
      <c r="D89" s="4" t="s">
        <v>4306</v>
      </c>
      <c r="E89" s="665" t="s">
        <v>4297</v>
      </c>
      <c r="F89" s="1">
        <v>10</v>
      </c>
      <c r="G89" s="1">
        <v>1</v>
      </c>
      <c r="H89" s="4" t="s">
        <v>4304</v>
      </c>
      <c r="I89" s="1"/>
      <c r="J89" s="4" t="s">
        <v>4319</v>
      </c>
    </row>
    <row r="90" spans="1:15" x14ac:dyDescent="0.15">
      <c r="A90" s="1">
        <v>47</v>
      </c>
      <c r="B90" s="664" t="s">
        <v>3391</v>
      </c>
      <c r="C90" s="4" t="s">
        <v>1107</v>
      </c>
      <c r="D90" s="4" t="s">
        <v>4306</v>
      </c>
      <c r="E90" s="665" t="s">
        <v>4297</v>
      </c>
      <c r="F90" s="1">
        <v>10</v>
      </c>
      <c r="G90" s="1">
        <v>0</v>
      </c>
      <c r="H90" s="4" t="s">
        <v>4298</v>
      </c>
      <c r="I90" s="1"/>
      <c r="J90" s="4" t="s">
        <v>4379</v>
      </c>
    </row>
    <row r="91" spans="1:15" x14ac:dyDescent="0.15">
      <c r="A91" s="1">
        <v>50</v>
      </c>
      <c r="B91" s="664" t="s">
        <v>3372</v>
      </c>
      <c r="C91" s="4" t="s">
        <v>1107</v>
      </c>
      <c r="D91" s="4" t="s">
        <v>4306</v>
      </c>
      <c r="E91" s="665" t="s">
        <v>4297</v>
      </c>
      <c r="F91" s="1">
        <v>5</v>
      </c>
      <c r="G91" s="1">
        <v>1</v>
      </c>
      <c r="H91" s="4" t="s">
        <v>4304</v>
      </c>
      <c r="I91" s="759"/>
      <c r="J91" s="1" t="s">
        <v>4319</v>
      </c>
    </row>
    <row r="92" spans="1:15" x14ac:dyDescent="0.15">
      <c r="A92" s="1">
        <v>59</v>
      </c>
      <c r="B92" s="664" t="s">
        <v>3432</v>
      </c>
      <c r="C92" s="4" t="s">
        <v>1107</v>
      </c>
      <c r="D92" s="4" t="s">
        <v>4306</v>
      </c>
      <c r="E92" s="665" t="s">
        <v>4297</v>
      </c>
      <c r="F92" s="1">
        <v>10</v>
      </c>
      <c r="G92" s="1">
        <v>0</v>
      </c>
      <c r="H92" s="4" t="s">
        <v>4298</v>
      </c>
      <c r="I92" s="1"/>
      <c r="J92" s="759" t="s">
        <v>4389</v>
      </c>
    </row>
    <row r="93" spans="1:15" x14ac:dyDescent="0.15">
      <c r="A93" s="1">
        <v>80</v>
      </c>
      <c r="B93" s="664" t="s">
        <v>3390</v>
      </c>
      <c r="C93" s="4" t="s">
        <v>1107</v>
      </c>
      <c r="D93" s="4" t="s">
        <v>4306</v>
      </c>
      <c r="E93" s="665" t="s">
        <v>4297</v>
      </c>
      <c r="F93" s="1">
        <v>10</v>
      </c>
      <c r="G93" s="1">
        <v>1</v>
      </c>
      <c r="H93" s="4" t="s">
        <v>4304</v>
      </c>
      <c r="I93" s="1"/>
      <c r="J93" s="1" t="s">
        <v>4319</v>
      </c>
    </row>
    <row r="94" spans="1:15" x14ac:dyDescent="0.15">
      <c r="A94" s="1">
        <v>87</v>
      </c>
      <c r="B94" s="664" t="s">
        <v>4407</v>
      </c>
      <c r="C94" s="4" t="s">
        <v>1107</v>
      </c>
      <c r="D94" s="4" t="s">
        <v>4306</v>
      </c>
      <c r="E94" s="665" t="s">
        <v>4297</v>
      </c>
      <c r="F94" s="1">
        <v>10</v>
      </c>
      <c r="G94" s="1">
        <v>1</v>
      </c>
      <c r="H94" s="4" t="s">
        <v>4304</v>
      </c>
      <c r="I94" s="1"/>
      <c r="J94" s="1"/>
      <c r="K94" s="754" t="s">
        <v>6434</v>
      </c>
      <c r="L94" s="755" t="s">
        <v>6435</v>
      </c>
      <c r="M94" s="755"/>
      <c r="N94" s="97">
        <v>10</v>
      </c>
      <c r="O94" s="755" t="s">
        <v>6436</v>
      </c>
    </row>
    <row r="95" spans="1:15" x14ac:dyDescent="0.15">
      <c r="A95" s="1">
        <v>89</v>
      </c>
      <c r="B95" s="664" t="s">
        <v>72</v>
      </c>
      <c r="C95" s="4" t="s">
        <v>1107</v>
      </c>
      <c r="D95" s="4" t="s">
        <v>4306</v>
      </c>
      <c r="E95" s="665" t="s">
        <v>4297</v>
      </c>
      <c r="F95" s="1">
        <v>20</v>
      </c>
      <c r="G95" s="1">
        <v>1</v>
      </c>
      <c r="H95" s="4" t="s">
        <v>4304</v>
      </c>
      <c r="I95" s="1"/>
      <c r="J95" s="1" t="s">
        <v>4413</v>
      </c>
    </row>
    <row r="96" spans="1:15" x14ac:dyDescent="0.15">
      <c r="A96" s="1">
        <v>90</v>
      </c>
      <c r="B96" s="664" t="s">
        <v>4414</v>
      </c>
      <c r="C96" s="4" t="s">
        <v>1107</v>
      </c>
      <c r="D96" s="4" t="s">
        <v>4306</v>
      </c>
      <c r="E96" s="665" t="s">
        <v>4297</v>
      </c>
      <c r="F96" s="1">
        <v>5</v>
      </c>
      <c r="G96" s="1">
        <v>1</v>
      </c>
      <c r="H96" s="4" t="s">
        <v>4304</v>
      </c>
      <c r="I96" s="4" t="s">
        <v>4415</v>
      </c>
      <c r="J96" s="1"/>
    </row>
    <row r="97" spans="1:14" x14ac:dyDescent="0.15">
      <c r="A97" s="1">
        <v>111</v>
      </c>
      <c r="B97" s="664" t="s">
        <v>3336</v>
      </c>
      <c r="C97" s="4" t="s">
        <v>1107</v>
      </c>
      <c r="D97" s="4" t="s">
        <v>4306</v>
      </c>
      <c r="E97" s="665" t="s">
        <v>4297</v>
      </c>
      <c r="F97" s="1">
        <v>10</v>
      </c>
      <c r="G97" s="1">
        <v>1</v>
      </c>
      <c r="H97" s="4" t="s">
        <v>4304</v>
      </c>
      <c r="I97" s="1"/>
      <c r="J97" s="1"/>
    </row>
    <row r="98" spans="1:14" x14ac:dyDescent="0.15">
      <c r="A98" s="1">
        <v>142</v>
      </c>
      <c r="B98" s="664" t="s">
        <v>4500</v>
      </c>
      <c r="C98" s="4" t="s">
        <v>1107</v>
      </c>
      <c r="D98" s="4" t="s">
        <v>4306</v>
      </c>
      <c r="E98" s="665" t="s">
        <v>4297</v>
      </c>
      <c r="F98" s="1">
        <v>10</v>
      </c>
      <c r="G98" s="1">
        <v>2</v>
      </c>
      <c r="H98" s="4" t="s">
        <v>4334</v>
      </c>
      <c r="I98" s="1"/>
      <c r="J98" s="1"/>
      <c r="K98" s="754" t="s">
        <v>6502</v>
      </c>
      <c r="L98" s="755" t="s">
        <v>6503</v>
      </c>
      <c r="M98" s="97">
        <v>10</v>
      </c>
      <c r="N98" s="755" t="s">
        <v>6505</v>
      </c>
    </row>
    <row r="99" spans="1:14" x14ac:dyDescent="0.15">
      <c r="A99" s="1">
        <v>151</v>
      </c>
      <c r="B99" s="664" t="s">
        <v>3241</v>
      </c>
      <c r="C99" s="4" t="s">
        <v>1107</v>
      </c>
      <c r="D99" s="4" t="s">
        <v>4306</v>
      </c>
      <c r="E99" s="665" t="s">
        <v>4297</v>
      </c>
      <c r="F99" s="1">
        <v>10</v>
      </c>
      <c r="G99" s="1">
        <v>1</v>
      </c>
      <c r="H99" s="4" t="s">
        <v>4304</v>
      </c>
      <c r="I99" s="1"/>
      <c r="J99" s="1"/>
    </row>
    <row r="100" spans="1:14" x14ac:dyDescent="0.15">
      <c r="A100" s="1">
        <v>162</v>
      </c>
      <c r="B100" s="664" t="s">
        <v>4532</v>
      </c>
      <c r="C100" s="4" t="s">
        <v>1107</v>
      </c>
      <c r="D100" s="4" t="s">
        <v>4306</v>
      </c>
      <c r="E100" s="665" t="s">
        <v>4297</v>
      </c>
      <c r="F100" s="1">
        <v>5</v>
      </c>
      <c r="G100" s="1">
        <v>1</v>
      </c>
      <c r="H100" s="4" t="s">
        <v>4304</v>
      </c>
      <c r="I100" s="4" t="s">
        <v>4533</v>
      </c>
      <c r="J100" s="1"/>
    </row>
    <row r="101" spans="1:14" x14ac:dyDescent="0.15">
      <c r="A101" s="1">
        <v>171</v>
      </c>
      <c r="B101" s="664" t="s">
        <v>66</v>
      </c>
      <c r="C101" s="4" t="s">
        <v>1107</v>
      </c>
      <c r="D101" s="4" t="s">
        <v>4306</v>
      </c>
      <c r="E101" s="665" t="s">
        <v>4297</v>
      </c>
      <c r="F101" s="1">
        <v>34</v>
      </c>
      <c r="G101" s="1">
        <v>0</v>
      </c>
      <c r="H101" s="4" t="s">
        <v>4541</v>
      </c>
      <c r="I101" s="1" t="s">
        <v>4310</v>
      </c>
      <c r="J101" s="4" t="s">
        <v>4542</v>
      </c>
      <c r="K101" s="750" t="s">
        <v>4543</v>
      </c>
    </row>
    <row r="102" spans="1:14" x14ac:dyDescent="0.15">
      <c r="A102" s="1">
        <v>177</v>
      </c>
      <c r="B102" s="664" t="s">
        <v>1553</v>
      </c>
      <c r="C102" s="4" t="s">
        <v>1107</v>
      </c>
      <c r="D102" s="4" t="s">
        <v>4306</v>
      </c>
      <c r="E102" s="665" t="s">
        <v>4297</v>
      </c>
      <c r="F102" s="1">
        <v>20</v>
      </c>
      <c r="G102" s="1">
        <v>3</v>
      </c>
      <c r="H102" s="4" t="s">
        <v>4550</v>
      </c>
      <c r="I102" s="4" t="s">
        <v>4551</v>
      </c>
      <c r="J102" s="4" t="s">
        <v>4319</v>
      </c>
    </row>
    <row r="103" spans="1:14" x14ac:dyDescent="0.15">
      <c r="A103" s="1">
        <v>186</v>
      </c>
      <c r="B103" s="664" t="s">
        <v>1200</v>
      </c>
      <c r="C103" s="4" t="s">
        <v>1107</v>
      </c>
      <c r="D103" s="4" t="s">
        <v>4306</v>
      </c>
      <c r="E103" s="665" t="s">
        <v>4297</v>
      </c>
      <c r="F103" s="1">
        <v>20</v>
      </c>
      <c r="G103" s="1">
        <v>0</v>
      </c>
      <c r="H103" s="4" t="s">
        <v>4298</v>
      </c>
      <c r="I103" s="4" t="s">
        <v>4369</v>
      </c>
      <c r="J103" s="1" t="s">
        <v>4567</v>
      </c>
    </row>
    <row r="104" spans="1:14" x14ac:dyDescent="0.15">
      <c r="A104" s="1">
        <v>187</v>
      </c>
      <c r="B104" s="664" t="s">
        <v>6433</v>
      </c>
      <c r="C104" s="4" t="s">
        <v>1107</v>
      </c>
      <c r="D104" s="4" t="s">
        <v>4306</v>
      </c>
      <c r="E104" s="665" t="s">
        <v>4297</v>
      </c>
      <c r="F104" s="1">
        <v>10</v>
      </c>
      <c r="G104" s="1">
        <v>1</v>
      </c>
      <c r="H104" s="4" t="s">
        <v>4304</v>
      </c>
      <c r="I104" s="1"/>
      <c r="J104" s="4" t="s">
        <v>4319</v>
      </c>
    </row>
    <row r="105" spans="1:14" x14ac:dyDescent="0.15">
      <c r="A105" s="1">
        <v>192</v>
      </c>
      <c r="B105" s="664" t="s">
        <v>3564</v>
      </c>
      <c r="C105" s="4" t="s">
        <v>1107</v>
      </c>
      <c r="D105" s="4" t="s">
        <v>4306</v>
      </c>
      <c r="E105" s="665" t="s">
        <v>4297</v>
      </c>
      <c r="F105" s="1">
        <v>10</v>
      </c>
      <c r="G105" s="1">
        <v>1</v>
      </c>
      <c r="H105" s="4" t="s">
        <v>4304</v>
      </c>
      <c r="I105" s="1"/>
      <c r="J105" s="4" t="s">
        <v>4578</v>
      </c>
      <c r="K105" s="754" t="s">
        <v>6465</v>
      </c>
      <c r="L105" s="755" t="s">
        <v>6466</v>
      </c>
      <c r="M105" s="755" t="s">
        <v>6436</v>
      </c>
      <c r="N105" s="97">
        <v>10</v>
      </c>
    </row>
    <row r="106" spans="1:14" x14ac:dyDescent="0.15">
      <c r="A106" s="1">
        <v>196</v>
      </c>
      <c r="B106" s="664" t="s">
        <v>3366</v>
      </c>
      <c r="C106" s="4" t="s">
        <v>1107</v>
      </c>
      <c r="D106" s="4" t="s">
        <v>4303</v>
      </c>
      <c r="E106" s="665" t="s">
        <v>4297</v>
      </c>
      <c r="F106" s="1">
        <v>5</v>
      </c>
      <c r="G106" s="1">
        <v>0</v>
      </c>
      <c r="H106" s="4" t="s">
        <v>4298</v>
      </c>
      <c r="I106" s="4" t="s">
        <v>4581</v>
      </c>
      <c r="J106" s="1"/>
    </row>
    <row r="107" spans="1:14" x14ac:dyDescent="0.15">
      <c r="A107" s="1">
        <v>217</v>
      </c>
      <c r="B107" s="664" t="s">
        <v>3260</v>
      </c>
      <c r="C107" s="4" t="s">
        <v>1107</v>
      </c>
      <c r="D107" s="4" t="s">
        <v>4306</v>
      </c>
      <c r="E107" s="665" t="s">
        <v>4297</v>
      </c>
      <c r="F107" s="704">
        <v>20</v>
      </c>
      <c r="G107" s="1">
        <v>0</v>
      </c>
      <c r="H107" s="4" t="s">
        <v>4298</v>
      </c>
      <c r="I107" s="4" t="s">
        <v>4585</v>
      </c>
      <c r="J107" s="1" t="s">
        <v>4319</v>
      </c>
    </row>
    <row r="108" spans="1:14" x14ac:dyDescent="0.15">
      <c r="A108" s="1">
        <v>219</v>
      </c>
      <c r="B108" s="664" t="s">
        <v>3367</v>
      </c>
      <c r="C108" s="4" t="s">
        <v>1107</v>
      </c>
      <c r="D108" s="4" t="s">
        <v>4306</v>
      </c>
      <c r="E108" s="665" t="s">
        <v>4297</v>
      </c>
      <c r="F108" s="1">
        <v>10</v>
      </c>
      <c r="G108" s="1">
        <v>1</v>
      </c>
      <c r="H108" s="4" t="s">
        <v>4304</v>
      </c>
      <c r="I108" s="1"/>
      <c r="J108" s="4" t="s">
        <v>4319</v>
      </c>
    </row>
    <row r="109" spans="1:14" x14ac:dyDescent="0.15">
      <c r="A109" s="1">
        <v>231</v>
      </c>
      <c r="B109" s="664" t="s">
        <v>1113</v>
      </c>
      <c r="C109" s="4" t="s">
        <v>1107</v>
      </c>
      <c r="D109" s="4" t="s">
        <v>4306</v>
      </c>
      <c r="E109" s="665" t="s">
        <v>4297</v>
      </c>
      <c r="F109" s="1">
        <v>10</v>
      </c>
      <c r="G109" s="1">
        <v>3</v>
      </c>
      <c r="H109" s="4" t="s">
        <v>4334</v>
      </c>
      <c r="I109" s="1"/>
      <c r="J109" s="1"/>
    </row>
    <row r="110" spans="1:14" x14ac:dyDescent="0.15">
      <c r="A110" s="1">
        <v>232</v>
      </c>
      <c r="B110" s="664" t="s">
        <v>59</v>
      </c>
      <c r="C110" s="4" t="s">
        <v>1107</v>
      </c>
      <c r="D110" s="4" t="s">
        <v>4306</v>
      </c>
      <c r="E110" s="665" t="s">
        <v>4297</v>
      </c>
      <c r="F110" s="1">
        <v>5</v>
      </c>
      <c r="G110" s="1">
        <v>0</v>
      </c>
      <c r="H110" s="4" t="s">
        <v>4298</v>
      </c>
      <c r="I110" s="1"/>
      <c r="J110" s="759"/>
    </row>
    <row r="111" spans="1:14" x14ac:dyDescent="0.15">
      <c r="A111" s="1">
        <v>280</v>
      </c>
      <c r="B111" s="664" t="s">
        <v>1152</v>
      </c>
      <c r="C111" s="4" t="s">
        <v>1107</v>
      </c>
      <c r="D111" s="4" t="s">
        <v>4306</v>
      </c>
      <c r="E111" s="665" t="s">
        <v>4297</v>
      </c>
      <c r="F111" s="759">
        <v>10</v>
      </c>
      <c r="G111" s="1">
        <v>2</v>
      </c>
      <c r="H111" s="4" t="s">
        <v>4334</v>
      </c>
      <c r="I111" s="759"/>
      <c r="J111" s="1"/>
    </row>
    <row r="112" spans="1:14" x14ac:dyDescent="0.15">
      <c r="A112" s="1">
        <v>222</v>
      </c>
      <c r="B112" s="664" t="s">
        <v>3284</v>
      </c>
      <c r="C112" s="4" t="s">
        <v>4616</v>
      </c>
      <c r="D112" s="4" t="s">
        <v>4306</v>
      </c>
      <c r="E112" s="665" t="s">
        <v>4297</v>
      </c>
      <c r="F112" s="1">
        <v>10</v>
      </c>
      <c r="G112" s="1">
        <v>1</v>
      </c>
      <c r="H112" s="4" t="s">
        <v>4304</v>
      </c>
      <c r="I112" s="1"/>
      <c r="J112" s="1"/>
      <c r="M112" s="753" t="s">
        <v>6462</v>
      </c>
    </row>
    <row r="113" spans="1:15" x14ac:dyDescent="0.15">
      <c r="A113" s="1">
        <v>224</v>
      </c>
      <c r="B113" s="664" t="s">
        <v>1546</v>
      </c>
      <c r="C113" s="4" t="s">
        <v>4616</v>
      </c>
      <c r="D113" s="4" t="s">
        <v>4306</v>
      </c>
      <c r="E113" s="665" t="s">
        <v>4297</v>
      </c>
      <c r="F113" s="1">
        <v>10</v>
      </c>
      <c r="G113" s="1">
        <v>0</v>
      </c>
      <c r="H113" s="4" t="s">
        <v>4298</v>
      </c>
      <c r="I113" s="1"/>
      <c r="J113" s="1"/>
    </row>
    <row r="114" spans="1:15" x14ac:dyDescent="0.15">
      <c r="A114" s="1">
        <v>5</v>
      </c>
      <c r="B114" s="664" t="s">
        <v>1272</v>
      </c>
      <c r="C114" s="4" t="s">
        <v>3214</v>
      </c>
      <c r="D114" s="4" t="s">
        <v>4303</v>
      </c>
      <c r="E114" s="665" t="s">
        <v>4297</v>
      </c>
      <c r="F114" s="1">
        <v>10</v>
      </c>
      <c r="G114" s="1">
        <v>1</v>
      </c>
      <c r="H114" s="4" t="s">
        <v>4304</v>
      </c>
      <c r="I114" s="4" t="s">
        <v>3470</v>
      </c>
      <c r="J114" s="1"/>
    </row>
    <row r="115" spans="1:15" x14ac:dyDescent="0.15">
      <c r="A115" s="1">
        <v>30</v>
      </c>
      <c r="B115" s="664" t="s">
        <v>3448</v>
      </c>
      <c r="C115" s="4" t="s">
        <v>3214</v>
      </c>
      <c r="D115" s="4" t="s">
        <v>4303</v>
      </c>
      <c r="E115" s="665" t="s">
        <v>4297</v>
      </c>
      <c r="F115" s="1">
        <v>10</v>
      </c>
      <c r="G115" s="1">
        <v>0</v>
      </c>
      <c r="H115" s="4" t="s">
        <v>4298</v>
      </c>
      <c r="I115" s="4" t="s">
        <v>4357</v>
      </c>
      <c r="J115" s="1"/>
    </row>
    <row r="116" spans="1:15" x14ac:dyDescent="0.15">
      <c r="A116" s="1">
        <v>31</v>
      </c>
      <c r="B116" s="664" t="s">
        <v>3465</v>
      </c>
      <c r="C116" s="4" t="s">
        <v>3214</v>
      </c>
      <c r="D116" s="4" t="s">
        <v>4303</v>
      </c>
      <c r="E116" s="665" t="s">
        <v>4297</v>
      </c>
      <c r="F116" s="1">
        <v>30</v>
      </c>
      <c r="G116" s="1">
        <v>1</v>
      </c>
      <c r="H116" s="4" t="s">
        <v>4304</v>
      </c>
      <c r="I116" s="4" t="s">
        <v>4361</v>
      </c>
      <c r="J116" s="1"/>
    </row>
    <row r="117" spans="1:15" x14ac:dyDescent="0.15">
      <c r="A117" s="1">
        <v>32</v>
      </c>
      <c r="B117" s="664" t="s">
        <v>3459</v>
      </c>
      <c r="C117" s="4" t="s">
        <v>3214</v>
      </c>
      <c r="D117" s="4" t="s">
        <v>4303</v>
      </c>
      <c r="E117" s="665" t="s">
        <v>4297</v>
      </c>
      <c r="F117" s="1">
        <v>10</v>
      </c>
      <c r="G117" s="1">
        <v>1</v>
      </c>
      <c r="H117" s="4" t="s">
        <v>4304</v>
      </c>
      <c r="I117" s="4" t="s">
        <v>4362</v>
      </c>
      <c r="J117" s="1"/>
    </row>
    <row r="118" spans="1:15" x14ac:dyDescent="0.15">
      <c r="A118" s="1">
        <v>41</v>
      </c>
      <c r="B118" s="664" t="s">
        <v>3360</v>
      </c>
      <c r="C118" s="4" t="s">
        <v>3214</v>
      </c>
      <c r="D118" s="4" t="s">
        <v>4303</v>
      </c>
      <c r="E118" s="665" t="s">
        <v>4297</v>
      </c>
      <c r="F118" s="1">
        <v>20</v>
      </c>
      <c r="G118" s="1">
        <v>1</v>
      </c>
      <c r="H118" s="4" t="s">
        <v>4304</v>
      </c>
      <c r="I118" s="4" t="s">
        <v>3359</v>
      </c>
      <c r="J118" s="1"/>
    </row>
    <row r="119" spans="1:15" x14ac:dyDescent="0.15">
      <c r="A119" s="1">
        <v>82</v>
      </c>
      <c r="B119" s="664" t="s">
        <v>4405</v>
      </c>
      <c r="C119" s="4" t="s">
        <v>3214</v>
      </c>
      <c r="D119" s="4" t="s">
        <v>3223</v>
      </c>
      <c r="E119" s="665" t="s">
        <v>4297</v>
      </c>
      <c r="F119" s="1">
        <v>20</v>
      </c>
      <c r="G119" s="1">
        <v>0</v>
      </c>
      <c r="H119" s="4" t="s">
        <v>4298</v>
      </c>
      <c r="I119" s="1"/>
      <c r="J119" s="1"/>
    </row>
    <row r="120" spans="1:15" x14ac:dyDescent="0.15">
      <c r="A120" s="1">
        <v>109</v>
      </c>
      <c r="B120" s="664" t="s">
        <v>4448</v>
      </c>
      <c r="C120" s="4" t="s">
        <v>3214</v>
      </c>
      <c r="D120" s="4" t="s">
        <v>4303</v>
      </c>
      <c r="E120" s="665" t="s">
        <v>4297</v>
      </c>
      <c r="F120" s="1">
        <v>10</v>
      </c>
      <c r="G120" s="1">
        <v>1</v>
      </c>
      <c r="H120" s="4" t="s">
        <v>4304</v>
      </c>
      <c r="I120" s="4" t="s">
        <v>3376</v>
      </c>
      <c r="J120" s="1"/>
    </row>
    <row r="121" spans="1:15" x14ac:dyDescent="0.15">
      <c r="A121" s="1">
        <v>113</v>
      </c>
      <c r="B121" s="664" t="s">
        <v>3244</v>
      </c>
      <c r="C121" s="4" t="s">
        <v>3214</v>
      </c>
      <c r="D121" s="4" t="s">
        <v>4303</v>
      </c>
      <c r="E121" s="665" t="s">
        <v>4297</v>
      </c>
      <c r="F121" s="1">
        <v>10</v>
      </c>
      <c r="G121" s="1"/>
      <c r="H121" s="4" t="s">
        <v>4083</v>
      </c>
      <c r="I121" s="4" t="s">
        <v>4455</v>
      </c>
      <c r="J121" s="1"/>
    </row>
    <row r="122" spans="1:15" x14ac:dyDescent="0.15">
      <c r="A122" s="1">
        <v>139</v>
      </c>
      <c r="B122" s="664" t="s">
        <v>3530</v>
      </c>
      <c r="C122" s="4" t="s">
        <v>3214</v>
      </c>
      <c r="D122" s="4" t="s">
        <v>4303</v>
      </c>
      <c r="E122" s="665" t="s">
        <v>4297</v>
      </c>
      <c r="F122" s="1">
        <v>20</v>
      </c>
      <c r="G122" s="1">
        <v>1</v>
      </c>
      <c r="H122" s="4" t="s">
        <v>4304</v>
      </c>
      <c r="I122" s="4" t="s">
        <v>3529</v>
      </c>
      <c r="J122" s="4" t="s">
        <v>4494</v>
      </c>
    </row>
    <row r="123" spans="1:15" x14ac:dyDescent="0.15">
      <c r="A123" s="1">
        <v>141</v>
      </c>
      <c r="B123" s="664" t="s">
        <v>3526</v>
      </c>
      <c r="C123" s="4" t="s">
        <v>3214</v>
      </c>
      <c r="D123" s="4" t="s">
        <v>4303</v>
      </c>
      <c r="E123" s="665" t="s">
        <v>4297</v>
      </c>
      <c r="F123" s="1">
        <v>10</v>
      </c>
      <c r="G123" s="1">
        <v>0</v>
      </c>
      <c r="H123" s="4" t="s">
        <v>4298</v>
      </c>
      <c r="I123" s="4" t="s">
        <v>4497</v>
      </c>
      <c r="J123" s="4" t="s">
        <v>4498</v>
      </c>
    </row>
    <row r="124" spans="1:15" x14ac:dyDescent="0.15">
      <c r="A124" s="1">
        <v>156</v>
      </c>
      <c r="B124" s="664" t="s">
        <v>3431</v>
      </c>
      <c r="C124" s="4" t="s">
        <v>3214</v>
      </c>
      <c r="D124" s="4" t="s">
        <v>4303</v>
      </c>
      <c r="E124" s="665" t="s">
        <v>4297</v>
      </c>
      <c r="F124" s="1">
        <v>20</v>
      </c>
      <c r="G124" s="1">
        <v>1</v>
      </c>
      <c r="H124" s="4" t="s">
        <v>4526</v>
      </c>
      <c r="I124" s="4" t="s">
        <v>4527</v>
      </c>
      <c r="J124" s="1"/>
    </row>
    <row r="125" spans="1:15" x14ac:dyDescent="0.15">
      <c r="A125" s="1">
        <v>176</v>
      </c>
      <c r="B125" s="664" t="s">
        <v>3423</v>
      </c>
      <c r="C125" s="4" t="s">
        <v>3214</v>
      </c>
      <c r="D125" s="4" t="s">
        <v>4303</v>
      </c>
      <c r="E125" s="665" t="s">
        <v>4297</v>
      </c>
      <c r="F125" s="1">
        <v>20</v>
      </c>
      <c r="G125" s="1">
        <v>1</v>
      </c>
      <c r="H125" s="4" t="s">
        <v>4298</v>
      </c>
      <c r="I125" s="4" t="s">
        <v>3422</v>
      </c>
      <c r="J125" s="1"/>
    </row>
    <row r="126" spans="1:15" x14ac:dyDescent="0.15">
      <c r="A126" s="1">
        <v>221</v>
      </c>
      <c r="B126" s="664" t="s">
        <v>3311</v>
      </c>
      <c r="C126" s="4" t="s">
        <v>3214</v>
      </c>
      <c r="D126" s="4" t="s">
        <v>4303</v>
      </c>
      <c r="E126" s="665" t="s">
        <v>4297</v>
      </c>
      <c r="F126" s="1">
        <v>10</v>
      </c>
      <c r="G126" s="1"/>
      <c r="H126" s="4" t="s">
        <v>4298</v>
      </c>
      <c r="I126" s="4" t="s">
        <v>4615</v>
      </c>
      <c r="J126" s="4" t="s">
        <v>4369</v>
      </c>
      <c r="K126" s="754" t="s">
        <v>6460</v>
      </c>
      <c r="L126" s="755" t="s">
        <v>6461</v>
      </c>
      <c r="M126" s="755" t="s">
        <v>6459</v>
      </c>
      <c r="O126" s="97">
        <v>10</v>
      </c>
    </row>
    <row r="127" spans="1:15" x14ac:dyDescent="0.15">
      <c r="A127" s="1">
        <v>225</v>
      </c>
      <c r="B127" s="664" t="s">
        <v>3440</v>
      </c>
      <c r="C127" s="4" t="s">
        <v>3214</v>
      </c>
      <c r="D127" s="4" t="s">
        <v>4303</v>
      </c>
      <c r="E127" s="665" t="s">
        <v>4297</v>
      </c>
      <c r="F127" s="1">
        <v>10</v>
      </c>
      <c r="G127" s="1">
        <v>0</v>
      </c>
      <c r="H127" s="4" t="s">
        <v>4083</v>
      </c>
      <c r="I127" s="4" t="s">
        <v>3439</v>
      </c>
      <c r="J127" s="1"/>
    </row>
    <row r="128" spans="1:15" x14ac:dyDescent="0.15">
      <c r="A128" s="1"/>
      <c r="B128" s="664" t="s">
        <v>1421</v>
      </c>
      <c r="C128" s="4" t="s">
        <v>3214</v>
      </c>
      <c r="D128" s="4" t="s">
        <v>4303</v>
      </c>
      <c r="E128" s="665" t="s">
        <v>4297</v>
      </c>
      <c r="F128" s="1">
        <v>50</v>
      </c>
      <c r="G128" s="1">
        <v>1</v>
      </c>
      <c r="H128" s="4" t="s">
        <v>4304</v>
      </c>
      <c r="I128" s="4" t="s">
        <v>3376</v>
      </c>
      <c r="J128" s="1"/>
    </row>
    <row r="129" spans="1:15" x14ac:dyDescent="0.15">
      <c r="A129" s="1"/>
      <c r="B129" s="664" t="s">
        <v>1425</v>
      </c>
      <c r="C129" s="4" t="s">
        <v>3214</v>
      </c>
      <c r="D129" s="4" t="s">
        <v>4303</v>
      </c>
      <c r="E129" s="665" t="s">
        <v>4297</v>
      </c>
      <c r="F129" s="1">
        <v>20</v>
      </c>
      <c r="G129" s="1">
        <v>0</v>
      </c>
      <c r="H129" s="4" t="s">
        <v>4298</v>
      </c>
      <c r="I129" s="4" t="s">
        <v>4666</v>
      </c>
      <c r="J129" s="1"/>
    </row>
    <row r="130" spans="1:15" x14ac:dyDescent="0.15">
      <c r="A130" s="1">
        <v>114</v>
      </c>
      <c r="B130" s="664" t="s">
        <v>4457</v>
      </c>
      <c r="C130" s="4" t="s">
        <v>4074</v>
      </c>
      <c r="D130" s="4" t="s">
        <v>4296</v>
      </c>
      <c r="E130" s="665" t="s">
        <v>4297</v>
      </c>
      <c r="F130" s="1">
        <v>20</v>
      </c>
      <c r="G130" s="1">
        <v>2</v>
      </c>
      <c r="H130" s="4" t="s">
        <v>4334</v>
      </c>
      <c r="I130" s="1"/>
      <c r="J130" s="1"/>
    </row>
    <row r="131" spans="1:15" x14ac:dyDescent="0.15">
      <c r="A131" s="1">
        <v>115</v>
      </c>
      <c r="B131" s="664" t="s">
        <v>1292</v>
      </c>
      <c r="C131" s="4" t="s">
        <v>4074</v>
      </c>
      <c r="D131" s="4" t="s">
        <v>4296</v>
      </c>
      <c r="E131" s="665" t="s">
        <v>4297</v>
      </c>
      <c r="F131" s="1">
        <v>10</v>
      </c>
      <c r="G131" s="1">
        <v>0</v>
      </c>
      <c r="H131" s="4" t="s">
        <v>4298</v>
      </c>
      <c r="I131" s="1"/>
      <c r="J131" s="1"/>
    </row>
    <row r="132" spans="1:15" x14ac:dyDescent="0.15">
      <c r="A132" s="1">
        <v>208</v>
      </c>
      <c r="B132" s="664" t="s">
        <v>4601</v>
      </c>
      <c r="C132" s="4" t="s">
        <v>4074</v>
      </c>
      <c r="D132" s="4" t="s">
        <v>4296</v>
      </c>
      <c r="E132" s="665" t="s">
        <v>4297</v>
      </c>
      <c r="F132" s="1">
        <v>10</v>
      </c>
      <c r="G132" s="1">
        <v>0</v>
      </c>
      <c r="H132" s="4" t="s">
        <v>4298</v>
      </c>
      <c r="I132" s="1"/>
      <c r="J132" s="1"/>
    </row>
    <row r="133" spans="1:15" x14ac:dyDescent="0.15">
      <c r="A133" s="1">
        <v>209</v>
      </c>
      <c r="B133" s="664" t="s">
        <v>511</v>
      </c>
      <c r="C133" s="4" t="s">
        <v>4074</v>
      </c>
      <c r="D133" s="4" t="s">
        <v>4296</v>
      </c>
      <c r="E133" s="665" t="s">
        <v>4297</v>
      </c>
      <c r="F133" s="1">
        <v>50</v>
      </c>
      <c r="G133" s="1">
        <v>1</v>
      </c>
      <c r="H133" s="4" t="s">
        <v>4304</v>
      </c>
      <c r="I133" s="4" t="s">
        <v>4321</v>
      </c>
      <c r="J133" s="1"/>
    </row>
    <row r="134" spans="1:15" x14ac:dyDescent="0.15">
      <c r="A134" s="1">
        <v>216</v>
      </c>
      <c r="B134" s="664" t="s">
        <v>4609</v>
      </c>
      <c r="C134" s="4" t="s">
        <v>4074</v>
      </c>
      <c r="D134" s="4" t="s">
        <v>4296</v>
      </c>
      <c r="E134" s="665" t="s">
        <v>4297</v>
      </c>
      <c r="F134" s="1">
        <v>10</v>
      </c>
      <c r="G134" s="1">
        <v>1</v>
      </c>
      <c r="H134" s="4" t="s">
        <v>4304</v>
      </c>
      <c r="I134" s="1"/>
      <c r="J134" s="1"/>
    </row>
    <row r="135" spans="1:15" x14ac:dyDescent="0.15">
      <c r="A135" s="1">
        <v>217</v>
      </c>
      <c r="B135" s="664" t="s">
        <v>4610</v>
      </c>
      <c r="C135" s="4" t="s">
        <v>4074</v>
      </c>
      <c r="D135" s="4" t="s">
        <v>4296</v>
      </c>
      <c r="E135" s="665" t="s">
        <v>4297</v>
      </c>
      <c r="F135" s="1">
        <v>10</v>
      </c>
      <c r="G135" s="1">
        <v>2</v>
      </c>
      <c r="H135" s="4" t="s">
        <v>4334</v>
      </c>
      <c r="I135" s="1"/>
      <c r="J135" s="1"/>
    </row>
    <row r="136" spans="1:15" x14ac:dyDescent="0.15">
      <c r="A136" s="1">
        <v>22</v>
      </c>
      <c r="B136" s="664" t="s">
        <v>652</v>
      </c>
      <c r="C136" s="4" t="s">
        <v>651</v>
      </c>
      <c r="D136" s="4" t="s">
        <v>4303</v>
      </c>
      <c r="E136" s="665" t="s">
        <v>4297</v>
      </c>
      <c r="F136" s="1">
        <v>10</v>
      </c>
      <c r="G136" s="1">
        <v>0</v>
      </c>
      <c r="H136" s="4" t="s">
        <v>4298</v>
      </c>
      <c r="I136" s="1"/>
      <c r="K136" s="754" t="s">
        <v>6501</v>
      </c>
      <c r="L136" s="758" t="s">
        <v>6497</v>
      </c>
      <c r="M136" s="755" t="s">
        <v>6498</v>
      </c>
      <c r="N136" s="97">
        <v>5</v>
      </c>
      <c r="O136" s="753" t="s">
        <v>6500</v>
      </c>
    </row>
    <row r="137" spans="1:15" x14ac:dyDescent="0.15">
      <c r="A137" s="1">
        <v>23</v>
      </c>
      <c r="B137" s="664" t="s">
        <v>680</v>
      </c>
      <c r="C137" s="4" t="s">
        <v>651</v>
      </c>
      <c r="D137" s="4" t="s">
        <v>4303</v>
      </c>
      <c r="E137" s="665" t="s">
        <v>4297</v>
      </c>
      <c r="F137" s="1">
        <v>10</v>
      </c>
      <c r="G137" s="1">
        <v>0</v>
      </c>
      <c r="H137" s="4" t="s">
        <v>4298</v>
      </c>
      <c r="I137" s="1"/>
      <c r="J137" s="1"/>
    </row>
    <row r="138" spans="1:15" x14ac:dyDescent="0.15">
      <c r="A138" s="1">
        <v>23</v>
      </c>
      <c r="B138" s="664" t="s">
        <v>2687</v>
      </c>
      <c r="C138" s="4" t="s">
        <v>651</v>
      </c>
      <c r="D138" s="4" t="s">
        <v>4303</v>
      </c>
      <c r="E138" s="665" t="s">
        <v>4297</v>
      </c>
      <c r="F138" s="1">
        <v>10</v>
      </c>
      <c r="G138" s="1">
        <v>1</v>
      </c>
      <c r="H138" s="4" t="s">
        <v>4304</v>
      </c>
      <c r="I138" s="759"/>
      <c r="K138" s="754" t="s">
        <v>6490</v>
      </c>
      <c r="L138" s="4" t="s">
        <v>6489</v>
      </c>
      <c r="M138" s="755" t="s">
        <v>6493</v>
      </c>
      <c r="N138" s="97">
        <v>10</v>
      </c>
    </row>
    <row r="139" spans="1:15" x14ac:dyDescent="0.15">
      <c r="A139" s="1">
        <v>29</v>
      </c>
      <c r="B139" s="664" t="s">
        <v>4356</v>
      </c>
      <c r="C139" s="4" t="s">
        <v>651</v>
      </c>
      <c r="D139" s="4" t="s">
        <v>4303</v>
      </c>
      <c r="E139" s="665" t="s">
        <v>4297</v>
      </c>
      <c r="F139" s="1">
        <v>10</v>
      </c>
      <c r="G139" s="1">
        <v>0</v>
      </c>
      <c r="H139" s="4" t="s">
        <v>4298</v>
      </c>
      <c r="I139" s="1"/>
      <c r="J139" s="1"/>
    </row>
    <row r="140" spans="1:15" x14ac:dyDescent="0.15">
      <c r="A140" s="1">
        <v>40</v>
      </c>
      <c r="B140" s="664" t="s">
        <v>672</v>
      </c>
      <c r="C140" s="4" t="s">
        <v>651</v>
      </c>
      <c r="D140" s="4" t="s">
        <v>4303</v>
      </c>
      <c r="E140" s="665" t="s">
        <v>4297</v>
      </c>
      <c r="F140" s="1">
        <v>10</v>
      </c>
      <c r="G140" s="1">
        <v>0</v>
      </c>
      <c r="H140" s="4" t="s">
        <v>4298</v>
      </c>
      <c r="I140" s="1"/>
      <c r="J140" s="759"/>
    </row>
    <row r="141" spans="1:15" x14ac:dyDescent="0.15">
      <c r="A141" s="1">
        <v>43</v>
      </c>
      <c r="B141" s="664" t="s">
        <v>143</v>
      </c>
      <c r="C141" s="4" t="s">
        <v>651</v>
      </c>
      <c r="D141" s="4" t="s">
        <v>4303</v>
      </c>
      <c r="E141" s="665" t="s">
        <v>4297</v>
      </c>
      <c r="F141" s="1">
        <v>20</v>
      </c>
      <c r="G141" s="1">
        <v>1</v>
      </c>
      <c r="H141" s="4" t="s">
        <v>4304</v>
      </c>
      <c r="I141" s="1"/>
      <c r="J141" s="1"/>
    </row>
    <row r="142" spans="1:15" x14ac:dyDescent="0.15">
      <c r="A142" s="1">
        <v>67</v>
      </c>
      <c r="B142" s="664" t="s">
        <v>676</v>
      </c>
      <c r="C142" s="4" t="s">
        <v>651</v>
      </c>
      <c r="D142" s="4" t="s">
        <v>4303</v>
      </c>
      <c r="E142" s="665" t="s">
        <v>4297</v>
      </c>
      <c r="F142" s="1">
        <v>10</v>
      </c>
      <c r="G142" s="1">
        <v>1</v>
      </c>
      <c r="H142" s="4" t="s">
        <v>4304</v>
      </c>
      <c r="I142" s="1"/>
      <c r="J142" s="1"/>
    </row>
    <row r="143" spans="1:15" x14ac:dyDescent="0.15">
      <c r="A143" s="1">
        <v>72</v>
      </c>
      <c r="B143" s="664" t="s">
        <v>662</v>
      </c>
      <c r="C143" s="4" t="s">
        <v>651</v>
      </c>
      <c r="D143" s="4" t="s">
        <v>4303</v>
      </c>
      <c r="E143" s="665" t="s">
        <v>4297</v>
      </c>
      <c r="F143" s="1">
        <v>10</v>
      </c>
      <c r="G143" s="1">
        <v>1</v>
      </c>
      <c r="H143" s="4" t="s">
        <v>4304</v>
      </c>
      <c r="I143" s="1"/>
      <c r="J143" s="1"/>
    </row>
    <row r="144" spans="1:15" x14ac:dyDescent="0.15">
      <c r="A144" s="1">
        <v>83</v>
      </c>
      <c r="B144" s="664" t="s">
        <v>665</v>
      </c>
      <c r="C144" s="4" t="s">
        <v>651</v>
      </c>
      <c r="D144" s="4" t="s">
        <v>4303</v>
      </c>
      <c r="E144" s="665" t="s">
        <v>4297</v>
      </c>
      <c r="F144" s="1">
        <v>10</v>
      </c>
      <c r="G144" s="1">
        <v>1</v>
      </c>
      <c r="H144" s="4" t="s">
        <v>4304</v>
      </c>
      <c r="I144" s="1"/>
      <c r="J144" s="1"/>
    </row>
    <row r="145" spans="1:15" x14ac:dyDescent="0.15">
      <c r="A145" s="1">
        <v>84</v>
      </c>
      <c r="B145" s="664" t="s">
        <v>2616</v>
      </c>
      <c r="C145" s="4" t="s">
        <v>651</v>
      </c>
      <c r="D145" s="4" t="s">
        <v>4303</v>
      </c>
      <c r="E145" s="665" t="s">
        <v>4297</v>
      </c>
      <c r="F145" s="1">
        <v>10</v>
      </c>
      <c r="G145" s="1">
        <v>1</v>
      </c>
      <c r="H145" s="4" t="s">
        <v>4304</v>
      </c>
      <c r="I145" s="1"/>
      <c r="J145" s="1"/>
    </row>
    <row r="146" spans="1:15" x14ac:dyDescent="0.15">
      <c r="A146" s="1">
        <v>86</v>
      </c>
      <c r="B146" s="664" t="s">
        <v>2589</v>
      </c>
      <c r="C146" s="4" t="s">
        <v>651</v>
      </c>
      <c r="D146" s="4" t="s">
        <v>4303</v>
      </c>
      <c r="E146" s="665" t="s">
        <v>4297</v>
      </c>
      <c r="F146" s="1">
        <v>10</v>
      </c>
      <c r="G146" s="1">
        <v>1</v>
      </c>
      <c r="H146" s="4" t="s">
        <v>4304</v>
      </c>
      <c r="I146" s="1"/>
      <c r="J146" s="1"/>
    </row>
    <row r="147" spans="1:15" x14ac:dyDescent="0.15">
      <c r="A147" s="1">
        <v>89</v>
      </c>
      <c r="B147" s="664" t="s">
        <v>674</v>
      </c>
      <c r="C147" s="4" t="s">
        <v>651</v>
      </c>
      <c r="D147" s="4" t="s">
        <v>4303</v>
      </c>
      <c r="E147" s="665" t="s">
        <v>4297</v>
      </c>
      <c r="F147" s="1">
        <v>10</v>
      </c>
      <c r="G147" s="1">
        <v>1</v>
      </c>
      <c r="H147" s="4" t="s">
        <v>4304</v>
      </c>
      <c r="I147" s="1"/>
      <c r="J147" s="1"/>
    </row>
    <row r="148" spans="1:15" x14ac:dyDescent="0.15">
      <c r="A148" s="1">
        <v>118</v>
      </c>
      <c r="B148" s="664" t="s">
        <v>2612</v>
      </c>
      <c r="C148" s="4" t="s">
        <v>651</v>
      </c>
      <c r="D148" s="4" t="s">
        <v>4303</v>
      </c>
      <c r="E148" s="665" t="s">
        <v>4297</v>
      </c>
      <c r="F148" s="1">
        <v>20</v>
      </c>
      <c r="G148" s="1">
        <v>1</v>
      </c>
      <c r="H148" s="4" t="s">
        <v>4304</v>
      </c>
      <c r="I148" s="4" t="s">
        <v>4465</v>
      </c>
      <c r="J148" s="1"/>
    </row>
    <row r="149" spans="1:15" x14ac:dyDescent="0.15">
      <c r="A149" s="1">
        <v>127</v>
      </c>
      <c r="B149" s="664" t="s">
        <v>2636</v>
      </c>
      <c r="C149" s="4" t="s">
        <v>651</v>
      </c>
      <c r="D149" s="4" t="s">
        <v>4303</v>
      </c>
      <c r="E149" s="665" t="s">
        <v>4297</v>
      </c>
      <c r="F149" s="1">
        <v>10</v>
      </c>
      <c r="G149" s="1">
        <v>1</v>
      </c>
      <c r="H149" s="4" t="s">
        <v>4304</v>
      </c>
      <c r="I149" s="1"/>
      <c r="J149" s="1"/>
      <c r="K149" s="754" t="s">
        <v>6447</v>
      </c>
      <c r="L149" s="755" t="s">
        <v>6435</v>
      </c>
      <c r="M149" s="755"/>
      <c r="N149" s="753" t="s">
        <v>6448</v>
      </c>
      <c r="O149" s="97">
        <v>10</v>
      </c>
    </row>
    <row r="150" spans="1:15" x14ac:dyDescent="0.15">
      <c r="A150" s="1">
        <v>195</v>
      </c>
      <c r="B150" s="664" t="s">
        <v>2641</v>
      </c>
      <c r="C150" s="4" t="s">
        <v>651</v>
      </c>
      <c r="D150" s="4" t="s">
        <v>4303</v>
      </c>
      <c r="E150" s="665" t="s">
        <v>4297</v>
      </c>
      <c r="F150" s="1">
        <v>10</v>
      </c>
      <c r="G150" s="1">
        <v>0</v>
      </c>
      <c r="H150" s="4" t="s">
        <v>4298</v>
      </c>
      <c r="I150" s="4" t="s">
        <v>4581</v>
      </c>
      <c r="J150" s="1"/>
    </row>
    <row r="151" spans="1:15" x14ac:dyDescent="0.15">
      <c r="A151" s="1">
        <v>211</v>
      </c>
      <c r="B151" s="664" t="s">
        <v>684</v>
      </c>
      <c r="C151" s="4" t="s">
        <v>651</v>
      </c>
      <c r="D151" s="4" t="s">
        <v>4303</v>
      </c>
      <c r="E151" s="665" t="s">
        <v>4297</v>
      </c>
      <c r="F151" s="704">
        <v>10</v>
      </c>
      <c r="G151" s="1">
        <v>0</v>
      </c>
      <c r="H151" s="4" t="s">
        <v>4298</v>
      </c>
      <c r="I151" s="4" t="s">
        <v>4585</v>
      </c>
      <c r="J151" s="4" t="s">
        <v>4315</v>
      </c>
    </row>
    <row r="152" spans="1:15" x14ac:dyDescent="0.15">
      <c r="A152" s="1">
        <v>212</v>
      </c>
      <c r="B152" s="664" t="s">
        <v>651</v>
      </c>
      <c r="C152" s="4" t="s">
        <v>651</v>
      </c>
      <c r="D152" s="4" t="s">
        <v>4303</v>
      </c>
      <c r="E152" s="665" t="s">
        <v>4297</v>
      </c>
      <c r="F152" s="704">
        <v>30</v>
      </c>
      <c r="G152" s="1">
        <v>0</v>
      </c>
      <c r="H152" s="4" t="s">
        <v>4298</v>
      </c>
      <c r="I152" s="4" t="s">
        <v>4585</v>
      </c>
      <c r="J152" s="1"/>
    </row>
    <row r="153" spans="1:15" x14ac:dyDescent="0.15">
      <c r="A153" s="1">
        <v>216</v>
      </c>
      <c r="B153" s="664" t="s">
        <v>2553</v>
      </c>
      <c r="C153" s="4" t="s">
        <v>651</v>
      </c>
      <c r="D153" s="4" t="s">
        <v>4303</v>
      </c>
      <c r="E153" s="665" t="s">
        <v>4297</v>
      </c>
      <c r="F153" s="1">
        <v>10</v>
      </c>
      <c r="G153" s="1">
        <v>0</v>
      </c>
      <c r="H153" s="4" t="s">
        <v>4298</v>
      </c>
      <c r="I153" s="1"/>
      <c r="J153" s="1"/>
    </row>
    <row r="154" spans="1:15" x14ac:dyDescent="0.15">
      <c r="A154" s="1">
        <v>227</v>
      </c>
      <c r="B154" s="664" t="s">
        <v>2536</v>
      </c>
      <c r="C154" s="4" t="s">
        <v>651</v>
      </c>
      <c r="D154" s="4" t="s">
        <v>4303</v>
      </c>
      <c r="E154" s="665" t="s">
        <v>4297</v>
      </c>
      <c r="F154" s="1">
        <v>10</v>
      </c>
      <c r="G154" s="1">
        <v>1</v>
      </c>
      <c r="H154" s="4" t="s">
        <v>4304</v>
      </c>
      <c r="I154" s="1"/>
      <c r="J154" s="1"/>
    </row>
    <row r="155" spans="1:15" x14ac:dyDescent="0.15">
      <c r="A155" s="1">
        <v>2</v>
      </c>
      <c r="B155" s="664" t="s">
        <v>3316</v>
      </c>
      <c r="C155" s="4" t="s">
        <v>4295</v>
      </c>
      <c r="D155" s="4" t="s">
        <v>4296</v>
      </c>
      <c r="E155" s="665" t="s">
        <v>4297</v>
      </c>
      <c r="F155" s="1">
        <v>14</v>
      </c>
      <c r="G155" s="1">
        <v>0</v>
      </c>
      <c r="H155" s="4" t="s">
        <v>4298</v>
      </c>
      <c r="I155" s="1" t="s">
        <v>4299</v>
      </c>
      <c r="J155" s="1"/>
    </row>
    <row r="156" spans="1:15" x14ac:dyDescent="0.15">
      <c r="A156" s="1">
        <v>4</v>
      </c>
      <c r="B156" s="664" t="s">
        <v>694</v>
      </c>
      <c r="C156" s="4" t="s">
        <v>4295</v>
      </c>
      <c r="D156" s="4" t="s">
        <v>4296</v>
      </c>
      <c r="E156" s="665" t="s">
        <v>4297</v>
      </c>
      <c r="F156" s="1">
        <v>34</v>
      </c>
      <c r="G156" s="1">
        <v>0</v>
      </c>
      <c r="H156" s="4" t="s">
        <v>4298</v>
      </c>
      <c r="I156" s="1" t="s">
        <v>4310</v>
      </c>
      <c r="J156" s="1"/>
    </row>
    <row r="157" spans="1:15" x14ac:dyDescent="0.15">
      <c r="A157" s="1">
        <v>11</v>
      </c>
      <c r="B157" s="664" t="s">
        <v>4328</v>
      </c>
      <c r="C157" s="4" t="s">
        <v>4295</v>
      </c>
      <c r="D157" s="4" t="s">
        <v>4296</v>
      </c>
      <c r="E157" s="665" t="s">
        <v>4297</v>
      </c>
      <c r="F157" s="1">
        <v>34</v>
      </c>
      <c r="G157" s="1">
        <v>0</v>
      </c>
      <c r="H157" s="4" t="s">
        <v>4298</v>
      </c>
      <c r="I157" s="2" t="s">
        <v>4329</v>
      </c>
      <c r="J157" s="1"/>
    </row>
    <row r="158" spans="1:15" x14ac:dyDescent="0.15">
      <c r="A158" s="1">
        <v>12</v>
      </c>
      <c r="B158" s="664" t="s">
        <v>4330</v>
      </c>
      <c r="C158" s="4" t="s">
        <v>4295</v>
      </c>
      <c r="D158" s="4" t="s">
        <v>4296</v>
      </c>
      <c r="E158" s="665" t="s">
        <v>4297</v>
      </c>
      <c r="F158" s="1">
        <v>9</v>
      </c>
      <c r="G158" s="1">
        <v>0</v>
      </c>
      <c r="H158" s="4" t="s">
        <v>4298</v>
      </c>
      <c r="I158" s="663" t="s">
        <v>4331</v>
      </c>
      <c r="J158" s="1"/>
    </row>
    <row r="159" spans="1:15" x14ac:dyDescent="0.15">
      <c r="A159" s="1">
        <v>13</v>
      </c>
      <c r="B159" s="664" t="s">
        <v>4332</v>
      </c>
      <c r="C159" s="4" t="s">
        <v>4295</v>
      </c>
      <c r="D159" s="4" t="s">
        <v>4296</v>
      </c>
      <c r="E159" s="665" t="s">
        <v>4297</v>
      </c>
      <c r="F159" s="1">
        <v>10</v>
      </c>
      <c r="G159" s="1">
        <v>0</v>
      </c>
      <c r="H159" s="4" t="s">
        <v>4298</v>
      </c>
      <c r="I159" s="1"/>
      <c r="J159" s="1"/>
    </row>
    <row r="160" spans="1:15" x14ac:dyDescent="0.15">
      <c r="A160" s="1">
        <v>14</v>
      </c>
      <c r="B160" s="664" t="s">
        <v>4335</v>
      </c>
      <c r="C160" s="4" t="s">
        <v>4295</v>
      </c>
      <c r="D160" s="4" t="s">
        <v>4296</v>
      </c>
      <c r="E160" s="665" t="s">
        <v>4297</v>
      </c>
      <c r="F160" s="1">
        <v>9</v>
      </c>
      <c r="G160" s="1">
        <v>0</v>
      </c>
      <c r="H160" s="4" t="s">
        <v>4298</v>
      </c>
      <c r="I160" s="4" t="s">
        <v>4331</v>
      </c>
      <c r="J160" s="1"/>
    </row>
    <row r="161" spans="1:15" x14ac:dyDescent="0.15">
      <c r="A161" s="1">
        <v>16</v>
      </c>
      <c r="B161" s="664" t="s">
        <v>4337</v>
      </c>
      <c r="C161" s="4" t="s">
        <v>4295</v>
      </c>
      <c r="D161" s="4" t="s">
        <v>4296</v>
      </c>
      <c r="E161" s="665" t="s">
        <v>4297</v>
      </c>
      <c r="F161" s="1">
        <v>9</v>
      </c>
      <c r="G161" s="1">
        <v>0</v>
      </c>
      <c r="H161" s="4" t="s">
        <v>4298</v>
      </c>
      <c r="I161" s="4" t="s">
        <v>4331</v>
      </c>
      <c r="J161" s="1"/>
    </row>
    <row r="162" spans="1:15" x14ac:dyDescent="0.15">
      <c r="A162" s="1">
        <v>17</v>
      </c>
      <c r="B162" s="664" t="s">
        <v>4338</v>
      </c>
      <c r="C162" s="4" t="s">
        <v>4295</v>
      </c>
      <c r="D162" s="4" t="s">
        <v>4296</v>
      </c>
      <c r="E162" s="665" t="s">
        <v>4297</v>
      </c>
      <c r="F162" s="1">
        <v>17</v>
      </c>
      <c r="G162" s="1">
        <v>0</v>
      </c>
      <c r="H162" s="4" t="s">
        <v>4298</v>
      </c>
      <c r="I162" s="4" t="s">
        <v>4339</v>
      </c>
      <c r="J162" s="1"/>
    </row>
    <row r="163" spans="1:15" x14ac:dyDescent="0.15">
      <c r="A163" s="1">
        <v>18</v>
      </c>
      <c r="B163" s="664" t="s">
        <v>4340</v>
      </c>
      <c r="C163" s="4" t="s">
        <v>4295</v>
      </c>
      <c r="D163" s="4" t="s">
        <v>4296</v>
      </c>
      <c r="E163" s="665" t="s">
        <v>4297</v>
      </c>
      <c r="F163" s="1">
        <v>9</v>
      </c>
      <c r="G163" s="1">
        <v>0</v>
      </c>
      <c r="H163" s="4" t="s">
        <v>4298</v>
      </c>
      <c r="I163" s="4" t="s">
        <v>4331</v>
      </c>
      <c r="J163" s="759"/>
    </row>
    <row r="164" spans="1:15" x14ac:dyDescent="0.15">
      <c r="A164" s="1">
        <v>19</v>
      </c>
      <c r="B164" s="664" t="s">
        <v>4341</v>
      </c>
      <c r="C164" s="4" t="s">
        <v>4295</v>
      </c>
      <c r="D164" s="4" t="s">
        <v>4296</v>
      </c>
      <c r="E164" s="665" t="s">
        <v>4297</v>
      </c>
      <c r="F164" s="1">
        <v>9</v>
      </c>
      <c r="G164" s="1">
        <v>0</v>
      </c>
      <c r="H164" s="4" t="s">
        <v>4298</v>
      </c>
      <c r="I164" s="4" t="s">
        <v>4331</v>
      </c>
      <c r="J164" s="759"/>
    </row>
    <row r="165" spans="1:15" x14ac:dyDescent="0.15">
      <c r="A165" s="1">
        <v>20</v>
      </c>
      <c r="B165" s="664" t="s">
        <v>4343</v>
      </c>
      <c r="C165" s="4" t="s">
        <v>4295</v>
      </c>
      <c r="D165" s="4" t="s">
        <v>4296</v>
      </c>
      <c r="E165" s="665" t="s">
        <v>4297</v>
      </c>
      <c r="F165" s="1">
        <v>9</v>
      </c>
      <c r="G165" s="1">
        <v>1</v>
      </c>
      <c r="H165" s="4" t="s">
        <v>4304</v>
      </c>
      <c r="I165" s="4" t="s">
        <v>4331</v>
      </c>
      <c r="J165" s="1"/>
    </row>
    <row r="166" spans="1:15" x14ac:dyDescent="0.15">
      <c r="A166" s="1">
        <v>21</v>
      </c>
      <c r="B166" s="664" t="s">
        <v>4344</v>
      </c>
      <c r="C166" s="4" t="s">
        <v>4295</v>
      </c>
      <c r="D166" s="4" t="s">
        <v>4296</v>
      </c>
      <c r="E166" s="665" t="s">
        <v>4297</v>
      </c>
      <c r="F166" s="1">
        <v>9</v>
      </c>
      <c r="G166" s="1">
        <v>0</v>
      </c>
      <c r="H166" s="4" t="s">
        <v>4298</v>
      </c>
      <c r="I166" s="4" t="s">
        <v>4331</v>
      </c>
      <c r="J166" s="1"/>
    </row>
    <row r="167" spans="1:15" x14ac:dyDescent="0.15">
      <c r="A167" s="1">
        <v>22</v>
      </c>
      <c r="B167" s="664" t="s">
        <v>4345</v>
      </c>
      <c r="C167" s="4" t="s">
        <v>4295</v>
      </c>
      <c r="D167" s="4" t="s">
        <v>4296</v>
      </c>
      <c r="E167" s="665" t="s">
        <v>4297</v>
      </c>
      <c r="F167" s="1">
        <v>17</v>
      </c>
      <c r="G167" s="1">
        <v>0</v>
      </c>
      <c r="H167" s="4" t="s">
        <v>4298</v>
      </c>
      <c r="I167" s="4" t="s">
        <v>4339</v>
      </c>
      <c r="J167" s="1"/>
    </row>
    <row r="168" spans="1:15" x14ac:dyDescent="0.15">
      <c r="A168" s="1">
        <v>26</v>
      </c>
      <c r="B168" s="664" t="s">
        <v>4352</v>
      </c>
      <c r="C168" s="4" t="s">
        <v>4295</v>
      </c>
      <c r="D168" s="4" t="s">
        <v>4296</v>
      </c>
      <c r="E168" s="665" t="s">
        <v>4297</v>
      </c>
      <c r="F168" s="1">
        <v>17</v>
      </c>
      <c r="G168" s="1">
        <v>0</v>
      </c>
      <c r="H168" s="4" t="s">
        <v>4298</v>
      </c>
      <c r="I168" s="4" t="s">
        <v>4339</v>
      </c>
      <c r="J168" s="1"/>
    </row>
    <row r="169" spans="1:15" x14ac:dyDescent="0.15">
      <c r="A169" s="1">
        <v>27</v>
      </c>
      <c r="B169" s="664" t="s">
        <v>4354</v>
      </c>
      <c r="C169" s="4" t="s">
        <v>4295</v>
      </c>
      <c r="D169" s="4" t="s">
        <v>4296</v>
      </c>
      <c r="E169" s="665" t="s">
        <v>4297</v>
      </c>
      <c r="F169" s="1">
        <v>10</v>
      </c>
      <c r="G169" s="1">
        <v>0</v>
      </c>
      <c r="H169" s="4" t="s">
        <v>4298</v>
      </c>
      <c r="I169" s="1"/>
      <c r="J169" s="1"/>
    </row>
    <row r="170" spans="1:15" x14ac:dyDescent="0.15">
      <c r="A170" s="1">
        <v>28</v>
      </c>
      <c r="B170" s="664" t="s">
        <v>4355</v>
      </c>
      <c r="C170" s="4" t="s">
        <v>4295</v>
      </c>
      <c r="D170" s="4" t="s">
        <v>4296</v>
      </c>
      <c r="E170" s="665" t="s">
        <v>4297</v>
      </c>
      <c r="F170" s="1">
        <v>10</v>
      </c>
      <c r="G170" s="1">
        <v>0</v>
      </c>
      <c r="H170" s="4" t="s">
        <v>4298</v>
      </c>
      <c r="I170" s="1"/>
      <c r="J170" s="1"/>
    </row>
    <row r="171" spans="1:15" x14ac:dyDescent="0.15">
      <c r="A171" s="1">
        <v>30</v>
      </c>
      <c r="B171" s="664" t="s">
        <v>3547</v>
      </c>
      <c r="C171" s="4" t="s">
        <v>4295</v>
      </c>
      <c r="D171" s="4" t="s">
        <v>4296</v>
      </c>
      <c r="E171" s="665" t="s">
        <v>4297</v>
      </c>
      <c r="F171" s="1">
        <v>20</v>
      </c>
      <c r="G171" s="1">
        <v>4</v>
      </c>
      <c r="H171" s="4" t="s">
        <v>4358</v>
      </c>
      <c r="I171" s="4" t="s">
        <v>4359</v>
      </c>
      <c r="J171" s="1"/>
    </row>
    <row r="172" spans="1:15" x14ac:dyDescent="0.15">
      <c r="A172" s="1">
        <v>56</v>
      </c>
      <c r="B172" s="664" t="s">
        <v>3552</v>
      </c>
      <c r="C172" s="4" t="s">
        <v>4295</v>
      </c>
      <c r="D172" s="4" t="s">
        <v>4296</v>
      </c>
      <c r="E172" s="665" t="s">
        <v>4297</v>
      </c>
      <c r="F172" s="1">
        <v>5</v>
      </c>
      <c r="G172" s="1">
        <v>1</v>
      </c>
      <c r="H172" s="4" t="s">
        <v>4304</v>
      </c>
      <c r="I172" s="1"/>
      <c r="J172" s="4" t="s">
        <v>4385</v>
      </c>
    </row>
    <row r="173" spans="1:15" x14ac:dyDescent="0.15">
      <c r="A173" s="1">
        <v>70</v>
      </c>
      <c r="B173" s="664" t="s">
        <v>4392</v>
      </c>
      <c r="C173" s="4" t="s">
        <v>4295</v>
      </c>
      <c r="D173" s="4" t="s">
        <v>4296</v>
      </c>
      <c r="E173" s="665" t="s">
        <v>4297</v>
      </c>
      <c r="F173" s="1">
        <v>10</v>
      </c>
      <c r="G173" s="1">
        <v>0</v>
      </c>
      <c r="H173" s="4" t="s">
        <v>4298</v>
      </c>
      <c r="I173" s="4" t="s">
        <v>4393</v>
      </c>
      <c r="J173" s="1" t="s">
        <v>4394</v>
      </c>
    </row>
    <row r="174" spans="1:15" x14ac:dyDescent="0.15">
      <c r="A174" s="1">
        <v>71</v>
      </c>
      <c r="B174" s="664" t="s">
        <v>4395</v>
      </c>
      <c r="C174" s="4" t="s">
        <v>4295</v>
      </c>
      <c r="D174" s="4" t="s">
        <v>4296</v>
      </c>
      <c r="E174" s="665" t="s">
        <v>4297</v>
      </c>
      <c r="F174" s="1">
        <v>10</v>
      </c>
      <c r="G174" s="1">
        <v>0</v>
      </c>
      <c r="H174" s="4" t="s">
        <v>4298</v>
      </c>
      <c r="I174" s="1"/>
      <c r="J174" s="4" t="s">
        <v>4396</v>
      </c>
      <c r="K174" s="754" t="s">
        <v>6441</v>
      </c>
      <c r="L174" s="755" t="s">
        <v>6435</v>
      </c>
      <c r="M174" s="755"/>
      <c r="N174" s="755" t="s">
        <v>6444</v>
      </c>
      <c r="O174" s="97">
        <v>10</v>
      </c>
    </row>
    <row r="175" spans="1:15" x14ac:dyDescent="0.15">
      <c r="A175" s="1">
        <v>91</v>
      </c>
      <c r="B175" s="664" t="s">
        <v>4419</v>
      </c>
      <c r="C175" s="4" t="s">
        <v>4295</v>
      </c>
      <c r="D175" s="4" t="s">
        <v>4296</v>
      </c>
      <c r="E175" s="665" t="s">
        <v>4297</v>
      </c>
      <c r="F175" s="1">
        <v>20</v>
      </c>
      <c r="G175" s="1">
        <v>2</v>
      </c>
      <c r="H175" s="4" t="s">
        <v>4334</v>
      </c>
      <c r="I175" s="1"/>
      <c r="J175" s="1"/>
    </row>
    <row r="176" spans="1:15" x14ac:dyDescent="0.15">
      <c r="A176" s="1">
        <v>101</v>
      </c>
      <c r="B176" s="664" t="s">
        <v>3549</v>
      </c>
      <c r="C176" s="4" t="s">
        <v>4295</v>
      </c>
      <c r="D176" s="4" t="s">
        <v>4296</v>
      </c>
      <c r="E176" s="665" t="s">
        <v>4297</v>
      </c>
      <c r="F176" s="1">
        <v>10</v>
      </c>
      <c r="G176" s="1">
        <v>0</v>
      </c>
      <c r="H176" s="4" t="s">
        <v>4298</v>
      </c>
      <c r="I176" s="1"/>
      <c r="J176" s="4" t="s">
        <v>4435</v>
      </c>
    </row>
    <row r="177" spans="1:10" x14ac:dyDescent="0.15">
      <c r="A177" s="1">
        <v>133</v>
      </c>
      <c r="B177" s="664" t="s">
        <v>3532</v>
      </c>
      <c r="C177" s="4" t="s">
        <v>4295</v>
      </c>
      <c r="D177" s="4" t="s">
        <v>4296</v>
      </c>
      <c r="E177" s="665" t="s">
        <v>4297</v>
      </c>
      <c r="F177" s="1">
        <v>10</v>
      </c>
      <c r="G177" s="1">
        <v>1</v>
      </c>
      <c r="H177" s="4" t="s">
        <v>4304</v>
      </c>
      <c r="I177" s="1"/>
      <c r="J177" s="1"/>
    </row>
    <row r="178" spans="1:10" x14ac:dyDescent="0.15">
      <c r="A178" s="1">
        <v>134</v>
      </c>
      <c r="B178" s="664" t="s">
        <v>4485</v>
      </c>
      <c r="C178" s="4" t="s">
        <v>4295</v>
      </c>
      <c r="D178" s="4" t="s">
        <v>4296</v>
      </c>
      <c r="E178" s="665" t="s">
        <v>4297</v>
      </c>
      <c r="F178" s="1">
        <v>10</v>
      </c>
      <c r="G178" s="1">
        <v>1</v>
      </c>
      <c r="H178" s="4" t="s">
        <v>4304</v>
      </c>
      <c r="I178" s="759"/>
      <c r="J178" s="1"/>
    </row>
    <row r="179" spans="1:10" x14ac:dyDescent="0.15">
      <c r="A179" s="1">
        <v>145</v>
      </c>
      <c r="B179" s="664" t="s">
        <v>4507</v>
      </c>
      <c r="C179" s="4" t="s">
        <v>4295</v>
      </c>
      <c r="D179" s="4" t="s">
        <v>4296</v>
      </c>
      <c r="E179" s="665" t="s">
        <v>4297</v>
      </c>
      <c r="F179" s="1">
        <v>10</v>
      </c>
      <c r="G179" s="1">
        <v>0</v>
      </c>
      <c r="H179" s="4" t="s">
        <v>4298</v>
      </c>
      <c r="I179" s="4" t="s">
        <v>4508</v>
      </c>
      <c r="J179" s="1"/>
    </row>
    <row r="180" spans="1:10" x14ac:dyDescent="0.15">
      <c r="A180" s="1">
        <v>152</v>
      </c>
      <c r="B180" s="664" t="s">
        <v>4517</v>
      </c>
      <c r="C180" s="4" t="s">
        <v>4295</v>
      </c>
      <c r="D180" s="4" t="s">
        <v>4296</v>
      </c>
      <c r="E180" s="665" t="s">
        <v>4297</v>
      </c>
      <c r="F180" s="1">
        <v>10</v>
      </c>
      <c r="G180" s="1">
        <v>1</v>
      </c>
      <c r="H180" s="4" t="s">
        <v>4304</v>
      </c>
      <c r="I180" s="4" t="s">
        <v>4518</v>
      </c>
      <c r="J180" s="1"/>
    </row>
    <row r="181" spans="1:10" x14ac:dyDescent="0.15">
      <c r="A181" s="1">
        <v>153</v>
      </c>
      <c r="B181" s="664" t="s">
        <v>4519</v>
      </c>
      <c r="C181" s="4" t="s">
        <v>4295</v>
      </c>
      <c r="D181" s="4" t="s">
        <v>4296</v>
      </c>
      <c r="E181" s="665" t="s">
        <v>4297</v>
      </c>
      <c r="F181" s="1">
        <v>10</v>
      </c>
      <c r="G181" s="1">
        <v>1</v>
      </c>
      <c r="H181" s="4" t="s">
        <v>4304</v>
      </c>
      <c r="I181" s="4" t="s">
        <v>4520</v>
      </c>
      <c r="J181" s="1"/>
    </row>
    <row r="182" spans="1:10" x14ac:dyDescent="0.15">
      <c r="A182" s="1">
        <v>218</v>
      </c>
      <c r="B182" s="664" t="s">
        <v>4611</v>
      </c>
      <c r="C182" s="4" t="s">
        <v>4295</v>
      </c>
      <c r="D182" s="4" t="s">
        <v>4296</v>
      </c>
      <c r="E182" s="665" t="s">
        <v>4297</v>
      </c>
      <c r="F182" s="1">
        <v>10</v>
      </c>
      <c r="G182" s="1">
        <v>0</v>
      </c>
      <c r="H182" s="4" t="s">
        <v>4298</v>
      </c>
      <c r="I182" s="1"/>
      <c r="J182" s="1"/>
    </row>
    <row r="183" spans="1:10" x14ac:dyDescent="0.15">
      <c r="A183" s="1">
        <v>219</v>
      </c>
      <c r="B183" s="664" t="s">
        <v>4613</v>
      </c>
      <c r="C183" s="4" t="s">
        <v>4295</v>
      </c>
      <c r="D183" s="4" t="s">
        <v>4296</v>
      </c>
      <c r="E183" s="665" t="s">
        <v>4297</v>
      </c>
      <c r="F183" s="1">
        <v>9</v>
      </c>
      <c r="G183" s="1">
        <v>0</v>
      </c>
      <c r="H183" s="4" t="s">
        <v>4298</v>
      </c>
      <c r="I183" s="1" t="s">
        <v>4318</v>
      </c>
      <c r="J183" s="1"/>
    </row>
    <row r="184" spans="1:10" x14ac:dyDescent="0.15">
      <c r="A184" s="1">
        <v>267</v>
      </c>
      <c r="B184" s="664" t="s">
        <v>4649</v>
      </c>
      <c r="C184" s="4" t="s">
        <v>4295</v>
      </c>
      <c r="D184" s="4" t="s">
        <v>4296</v>
      </c>
      <c r="E184" s="665" t="s">
        <v>4297</v>
      </c>
      <c r="F184" s="1">
        <v>5</v>
      </c>
      <c r="G184" s="1">
        <v>1</v>
      </c>
      <c r="H184" s="4" t="s">
        <v>4304</v>
      </c>
      <c r="I184" s="1"/>
      <c r="J184" s="1"/>
    </row>
    <row r="185" spans="1:10" x14ac:dyDescent="0.15">
      <c r="A185" s="1">
        <v>44</v>
      </c>
      <c r="B185" s="664" t="s">
        <v>1316</v>
      </c>
      <c r="C185" s="4" t="s">
        <v>4378</v>
      </c>
      <c r="D185" s="4" t="s">
        <v>4296</v>
      </c>
      <c r="E185" s="665" t="s">
        <v>4297</v>
      </c>
      <c r="F185" s="1">
        <v>5</v>
      </c>
      <c r="G185" s="1">
        <v>1</v>
      </c>
      <c r="H185" s="4" t="s">
        <v>4304</v>
      </c>
      <c r="I185" s="4" t="s">
        <v>4060</v>
      </c>
      <c r="J185" s="1"/>
    </row>
    <row r="186" spans="1:10" x14ac:dyDescent="0.15">
      <c r="A186" s="1">
        <v>45</v>
      </c>
      <c r="B186" s="664" t="s">
        <v>3326</v>
      </c>
      <c r="C186" s="4" t="s">
        <v>4378</v>
      </c>
      <c r="D186" s="4" t="s">
        <v>4296</v>
      </c>
      <c r="E186" s="665" t="s">
        <v>4297</v>
      </c>
      <c r="F186" s="1">
        <v>10</v>
      </c>
      <c r="G186" s="1">
        <v>0</v>
      </c>
      <c r="H186" s="4" t="s">
        <v>4298</v>
      </c>
      <c r="I186" s="4" t="s">
        <v>4060</v>
      </c>
      <c r="J186" s="1"/>
    </row>
    <row r="187" spans="1:10" x14ac:dyDescent="0.15">
      <c r="A187" s="1">
        <v>46</v>
      </c>
      <c r="B187" s="664" t="s">
        <v>3239</v>
      </c>
      <c r="C187" s="4" t="s">
        <v>4378</v>
      </c>
      <c r="D187" s="4" t="s">
        <v>4296</v>
      </c>
      <c r="E187" s="665" t="s">
        <v>4297</v>
      </c>
      <c r="F187" s="1">
        <v>10</v>
      </c>
      <c r="G187" s="1">
        <v>1</v>
      </c>
      <c r="H187" s="4" t="s">
        <v>4304</v>
      </c>
      <c r="I187" s="4" t="s">
        <v>4060</v>
      </c>
      <c r="J187" s="1"/>
    </row>
    <row r="188" spans="1:10" x14ac:dyDescent="0.15">
      <c r="A188" s="1">
        <v>121</v>
      </c>
      <c r="B188" s="664" t="s">
        <v>3273</v>
      </c>
      <c r="C188" s="4" t="s">
        <v>3231</v>
      </c>
      <c r="D188" s="4" t="s">
        <v>4306</v>
      </c>
      <c r="E188" s="665" t="s">
        <v>4297</v>
      </c>
      <c r="F188" s="1">
        <v>5</v>
      </c>
      <c r="G188" s="1">
        <v>1</v>
      </c>
      <c r="H188" s="4" t="s">
        <v>4304</v>
      </c>
      <c r="I188" s="1"/>
      <c r="J188" s="1"/>
    </row>
    <row r="189" spans="1:10" x14ac:dyDescent="0.15">
      <c r="A189" s="1">
        <v>144</v>
      </c>
      <c r="B189" s="664" t="s">
        <v>3283</v>
      </c>
      <c r="C189" s="4" t="s">
        <v>3231</v>
      </c>
      <c r="D189" s="4" t="s">
        <v>4306</v>
      </c>
      <c r="E189" s="665" t="s">
        <v>4297</v>
      </c>
      <c r="F189" s="1">
        <v>10</v>
      </c>
      <c r="G189" s="1">
        <v>0</v>
      </c>
      <c r="H189" s="4" t="s">
        <v>4298</v>
      </c>
      <c r="I189" s="1"/>
      <c r="J189" s="1"/>
    </row>
    <row r="190" spans="1:10" x14ac:dyDescent="0.15">
      <c r="A190" s="1">
        <v>145</v>
      </c>
      <c r="B190" s="664" t="s">
        <v>1540</v>
      </c>
      <c r="C190" s="4" t="s">
        <v>3231</v>
      </c>
      <c r="D190" s="4" t="s">
        <v>4306</v>
      </c>
      <c r="E190" s="665" t="s">
        <v>4297</v>
      </c>
      <c r="F190" s="1">
        <v>10</v>
      </c>
      <c r="G190" s="1">
        <v>1</v>
      </c>
      <c r="H190" s="4" t="s">
        <v>4304</v>
      </c>
      <c r="I190" s="1"/>
      <c r="J190" s="1"/>
    </row>
    <row r="191" spans="1:10" x14ac:dyDescent="0.15">
      <c r="A191" s="1">
        <v>185</v>
      </c>
      <c r="B191" s="664" t="s">
        <v>1548</v>
      </c>
      <c r="C191" s="4" t="s">
        <v>3231</v>
      </c>
      <c r="D191" s="4" t="s">
        <v>4306</v>
      </c>
      <c r="E191" s="665" t="s">
        <v>4297</v>
      </c>
      <c r="F191" s="1">
        <v>10</v>
      </c>
      <c r="G191" s="1">
        <v>1</v>
      </c>
      <c r="H191" s="4" t="s">
        <v>4304</v>
      </c>
      <c r="I191" s="1"/>
      <c r="J191" s="1"/>
    </row>
    <row r="192" spans="1:10" x14ac:dyDescent="0.15">
      <c r="A192" s="1">
        <v>244</v>
      </c>
      <c r="B192" s="664" t="s">
        <v>4254</v>
      </c>
      <c r="C192" s="4" t="s">
        <v>3231</v>
      </c>
      <c r="D192" s="4" t="s">
        <v>4306</v>
      </c>
      <c r="E192" s="665" t="s">
        <v>4297</v>
      </c>
      <c r="F192" s="1">
        <v>5</v>
      </c>
      <c r="G192" s="1">
        <v>1</v>
      </c>
      <c r="H192" s="4" t="s">
        <v>4304</v>
      </c>
      <c r="I192" s="1"/>
      <c r="J192" s="1"/>
    </row>
    <row r="193" spans="1:15" x14ac:dyDescent="0.15">
      <c r="A193" s="1" t="s">
        <v>4285</v>
      </c>
      <c r="B193" s="4" t="s">
        <v>4286</v>
      </c>
      <c r="C193" s="4" t="s">
        <v>4287</v>
      </c>
      <c r="D193" s="4" t="s">
        <v>4288</v>
      </c>
      <c r="E193" s="591" t="s">
        <v>4289</v>
      </c>
      <c r="F193" s="4" t="s">
        <v>4290</v>
      </c>
      <c r="G193" s="4" t="s">
        <v>4291</v>
      </c>
      <c r="H193" s="4" t="s">
        <v>4292</v>
      </c>
      <c r="I193" s="4" t="s">
        <v>4293</v>
      </c>
      <c r="J193" s="4" t="s">
        <v>4294</v>
      </c>
    </row>
    <row r="194" spans="1:15" x14ac:dyDescent="0.15">
      <c r="A194" s="1">
        <v>24</v>
      </c>
      <c r="B194" s="664" t="s">
        <v>3263</v>
      </c>
      <c r="C194" s="4" t="s">
        <v>4346</v>
      </c>
      <c r="D194" s="4" t="s">
        <v>4347</v>
      </c>
      <c r="E194" s="665" t="s">
        <v>4297</v>
      </c>
      <c r="F194" s="1">
        <v>10</v>
      </c>
      <c r="G194" s="1">
        <v>0</v>
      </c>
      <c r="H194" s="4" t="s">
        <v>4298</v>
      </c>
      <c r="I194" s="1"/>
      <c r="J194" s="1"/>
    </row>
    <row r="195" spans="1:15" x14ac:dyDescent="0.15">
      <c r="A195" s="1">
        <v>26</v>
      </c>
      <c r="B195" s="664" t="s">
        <v>4353</v>
      </c>
      <c r="C195" s="4" t="s">
        <v>4346</v>
      </c>
      <c r="D195" s="4" t="s">
        <v>4347</v>
      </c>
      <c r="E195" s="665" t="s">
        <v>4297</v>
      </c>
      <c r="F195" s="1">
        <v>10</v>
      </c>
      <c r="G195" s="1">
        <v>1</v>
      </c>
      <c r="H195" s="4" t="s">
        <v>4304</v>
      </c>
      <c r="I195" s="1"/>
      <c r="J195" s="1"/>
    </row>
    <row r="196" spans="1:15" x14ac:dyDescent="0.15">
      <c r="A196" s="1">
        <v>49</v>
      </c>
      <c r="B196" s="664" t="s">
        <v>3285</v>
      </c>
      <c r="C196" s="4" t="s">
        <v>4346</v>
      </c>
      <c r="D196" s="4" t="s">
        <v>4347</v>
      </c>
      <c r="E196" s="665" t="s">
        <v>4297</v>
      </c>
      <c r="F196" s="1">
        <v>10</v>
      </c>
      <c r="G196" s="1">
        <v>1</v>
      </c>
      <c r="H196" s="4" t="s">
        <v>4304</v>
      </c>
      <c r="I196" s="1"/>
      <c r="J196" s="1"/>
    </row>
    <row r="197" spans="1:15" x14ac:dyDescent="0.15">
      <c r="A197" s="1">
        <v>51</v>
      </c>
      <c r="B197" s="664" t="s">
        <v>3309</v>
      </c>
      <c r="C197" s="4" t="s">
        <v>4346</v>
      </c>
      <c r="D197" s="4" t="s">
        <v>4347</v>
      </c>
      <c r="E197" s="665" t="s">
        <v>4297</v>
      </c>
      <c r="F197" s="1">
        <v>10</v>
      </c>
      <c r="G197" s="1">
        <v>1</v>
      </c>
      <c r="H197" s="4" t="s">
        <v>4304</v>
      </c>
      <c r="I197" s="1"/>
      <c r="J197" s="1"/>
    </row>
    <row r="198" spans="1:15" x14ac:dyDescent="0.15">
      <c r="A198" s="1">
        <v>52</v>
      </c>
      <c r="B198" s="664" t="s">
        <v>3274</v>
      </c>
      <c r="C198" s="4" t="s">
        <v>4346</v>
      </c>
      <c r="D198" s="4" t="s">
        <v>4347</v>
      </c>
      <c r="E198" s="665" t="s">
        <v>4297</v>
      </c>
      <c r="F198" s="1">
        <v>10</v>
      </c>
      <c r="G198" s="1">
        <v>1</v>
      </c>
      <c r="H198" s="4" t="s">
        <v>4304</v>
      </c>
      <c r="I198" s="759"/>
      <c r="J198" s="1"/>
    </row>
    <row r="199" spans="1:15" x14ac:dyDescent="0.15">
      <c r="A199" s="1">
        <v>53</v>
      </c>
      <c r="B199" s="664" t="s">
        <v>4382</v>
      </c>
      <c r="C199" s="4" t="s">
        <v>4346</v>
      </c>
      <c r="D199" s="4" t="s">
        <v>4347</v>
      </c>
      <c r="E199" s="665" t="s">
        <v>4297</v>
      </c>
      <c r="F199" s="1">
        <v>10</v>
      </c>
      <c r="G199" s="1">
        <v>0</v>
      </c>
      <c r="H199" s="4" t="s">
        <v>4298</v>
      </c>
      <c r="I199" s="1"/>
      <c r="J199" s="1"/>
    </row>
    <row r="200" spans="1:15" x14ac:dyDescent="0.15">
      <c r="A200" s="1">
        <v>69</v>
      </c>
      <c r="B200" s="664" t="s">
        <v>1266</v>
      </c>
      <c r="C200" s="4" t="s">
        <v>4346</v>
      </c>
      <c r="D200" s="4" t="s">
        <v>4296</v>
      </c>
      <c r="E200" s="665" t="s">
        <v>4297</v>
      </c>
      <c r="F200" s="1">
        <v>20</v>
      </c>
      <c r="G200" s="1">
        <v>2</v>
      </c>
      <c r="H200" s="4" t="s">
        <v>4334</v>
      </c>
      <c r="I200" s="1"/>
      <c r="J200" s="4" t="s">
        <v>4391</v>
      </c>
      <c r="K200" s="754" t="s">
        <v>6441</v>
      </c>
      <c r="L200" s="755" t="s">
        <v>6442</v>
      </c>
      <c r="M200" s="755"/>
      <c r="N200" s="755" t="s">
        <v>6443</v>
      </c>
      <c r="O200" s="97">
        <v>20</v>
      </c>
    </row>
    <row r="201" spans="1:15" x14ac:dyDescent="0.15">
      <c r="A201" s="1">
        <v>117</v>
      </c>
      <c r="B201" s="664" t="s">
        <v>4462</v>
      </c>
      <c r="C201" s="4" t="s">
        <v>4346</v>
      </c>
      <c r="D201" s="759" t="s">
        <v>4463</v>
      </c>
      <c r="E201" s="665" t="s">
        <v>4297</v>
      </c>
      <c r="F201" s="1">
        <v>10</v>
      </c>
      <c r="G201" s="1">
        <v>1</v>
      </c>
      <c r="H201" s="4" t="s">
        <v>4304</v>
      </c>
      <c r="I201" s="1"/>
      <c r="J201" s="1"/>
    </row>
    <row r="202" spans="1:15" x14ac:dyDescent="0.15">
      <c r="A202" s="1">
        <v>120</v>
      </c>
      <c r="B202" s="664" t="s">
        <v>3299</v>
      </c>
      <c r="C202" s="4" t="s">
        <v>4346</v>
      </c>
      <c r="D202" s="4" t="s">
        <v>4347</v>
      </c>
      <c r="E202" s="665" t="s">
        <v>4297</v>
      </c>
      <c r="F202" s="1">
        <v>5</v>
      </c>
      <c r="G202" s="1">
        <v>1</v>
      </c>
      <c r="H202" s="4" t="s">
        <v>4304</v>
      </c>
      <c r="I202" s="1"/>
      <c r="J202" s="1"/>
    </row>
    <row r="203" spans="1:15" x14ac:dyDescent="0.15">
      <c r="A203" s="1">
        <v>53</v>
      </c>
      <c r="B203" s="664" t="s">
        <v>3339</v>
      </c>
      <c r="C203" s="4" t="s">
        <v>4383</v>
      </c>
      <c r="D203" s="4" t="s">
        <v>3227</v>
      </c>
      <c r="E203" s="665" t="s">
        <v>4297</v>
      </c>
      <c r="F203" s="1">
        <v>10</v>
      </c>
      <c r="G203" s="1">
        <v>1</v>
      </c>
      <c r="H203" s="4" t="s">
        <v>4304</v>
      </c>
      <c r="I203" s="1"/>
      <c r="J203" s="1"/>
    </row>
    <row r="204" spans="1:15" x14ac:dyDescent="0.15">
      <c r="A204" s="1">
        <v>77</v>
      </c>
      <c r="B204" s="664" t="s">
        <v>4401</v>
      </c>
      <c r="C204" s="4" t="s">
        <v>4383</v>
      </c>
      <c r="D204" s="4" t="s">
        <v>3227</v>
      </c>
      <c r="E204" s="665" t="s">
        <v>4297</v>
      </c>
      <c r="F204" s="1">
        <v>10</v>
      </c>
      <c r="G204" s="1">
        <v>2</v>
      </c>
      <c r="H204" s="4" t="s">
        <v>4334</v>
      </c>
      <c r="I204" s="1"/>
      <c r="J204" s="1"/>
    </row>
    <row r="205" spans="1:15" x14ac:dyDescent="0.15">
      <c r="A205" s="1">
        <v>85</v>
      </c>
      <c r="B205" s="664" t="s">
        <v>3392</v>
      </c>
      <c r="C205" s="4" t="s">
        <v>4383</v>
      </c>
      <c r="D205" s="4" t="s">
        <v>3227</v>
      </c>
      <c r="E205" s="665" t="s">
        <v>4297</v>
      </c>
      <c r="F205" s="1">
        <v>10</v>
      </c>
      <c r="G205" s="1">
        <v>1</v>
      </c>
      <c r="H205" s="4" t="s">
        <v>4304</v>
      </c>
      <c r="I205" s="1"/>
      <c r="J205" s="1"/>
    </row>
    <row r="206" spans="1:15" x14ac:dyDescent="0.15">
      <c r="A206" s="1">
        <v>86</v>
      </c>
      <c r="B206" s="664" t="s">
        <v>3382</v>
      </c>
      <c r="C206" s="4" t="s">
        <v>4383</v>
      </c>
      <c r="D206" s="4" t="s">
        <v>3227</v>
      </c>
      <c r="E206" s="665" t="s">
        <v>4297</v>
      </c>
      <c r="F206" s="1">
        <v>10</v>
      </c>
      <c r="G206" s="1">
        <v>1</v>
      </c>
      <c r="H206" s="4" t="s">
        <v>4304</v>
      </c>
      <c r="I206" s="1"/>
      <c r="J206" s="1"/>
    </row>
    <row r="207" spans="1:15" x14ac:dyDescent="0.15">
      <c r="A207" s="1">
        <v>95</v>
      </c>
      <c r="B207" s="664" t="s">
        <v>4089</v>
      </c>
      <c r="C207" s="4" t="s">
        <v>4383</v>
      </c>
      <c r="D207" s="4" t="s">
        <v>3227</v>
      </c>
      <c r="E207" s="665" t="s">
        <v>4297</v>
      </c>
      <c r="F207" s="1">
        <v>10</v>
      </c>
      <c r="G207" s="1">
        <v>1</v>
      </c>
      <c r="H207" s="4" t="s">
        <v>4304</v>
      </c>
      <c r="I207" s="1"/>
      <c r="J207" s="1"/>
    </row>
    <row r="208" spans="1:15" x14ac:dyDescent="0.15">
      <c r="A208" s="1">
        <v>116</v>
      </c>
      <c r="B208" s="664" t="s">
        <v>4460</v>
      </c>
      <c r="C208" s="4" t="s">
        <v>4383</v>
      </c>
      <c r="D208" s="4" t="s">
        <v>3227</v>
      </c>
      <c r="E208" s="665" t="s">
        <v>4297</v>
      </c>
      <c r="F208" s="1">
        <v>10</v>
      </c>
      <c r="G208" s="1">
        <v>2</v>
      </c>
      <c r="H208" s="4" t="s">
        <v>4334</v>
      </c>
      <c r="I208" s="759"/>
      <c r="J208" s="1"/>
    </row>
    <row r="209" spans="1:15" x14ac:dyDescent="0.15">
      <c r="A209" s="1">
        <v>179</v>
      </c>
      <c r="B209" s="664" t="s">
        <v>3347</v>
      </c>
      <c r="C209" s="4" t="s">
        <v>4383</v>
      </c>
      <c r="D209" s="4" t="s">
        <v>3227</v>
      </c>
      <c r="E209" s="665" t="s">
        <v>4297</v>
      </c>
      <c r="F209" s="1">
        <v>10</v>
      </c>
      <c r="G209" s="1">
        <v>1</v>
      </c>
      <c r="H209" s="4" t="s">
        <v>4304</v>
      </c>
      <c r="I209" s="1"/>
      <c r="J209" s="1"/>
      <c r="K209" s="754" t="s">
        <v>6469</v>
      </c>
      <c r="L209" s="755" t="s">
        <v>6470</v>
      </c>
      <c r="M209" s="97">
        <v>10</v>
      </c>
      <c r="N209" s="755" t="s">
        <v>6436</v>
      </c>
    </row>
    <row r="210" spans="1:15" x14ac:dyDescent="0.15">
      <c r="A210" s="1">
        <v>250</v>
      </c>
      <c r="B210" s="664" t="s">
        <v>4632</v>
      </c>
      <c r="C210" s="4" t="s">
        <v>4633</v>
      </c>
      <c r="D210" s="759"/>
      <c r="E210" s="665" t="s">
        <v>4297</v>
      </c>
      <c r="F210" s="1">
        <v>5</v>
      </c>
      <c r="G210" s="1">
        <v>1</v>
      </c>
      <c r="H210" s="759"/>
      <c r="I210" s="1"/>
      <c r="J210" s="1"/>
    </row>
    <row r="211" spans="1:15" x14ac:dyDescent="0.15">
      <c r="A211" s="1">
        <v>9</v>
      </c>
      <c r="B211" s="664" t="s">
        <v>2551</v>
      </c>
      <c r="C211" s="4" t="s">
        <v>4320</v>
      </c>
      <c r="D211" s="4" t="s">
        <v>4303</v>
      </c>
      <c r="E211" s="665" t="s">
        <v>4297</v>
      </c>
      <c r="F211" s="1">
        <v>10</v>
      </c>
      <c r="G211" s="1">
        <v>1</v>
      </c>
      <c r="H211" s="4" t="s">
        <v>4304</v>
      </c>
      <c r="I211" s="4" t="s">
        <v>4321</v>
      </c>
      <c r="J211" s="1"/>
    </row>
    <row r="212" spans="1:15" x14ac:dyDescent="0.15">
      <c r="A212" s="1">
        <v>15</v>
      </c>
      <c r="B212" s="664" t="s">
        <v>3267</v>
      </c>
      <c r="C212" s="4" t="s">
        <v>4320</v>
      </c>
      <c r="D212" s="4" t="s">
        <v>4303</v>
      </c>
      <c r="E212" s="665" t="s">
        <v>4297</v>
      </c>
      <c r="F212" s="1">
        <v>10</v>
      </c>
      <c r="G212" s="1">
        <v>1</v>
      </c>
      <c r="H212" s="4" t="s">
        <v>4304</v>
      </c>
      <c r="I212" s="1"/>
      <c r="J212" s="1"/>
      <c r="K212" s="754" t="s">
        <v>6473</v>
      </c>
      <c r="L212" s="755" t="s">
        <v>6438</v>
      </c>
      <c r="M212" s="755" t="s">
        <v>6436</v>
      </c>
      <c r="N212" s="97">
        <v>10</v>
      </c>
    </row>
    <row r="213" spans="1:15" x14ac:dyDescent="0.15">
      <c r="A213" s="1">
        <v>16</v>
      </c>
      <c r="B213" s="664" t="s">
        <v>3324</v>
      </c>
      <c r="C213" s="4" t="s">
        <v>4320</v>
      </c>
      <c r="D213" s="4" t="s">
        <v>4303</v>
      </c>
      <c r="E213" s="665" t="s">
        <v>4297</v>
      </c>
      <c r="F213" s="1">
        <v>10</v>
      </c>
      <c r="G213" s="1">
        <v>0</v>
      </c>
      <c r="H213" s="4" t="s">
        <v>4298</v>
      </c>
      <c r="I213" s="1"/>
      <c r="J213" s="1"/>
    </row>
    <row r="214" spans="1:15" x14ac:dyDescent="0.15">
      <c r="A214" s="1">
        <v>17</v>
      </c>
      <c r="B214" s="664" t="s">
        <v>5</v>
      </c>
      <c r="C214" s="4" t="s">
        <v>4320</v>
      </c>
      <c r="D214" s="4" t="s">
        <v>4303</v>
      </c>
      <c r="E214" s="665" t="s">
        <v>4297</v>
      </c>
      <c r="F214" s="1">
        <v>20</v>
      </c>
      <c r="G214" s="1">
        <v>2</v>
      </c>
      <c r="H214" s="4" t="s">
        <v>4334</v>
      </c>
      <c r="I214" s="1"/>
      <c r="J214" s="1"/>
    </row>
    <row r="215" spans="1:15" x14ac:dyDescent="0.15">
      <c r="A215" s="1">
        <v>18</v>
      </c>
      <c r="B215" s="664" t="s">
        <v>1538</v>
      </c>
      <c r="C215" s="4" t="s">
        <v>4320</v>
      </c>
      <c r="D215" s="4" t="s">
        <v>4303</v>
      </c>
      <c r="E215" s="665" t="s">
        <v>4297</v>
      </c>
      <c r="F215" s="1">
        <v>10</v>
      </c>
      <c r="G215" s="1">
        <v>0</v>
      </c>
      <c r="H215" s="4" t="s">
        <v>4298</v>
      </c>
      <c r="I215" s="759"/>
      <c r="J215" s="1"/>
    </row>
    <row r="216" spans="1:15" x14ac:dyDescent="0.15">
      <c r="A216" s="1">
        <v>19</v>
      </c>
      <c r="B216" s="664" t="s">
        <v>3313</v>
      </c>
      <c r="C216" s="4" t="s">
        <v>4320</v>
      </c>
      <c r="D216" s="4" t="s">
        <v>4303</v>
      </c>
      <c r="E216" s="665" t="s">
        <v>4297</v>
      </c>
      <c r="F216" s="1">
        <v>10</v>
      </c>
      <c r="G216" s="1">
        <v>0</v>
      </c>
      <c r="H216" s="4" t="s">
        <v>4298</v>
      </c>
      <c r="I216" s="1"/>
      <c r="J216" s="1"/>
    </row>
    <row r="217" spans="1:15" x14ac:dyDescent="0.15">
      <c r="A217" s="1">
        <v>54</v>
      </c>
      <c r="B217" s="664" t="s">
        <v>2700</v>
      </c>
      <c r="C217" s="4" t="s">
        <v>4320</v>
      </c>
      <c r="D217" s="4" t="s">
        <v>4303</v>
      </c>
      <c r="E217" s="665" t="s">
        <v>4297</v>
      </c>
      <c r="F217" s="1">
        <v>10</v>
      </c>
      <c r="G217" s="1">
        <v>0</v>
      </c>
      <c r="H217" s="4" t="s">
        <v>4298</v>
      </c>
      <c r="I217" s="1"/>
      <c r="J217" s="1"/>
    </row>
    <row r="218" spans="1:15" x14ac:dyDescent="0.15">
      <c r="A218" s="1">
        <v>55</v>
      </c>
      <c r="B218" s="664" t="s">
        <v>3352</v>
      </c>
      <c r="C218" s="4" t="s">
        <v>4320</v>
      </c>
      <c r="D218" s="4" t="s">
        <v>4303</v>
      </c>
      <c r="E218" s="665" t="s">
        <v>4297</v>
      </c>
      <c r="F218" s="1">
        <v>10</v>
      </c>
      <c r="G218" s="1">
        <v>1</v>
      </c>
      <c r="H218" s="4" t="s">
        <v>4304</v>
      </c>
      <c r="I218" s="1"/>
      <c r="J218" s="1"/>
    </row>
    <row r="219" spans="1:15" x14ac:dyDescent="0.15">
      <c r="A219" s="1">
        <v>61</v>
      </c>
      <c r="B219" s="664" t="s">
        <v>433</v>
      </c>
      <c r="C219" s="4" t="s">
        <v>4320</v>
      </c>
      <c r="D219" s="4" t="s">
        <v>4303</v>
      </c>
      <c r="E219" s="665" t="s">
        <v>4297</v>
      </c>
      <c r="F219" s="1">
        <v>10</v>
      </c>
      <c r="G219" s="1">
        <v>1</v>
      </c>
      <c r="H219" s="4" t="s">
        <v>4304</v>
      </c>
      <c r="I219" s="1"/>
      <c r="J219" s="1"/>
    </row>
    <row r="220" spans="1:15" x14ac:dyDescent="0.15">
      <c r="A220" s="1">
        <v>226</v>
      </c>
      <c r="B220" s="664" t="s">
        <v>2882</v>
      </c>
      <c r="C220" s="4" t="s">
        <v>4320</v>
      </c>
      <c r="D220" s="4" t="s">
        <v>4427</v>
      </c>
      <c r="E220" s="665" t="s">
        <v>4297</v>
      </c>
      <c r="F220" s="1">
        <v>10</v>
      </c>
      <c r="G220" s="1">
        <v>1</v>
      </c>
      <c r="H220" s="4" t="s">
        <v>4304</v>
      </c>
      <c r="I220" s="1"/>
      <c r="J220" s="1"/>
      <c r="K220" s="754" t="s">
        <v>6437</v>
      </c>
      <c r="L220" s="755" t="s">
        <v>6438</v>
      </c>
      <c r="M220" s="755"/>
      <c r="N220" s="755" t="s">
        <v>6436</v>
      </c>
      <c r="O220" s="97">
        <v>10</v>
      </c>
    </row>
    <row r="221" spans="1:15" x14ac:dyDescent="0.15">
      <c r="A221" s="1">
        <v>37</v>
      </c>
      <c r="B221" s="666" t="s">
        <v>4364</v>
      </c>
      <c r="C221" s="4" t="s">
        <v>4365</v>
      </c>
      <c r="D221" s="4" t="s">
        <v>4323</v>
      </c>
      <c r="E221" s="665" t="s">
        <v>4365</v>
      </c>
      <c r="F221" s="1">
        <v>5</v>
      </c>
      <c r="G221" s="1">
        <v>3</v>
      </c>
      <c r="H221" s="4" t="s">
        <v>4366</v>
      </c>
      <c r="I221" s="1"/>
      <c r="J221" s="1"/>
      <c r="L221" s="755" t="s">
        <v>6481</v>
      </c>
    </row>
    <row r="222" spans="1:15" x14ac:dyDescent="0.15">
      <c r="A222" s="1">
        <v>39</v>
      </c>
      <c r="B222" s="666" t="s">
        <v>4371</v>
      </c>
      <c r="C222" s="4" t="s">
        <v>4365</v>
      </c>
      <c r="D222" s="4" t="s">
        <v>4323</v>
      </c>
      <c r="E222" s="665" t="s">
        <v>4365</v>
      </c>
      <c r="F222" s="1">
        <v>5</v>
      </c>
      <c r="G222" s="1">
        <v>1</v>
      </c>
      <c r="H222" s="4" t="s">
        <v>4304</v>
      </c>
      <c r="I222" s="4" t="s">
        <v>4372</v>
      </c>
      <c r="J222" s="1"/>
    </row>
    <row r="223" spans="1:15" x14ac:dyDescent="0.15">
      <c r="A223" s="1">
        <v>58</v>
      </c>
      <c r="B223" s="666" t="s">
        <v>4387</v>
      </c>
      <c r="C223" s="4" t="s">
        <v>4365</v>
      </c>
      <c r="D223" s="4" t="s">
        <v>745</v>
      </c>
      <c r="E223" s="665" t="s">
        <v>4365</v>
      </c>
      <c r="F223" s="1">
        <v>10</v>
      </c>
      <c r="G223" s="1">
        <v>1</v>
      </c>
      <c r="H223" s="4" t="s">
        <v>4388</v>
      </c>
      <c r="I223" s="4" t="s">
        <v>4372</v>
      </c>
      <c r="J223" s="1"/>
    </row>
    <row r="224" spans="1:15" x14ac:dyDescent="0.15">
      <c r="A224" s="1">
        <v>73</v>
      </c>
      <c r="B224" s="666" t="s">
        <v>4397</v>
      </c>
      <c r="C224" s="4" t="s">
        <v>4365</v>
      </c>
      <c r="D224" s="4" t="s">
        <v>4323</v>
      </c>
      <c r="E224" s="665" t="s">
        <v>4365</v>
      </c>
      <c r="F224" s="1">
        <v>5</v>
      </c>
      <c r="G224" s="1">
        <v>1</v>
      </c>
      <c r="H224" s="4" t="s">
        <v>4304</v>
      </c>
      <c r="I224" s="1"/>
      <c r="J224" s="1"/>
    </row>
    <row r="225" spans="1:10" x14ac:dyDescent="0.15">
      <c r="A225" s="1">
        <v>74</v>
      </c>
      <c r="B225" s="666" t="s">
        <v>4398</v>
      </c>
      <c r="C225" s="4" t="s">
        <v>4365</v>
      </c>
      <c r="D225" s="4" t="s">
        <v>4323</v>
      </c>
      <c r="E225" s="665" t="s">
        <v>4365</v>
      </c>
      <c r="F225" s="1">
        <v>5</v>
      </c>
      <c r="G225" s="1">
        <v>0</v>
      </c>
      <c r="H225" s="4" t="s">
        <v>4298</v>
      </c>
      <c r="I225" s="1"/>
      <c r="J225" s="1"/>
    </row>
    <row r="226" spans="1:10" x14ac:dyDescent="0.15">
      <c r="A226" s="1">
        <v>75</v>
      </c>
      <c r="B226" s="666" t="s">
        <v>4399</v>
      </c>
      <c r="C226" s="4" t="s">
        <v>4365</v>
      </c>
      <c r="D226" s="4" t="s">
        <v>4323</v>
      </c>
      <c r="E226" s="665" t="s">
        <v>4365</v>
      </c>
      <c r="F226" s="1">
        <v>3</v>
      </c>
      <c r="G226" s="1">
        <v>0</v>
      </c>
      <c r="H226" s="4" t="s">
        <v>4298</v>
      </c>
      <c r="I226" s="1"/>
      <c r="J226" s="1"/>
    </row>
    <row r="227" spans="1:10" x14ac:dyDescent="0.15">
      <c r="A227" s="1">
        <v>76</v>
      </c>
      <c r="B227" s="666" t="s">
        <v>4400</v>
      </c>
      <c r="C227" s="4" t="s">
        <v>4365</v>
      </c>
      <c r="D227" s="4" t="s">
        <v>4323</v>
      </c>
      <c r="E227" s="665" t="s">
        <v>4365</v>
      </c>
      <c r="F227" s="1">
        <v>3</v>
      </c>
      <c r="G227" s="1">
        <v>0</v>
      </c>
      <c r="H227" s="4" t="s">
        <v>4298</v>
      </c>
      <c r="I227" s="1"/>
      <c r="J227" s="1"/>
    </row>
    <row r="228" spans="1:10" x14ac:dyDescent="0.15">
      <c r="A228" s="1">
        <v>77</v>
      </c>
      <c r="B228" s="666" t="s">
        <v>4402</v>
      </c>
      <c r="C228" s="4" t="s">
        <v>4365</v>
      </c>
      <c r="D228" s="4" t="s">
        <v>4323</v>
      </c>
      <c r="E228" s="665" t="s">
        <v>4365</v>
      </c>
      <c r="F228" s="1">
        <v>3</v>
      </c>
      <c r="G228" s="1">
        <v>0</v>
      </c>
      <c r="H228" s="4" t="s">
        <v>4298</v>
      </c>
      <c r="I228" s="1"/>
      <c r="J228" s="1"/>
    </row>
    <row r="229" spans="1:10" x14ac:dyDescent="0.15">
      <c r="A229" s="1">
        <v>88</v>
      </c>
      <c r="B229" s="666" t="s">
        <v>4410</v>
      </c>
      <c r="C229" s="4" t="s">
        <v>4365</v>
      </c>
      <c r="D229" s="4" t="s">
        <v>4411</v>
      </c>
      <c r="E229" s="665" t="s">
        <v>4365</v>
      </c>
      <c r="F229" s="1">
        <v>10</v>
      </c>
      <c r="G229" s="1">
        <v>2</v>
      </c>
      <c r="H229" s="4" t="s">
        <v>4334</v>
      </c>
      <c r="I229" s="1"/>
      <c r="J229" s="1"/>
    </row>
    <row r="230" spans="1:10" x14ac:dyDescent="0.15">
      <c r="A230" s="1">
        <v>88</v>
      </c>
      <c r="B230" s="666" t="s">
        <v>4412</v>
      </c>
      <c r="C230" s="4" t="s">
        <v>4365</v>
      </c>
      <c r="D230" s="4" t="s">
        <v>4323</v>
      </c>
      <c r="E230" s="665" t="s">
        <v>4365</v>
      </c>
      <c r="F230" s="1">
        <v>5</v>
      </c>
      <c r="G230" s="1">
        <v>1</v>
      </c>
      <c r="H230" s="4" t="s">
        <v>4304</v>
      </c>
      <c r="I230" s="1"/>
      <c r="J230" s="1"/>
    </row>
    <row r="231" spans="1:10" x14ac:dyDescent="0.15">
      <c r="A231" s="1">
        <v>90</v>
      </c>
      <c r="B231" s="666" t="s">
        <v>4416</v>
      </c>
      <c r="C231" s="4" t="s">
        <v>4365</v>
      </c>
      <c r="D231" s="4" t="s">
        <v>4417</v>
      </c>
      <c r="E231" s="665" t="s">
        <v>4365</v>
      </c>
      <c r="F231" s="1">
        <v>10</v>
      </c>
      <c r="G231" s="1">
        <v>1</v>
      </c>
      <c r="H231" s="4" t="s">
        <v>4304</v>
      </c>
      <c r="I231" s="4" t="s">
        <v>4418</v>
      </c>
      <c r="J231" s="1"/>
    </row>
    <row r="232" spans="1:10" x14ac:dyDescent="0.15">
      <c r="A232" s="1">
        <v>91</v>
      </c>
      <c r="B232" s="666" t="s">
        <v>4420</v>
      </c>
      <c r="C232" s="4" t="s">
        <v>4365</v>
      </c>
      <c r="D232" s="4" t="s">
        <v>4411</v>
      </c>
      <c r="E232" s="665" t="s">
        <v>4365</v>
      </c>
      <c r="F232" s="1">
        <v>5</v>
      </c>
      <c r="G232" s="1">
        <v>1</v>
      </c>
      <c r="H232" s="4" t="s">
        <v>4304</v>
      </c>
      <c r="I232" s="759"/>
      <c r="J232" s="1"/>
    </row>
    <row r="233" spans="1:10" x14ac:dyDescent="0.15">
      <c r="A233" s="1">
        <v>92</v>
      </c>
      <c r="B233" s="666" t="s">
        <v>4421</v>
      </c>
      <c r="C233" s="4" t="s">
        <v>4365</v>
      </c>
      <c r="D233" s="4" t="s">
        <v>4411</v>
      </c>
      <c r="E233" s="665" t="s">
        <v>4365</v>
      </c>
      <c r="F233" s="1">
        <v>5</v>
      </c>
      <c r="G233" s="1">
        <v>1</v>
      </c>
      <c r="H233" s="4" t="s">
        <v>4304</v>
      </c>
      <c r="I233" s="759"/>
      <c r="J233" s="1"/>
    </row>
    <row r="234" spans="1:10" x14ac:dyDescent="0.15">
      <c r="A234" s="1">
        <v>93</v>
      </c>
      <c r="B234" s="666" t="s">
        <v>4423</v>
      </c>
      <c r="C234" s="4" t="s">
        <v>4365</v>
      </c>
      <c r="D234" s="4" t="s">
        <v>4411</v>
      </c>
      <c r="E234" s="665" t="s">
        <v>4365</v>
      </c>
      <c r="F234" s="1">
        <v>5</v>
      </c>
      <c r="G234" s="1">
        <v>0</v>
      </c>
      <c r="H234" s="759"/>
      <c r="I234" s="1"/>
      <c r="J234" s="1"/>
    </row>
    <row r="235" spans="1:10" x14ac:dyDescent="0.15">
      <c r="A235" s="1">
        <v>94</v>
      </c>
      <c r="B235" s="666" t="s">
        <v>4424</v>
      </c>
      <c r="C235" s="4" t="s">
        <v>4365</v>
      </c>
      <c r="D235" s="4" t="s">
        <v>4417</v>
      </c>
      <c r="E235" s="665" t="s">
        <v>4365</v>
      </c>
      <c r="F235" s="1">
        <v>15</v>
      </c>
      <c r="G235" s="1">
        <v>2</v>
      </c>
      <c r="H235" s="4" t="s">
        <v>4334</v>
      </c>
      <c r="I235" s="1"/>
      <c r="J235" s="1"/>
    </row>
    <row r="236" spans="1:10" x14ac:dyDescent="0.15">
      <c r="A236" s="1">
        <v>94</v>
      </c>
      <c r="B236" s="666" t="s">
        <v>4425</v>
      </c>
      <c r="C236" s="4" t="s">
        <v>4365</v>
      </c>
      <c r="D236" s="4" t="s">
        <v>4411</v>
      </c>
      <c r="E236" s="665" t="s">
        <v>4365</v>
      </c>
      <c r="F236" s="1">
        <v>5</v>
      </c>
      <c r="G236" s="1">
        <v>0</v>
      </c>
      <c r="H236" s="1"/>
      <c r="I236" s="1"/>
      <c r="J236" s="1"/>
    </row>
    <row r="237" spans="1:10" x14ac:dyDescent="0.15">
      <c r="A237" s="1">
        <v>95</v>
      </c>
      <c r="B237" s="666" t="s">
        <v>4426</v>
      </c>
      <c r="C237" s="4" t="s">
        <v>4365</v>
      </c>
      <c r="D237" s="4" t="s">
        <v>4323</v>
      </c>
      <c r="E237" s="665" t="s">
        <v>4365</v>
      </c>
      <c r="F237" s="1">
        <v>5</v>
      </c>
      <c r="G237" s="1">
        <v>1</v>
      </c>
      <c r="H237" s="4" t="s">
        <v>4304</v>
      </c>
      <c r="I237" s="1"/>
      <c r="J237" s="1"/>
    </row>
    <row r="238" spans="1:10" x14ac:dyDescent="0.15">
      <c r="A238" s="1">
        <v>98</v>
      </c>
      <c r="B238" s="666" t="s">
        <v>4430</v>
      </c>
      <c r="C238" s="4" t="s">
        <v>4365</v>
      </c>
      <c r="D238" s="4" t="s">
        <v>4417</v>
      </c>
      <c r="E238" s="665" t="s">
        <v>4365</v>
      </c>
      <c r="F238" s="1">
        <v>10</v>
      </c>
      <c r="G238" s="1">
        <v>1</v>
      </c>
      <c r="H238" s="4" t="s">
        <v>4304</v>
      </c>
      <c r="I238" s="759"/>
      <c r="J238" s="1"/>
    </row>
    <row r="239" spans="1:10" x14ac:dyDescent="0.15">
      <c r="A239" s="1">
        <v>99</v>
      </c>
      <c r="B239" s="666" t="s">
        <v>4431</v>
      </c>
      <c r="C239" s="4" t="s">
        <v>4365</v>
      </c>
      <c r="D239" s="4" t="s">
        <v>4432</v>
      </c>
      <c r="E239" s="665" t="s">
        <v>4365</v>
      </c>
      <c r="F239" s="1">
        <v>10</v>
      </c>
      <c r="G239" s="1">
        <v>2</v>
      </c>
      <c r="H239" s="4" t="s">
        <v>4433</v>
      </c>
      <c r="I239" s="1"/>
      <c r="J239" s="1"/>
    </row>
    <row r="240" spans="1:10" x14ac:dyDescent="0.15">
      <c r="A240" s="1">
        <v>100</v>
      </c>
      <c r="B240" s="666" t="s">
        <v>4434</v>
      </c>
      <c r="C240" s="4" t="s">
        <v>4365</v>
      </c>
      <c r="D240" s="4" t="s">
        <v>4432</v>
      </c>
      <c r="E240" s="665" t="s">
        <v>4365</v>
      </c>
      <c r="F240" s="1">
        <v>10</v>
      </c>
      <c r="G240" s="1">
        <v>1</v>
      </c>
      <c r="H240" s="4" t="s">
        <v>4304</v>
      </c>
      <c r="I240" s="1"/>
      <c r="J240" s="1"/>
    </row>
    <row r="241" spans="1:10" x14ac:dyDescent="0.15">
      <c r="A241" s="1">
        <v>101</v>
      </c>
      <c r="B241" s="666" t="s">
        <v>4436</v>
      </c>
      <c r="C241" s="4" t="s">
        <v>4365</v>
      </c>
      <c r="D241" s="4" t="s">
        <v>4411</v>
      </c>
      <c r="E241" s="665" t="s">
        <v>4365</v>
      </c>
      <c r="F241" s="1">
        <v>5</v>
      </c>
      <c r="G241" s="1">
        <v>0</v>
      </c>
      <c r="H241" s="759"/>
      <c r="I241" s="1"/>
      <c r="J241" s="1"/>
    </row>
    <row r="242" spans="1:10" x14ac:dyDescent="0.15">
      <c r="A242" s="1">
        <v>102</v>
      </c>
      <c r="B242" s="666" t="s">
        <v>4437</v>
      </c>
      <c r="C242" s="4" t="s">
        <v>4365</v>
      </c>
      <c r="D242" s="4" t="s">
        <v>4411</v>
      </c>
      <c r="E242" s="665" t="s">
        <v>4365</v>
      </c>
      <c r="F242" s="1">
        <v>5</v>
      </c>
      <c r="G242" s="1">
        <v>0</v>
      </c>
      <c r="H242" s="759"/>
      <c r="I242" s="1"/>
      <c r="J242" s="1"/>
    </row>
    <row r="243" spans="1:10" x14ac:dyDescent="0.15">
      <c r="A243" s="1">
        <v>103</v>
      </c>
      <c r="B243" s="666" t="s">
        <v>4438</v>
      </c>
      <c r="C243" s="4" t="s">
        <v>4365</v>
      </c>
      <c r="D243" s="4" t="s">
        <v>4411</v>
      </c>
      <c r="E243" s="665" t="s">
        <v>4365</v>
      </c>
      <c r="F243" s="1">
        <v>5</v>
      </c>
      <c r="G243" s="1">
        <v>0</v>
      </c>
      <c r="H243" s="1"/>
      <c r="I243" s="1"/>
      <c r="J243" s="1"/>
    </row>
    <row r="244" spans="1:10" x14ac:dyDescent="0.15">
      <c r="A244" s="1">
        <v>103</v>
      </c>
      <c r="B244" s="666" t="s">
        <v>4439</v>
      </c>
      <c r="C244" s="4" t="s">
        <v>4365</v>
      </c>
      <c r="D244" s="4" t="s">
        <v>4432</v>
      </c>
      <c r="E244" s="665" t="s">
        <v>4365</v>
      </c>
      <c r="F244" s="1">
        <v>10</v>
      </c>
      <c r="G244" s="1">
        <v>1</v>
      </c>
      <c r="H244" s="4" t="s">
        <v>4304</v>
      </c>
      <c r="I244" s="1"/>
      <c r="J244" s="1"/>
    </row>
    <row r="245" spans="1:10" x14ac:dyDescent="0.15">
      <c r="A245" s="1">
        <v>105</v>
      </c>
      <c r="B245" s="666" t="s">
        <v>4440</v>
      </c>
      <c r="C245" s="4" t="s">
        <v>4365</v>
      </c>
      <c r="D245" s="4" t="s">
        <v>4323</v>
      </c>
      <c r="E245" s="665" t="s">
        <v>4365</v>
      </c>
      <c r="F245" s="1">
        <v>5</v>
      </c>
      <c r="G245" s="1">
        <v>0</v>
      </c>
      <c r="H245" s="759"/>
      <c r="I245" s="1"/>
      <c r="J245" s="1"/>
    </row>
    <row r="246" spans="1:10" x14ac:dyDescent="0.15">
      <c r="A246" s="1">
        <v>105</v>
      </c>
      <c r="B246" s="666" t="s">
        <v>4441</v>
      </c>
      <c r="C246" s="4" t="s">
        <v>4365</v>
      </c>
      <c r="D246" s="4" t="s">
        <v>4411</v>
      </c>
      <c r="E246" s="665" t="s">
        <v>4365</v>
      </c>
      <c r="F246" s="1">
        <v>10</v>
      </c>
      <c r="G246" s="1">
        <v>0</v>
      </c>
      <c r="H246" s="4" t="s">
        <v>4304</v>
      </c>
      <c r="I246" s="4"/>
      <c r="J246" s="1"/>
    </row>
    <row r="247" spans="1:10" x14ac:dyDescent="0.15">
      <c r="A247" s="1">
        <v>106</v>
      </c>
      <c r="B247" s="666" t="s">
        <v>4442</v>
      </c>
      <c r="C247" s="4" t="s">
        <v>4365</v>
      </c>
      <c r="D247" s="4" t="s">
        <v>4323</v>
      </c>
      <c r="E247" s="665" t="s">
        <v>4365</v>
      </c>
      <c r="F247" s="1">
        <v>5</v>
      </c>
      <c r="G247" s="1">
        <v>1</v>
      </c>
      <c r="H247" s="4" t="s">
        <v>4304</v>
      </c>
      <c r="I247" s="759"/>
      <c r="J247" s="1"/>
    </row>
    <row r="248" spans="1:10" x14ac:dyDescent="0.15">
      <c r="A248" s="1">
        <v>106</v>
      </c>
      <c r="B248" s="666" t="s">
        <v>4443</v>
      </c>
      <c r="C248" s="4" t="s">
        <v>4365</v>
      </c>
      <c r="D248" s="4" t="s">
        <v>4432</v>
      </c>
      <c r="E248" s="665" t="s">
        <v>4365</v>
      </c>
      <c r="F248" s="1">
        <v>10</v>
      </c>
      <c r="G248" s="1">
        <v>2</v>
      </c>
      <c r="H248" s="4" t="s">
        <v>4334</v>
      </c>
      <c r="I248" s="1"/>
      <c r="J248" s="1"/>
    </row>
    <row r="249" spans="1:10" x14ac:dyDescent="0.15">
      <c r="A249" s="1">
        <v>107</v>
      </c>
      <c r="B249" s="666" t="s">
        <v>4444</v>
      </c>
      <c r="C249" s="4" t="s">
        <v>4365</v>
      </c>
      <c r="D249" s="4" t="s">
        <v>4323</v>
      </c>
      <c r="E249" s="665" t="s">
        <v>4365</v>
      </c>
      <c r="F249" s="1">
        <v>10</v>
      </c>
      <c r="G249" s="1">
        <v>0</v>
      </c>
      <c r="H249" s="759"/>
      <c r="I249" s="1"/>
      <c r="J249" s="1"/>
    </row>
    <row r="250" spans="1:10" x14ac:dyDescent="0.15">
      <c r="A250" s="1">
        <v>107</v>
      </c>
      <c r="B250" s="666" t="s">
        <v>4445</v>
      </c>
      <c r="C250" s="4" t="s">
        <v>4365</v>
      </c>
      <c r="D250" s="4" t="s">
        <v>4417</v>
      </c>
      <c r="E250" s="665" t="s">
        <v>4365</v>
      </c>
      <c r="F250" s="1">
        <v>10</v>
      </c>
      <c r="G250" s="1">
        <v>0</v>
      </c>
      <c r="H250" s="759"/>
      <c r="I250" s="1"/>
      <c r="J250" s="1"/>
    </row>
    <row r="251" spans="1:10" x14ac:dyDescent="0.15">
      <c r="A251" s="1">
        <v>108</v>
      </c>
      <c r="B251" s="666" t="s">
        <v>4446</v>
      </c>
      <c r="C251" s="4" t="s">
        <v>4365</v>
      </c>
      <c r="D251" s="4" t="s">
        <v>4323</v>
      </c>
      <c r="E251" s="665" t="s">
        <v>4365</v>
      </c>
      <c r="F251" s="1">
        <v>5</v>
      </c>
      <c r="G251" s="1">
        <v>0</v>
      </c>
      <c r="H251" s="759"/>
      <c r="I251" s="1"/>
      <c r="J251" s="1"/>
    </row>
    <row r="252" spans="1:10" x14ac:dyDescent="0.15">
      <c r="A252" s="1">
        <v>108</v>
      </c>
      <c r="B252" s="666" t="s">
        <v>4447</v>
      </c>
      <c r="C252" s="4" t="s">
        <v>4365</v>
      </c>
      <c r="D252" s="4" t="s">
        <v>4323</v>
      </c>
      <c r="E252" s="665" t="s">
        <v>4365</v>
      </c>
      <c r="F252" s="1">
        <v>5</v>
      </c>
      <c r="G252" s="1">
        <v>1</v>
      </c>
      <c r="H252" s="4" t="s">
        <v>4304</v>
      </c>
      <c r="I252" s="1"/>
      <c r="J252" s="1"/>
    </row>
    <row r="253" spans="1:10" x14ac:dyDescent="0.15">
      <c r="A253" s="1">
        <v>109</v>
      </c>
      <c r="B253" s="666" t="s">
        <v>4449</v>
      </c>
      <c r="C253" s="4" t="s">
        <v>4365</v>
      </c>
      <c r="D253" s="4" t="s">
        <v>4417</v>
      </c>
      <c r="E253" s="665" t="s">
        <v>4365</v>
      </c>
      <c r="F253" s="1">
        <v>5</v>
      </c>
      <c r="G253" s="1">
        <v>1</v>
      </c>
      <c r="H253" s="4" t="s">
        <v>4304</v>
      </c>
      <c r="I253" s="1"/>
      <c r="J253" s="1"/>
    </row>
    <row r="254" spans="1:10" x14ac:dyDescent="0.15">
      <c r="A254" s="1">
        <v>110</v>
      </c>
      <c r="B254" s="666" t="s">
        <v>4450</v>
      </c>
      <c r="C254" s="4" t="s">
        <v>4365</v>
      </c>
      <c r="D254" s="4" t="s">
        <v>4323</v>
      </c>
      <c r="E254" s="665" t="s">
        <v>4365</v>
      </c>
      <c r="F254" s="1">
        <v>5</v>
      </c>
      <c r="G254" s="1">
        <v>1</v>
      </c>
      <c r="H254" s="4" t="s">
        <v>4304</v>
      </c>
      <c r="I254" s="1"/>
      <c r="J254" s="1"/>
    </row>
    <row r="255" spans="1:10" x14ac:dyDescent="0.15">
      <c r="A255" s="1">
        <v>111</v>
      </c>
      <c r="B255" s="666" t="s">
        <v>4451</v>
      </c>
      <c r="C255" s="4" t="s">
        <v>4365</v>
      </c>
      <c r="D255" s="4" t="s">
        <v>4417</v>
      </c>
      <c r="E255" s="665" t="s">
        <v>4365</v>
      </c>
      <c r="F255" s="1">
        <v>10</v>
      </c>
      <c r="G255" s="1">
        <v>1</v>
      </c>
      <c r="H255" s="4" t="s">
        <v>4304</v>
      </c>
      <c r="I255" s="1"/>
      <c r="J255" s="1"/>
    </row>
    <row r="256" spans="1:10" x14ac:dyDescent="0.15">
      <c r="A256" s="1">
        <v>112</v>
      </c>
      <c r="B256" s="666" t="s">
        <v>4452</v>
      </c>
      <c r="C256" s="4" t="s">
        <v>4365</v>
      </c>
      <c r="D256" s="4" t="s">
        <v>4453</v>
      </c>
      <c r="E256" s="665" t="s">
        <v>4365</v>
      </c>
      <c r="F256" s="1">
        <v>10</v>
      </c>
      <c r="G256" s="1">
        <v>1</v>
      </c>
      <c r="H256" s="4" t="s">
        <v>4304</v>
      </c>
      <c r="I256" s="1"/>
      <c r="J256" s="1"/>
    </row>
    <row r="257" spans="1:10" x14ac:dyDescent="0.15">
      <c r="A257" s="1">
        <v>112</v>
      </c>
      <c r="B257" s="666" t="s">
        <v>4454</v>
      </c>
      <c r="C257" s="4" t="s">
        <v>4365</v>
      </c>
      <c r="D257" s="4" t="s">
        <v>4453</v>
      </c>
      <c r="E257" s="665" t="s">
        <v>4365</v>
      </c>
      <c r="F257" s="1">
        <v>5</v>
      </c>
      <c r="G257" s="1">
        <v>1</v>
      </c>
      <c r="H257" s="4" t="s">
        <v>4304</v>
      </c>
      <c r="I257" s="1"/>
      <c r="J257" s="1"/>
    </row>
    <row r="258" spans="1:10" x14ac:dyDescent="0.15">
      <c r="A258" s="1">
        <v>113</v>
      </c>
      <c r="B258" s="666" t="s">
        <v>4456</v>
      </c>
      <c r="C258" s="4" t="s">
        <v>4365</v>
      </c>
      <c r="D258" s="4" t="s">
        <v>4432</v>
      </c>
      <c r="E258" s="665" t="s">
        <v>4365</v>
      </c>
      <c r="F258" s="1">
        <v>5</v>
      </c>
      <c r="G258" s="1">
        <v>1</v>
      </c>
      <c r="H258" s="4" t="s">
        <v>4304</v>
      </c>
      <c r="I258" s="1"/>
      <c r="J258" s="1"/>
    </row>
    <row r="259" spans="1:10" x14ac:dyDescent="0.15">
      <c r="A259" s="1">
        <v>114</v>
      </c>
      <c r="B259" s="666" t="s">
        <v>4458</v>
      </c>
      <c r="C259" s="4" t="s">
        <v>4365</v>
      </c>
      <c r="D259" s="4" t="s">
        <v>4432</v>
      </c>
      <c r="E259" s="665" t="s">
        <v>4365</v>
      </c>
      <c r="F259" s="1">
        <v>5</v>
      </c>
      <c r="G259" s="1">
        <v>1</v>
      </c>
      <c r="H259" s="4" t="s">
        <v>4304</v>
      </c>
      <c r="I259" s="1"/>
      <c r="J259" s="1"/>
    </row>
    <row r="260" spans="1:10" x14ac:dyDescent="0.15">
      <c r="A260" s="1">
        <v>115</v>
      </c>
      <c r="B260" s="666" t="s">
        <v>4459</v>
      </c>
      <c r="C260" s="4" t="s">
        <v>4365</v>
      </c>
      <c r="D260" s="4" t="s">
        <v>745</v>
      </c>
      <c r="E260" s="665" t="s">
        <v>4365</v>
      </c>
      <c r="F260" s="1">
        <v>5</v>
      </c>
      <c r="G260" s="1">
        <v>1</v>
      </c>
      <c r="H260" s="4" t="s">
        <v>4304</v>
      </c>
      <c r="I260" s="1"/>
      <c r="J260" s="1"/>
    </row>
    <row r="261" spans="1:10" x14ac:dyDescent="0.15">
      <c r="A261" s="1">
        <v>116</v>
      </c>
      <c r="B261" s="666" t="s">
        <v>4461</v>
      </c>
      <c r="C261" s="4" t="s">
        <v>4365</v>
      </c>
      <c r="D261" s="4" t="s">
        <v>4323</v>
      </c>
      <c r="E261" s="665" t="s">
        <v>4365</v>
      </c>
      <c r="F261" s="1">
        <v>5</v>
      </c>
      <c r="G261" s="1">
        <v>1</v>
      </c>
      <c r="H261" s="4" t="s">
        <v>4304</v>
      </c>
      <c r="I261" s="1"/>
      <c r="J261" s="1"/>
    </row>
    <row r="262" spans="1:10" x14ac:dyDescent="0.15">
      <c r="A262" s="1">
        <v>118</v>
      </c>
      <c r="B262" s="666" t="s">
        <v>4466</v>
      </c>
      <c r="C262" s="4" t="s">
        <v>4365</v>
      </c>
      <c r="D262" s="4" t="s">
        <v>4323</v>
      </c>
      <c r="E262" s="665" t="s">
        <v>4365</v>
      </c>
      <c r="F262" s="1">
        <v>5</v>
      </c>
      <c r="G262" s="1">
        <v>1</v>
      </c>
      <c r="H262" s="4" t="s">
        <v>4304</v>
      </c>
      <c r="I262" s="1"/>
      <c r="J262" s="1"/>
    </row>
    <row r="263" spans="1:10" x14ac:dyDescent="0.15">
      <c r="A263" s="1">
        <v>119</v>
      </c>
      <c r="B263" s="666" t="s">
        <v>4467</v>
      </c>
      <c r="C263" s="4" t="s">
        <v>4365</v>
      </c>
      <c r="D263" s="4" t="s">
        <v>4417</v>
      </c>
      <c r="E263" s="665" t="s">
        <v>4365</v>
      </c>
      <c r="F263" s="1">
        <v>5</v>
      </c>
      <c r="G263" s="1">
        <v>0</v>
      </c>
      <c r="H263" s="759"/>
      <c r="I263" s="1"/>
      <c r="J263" s="1"/>
    </row>
    <row r="264" spans="1:10" x14ac:dyDescent="0.15">
      <c r="A264" s="1">
        <v>120</v>
      </c>
      <c r="B264" s="666" t="s">
        <v>466</v>
      </c>
      <c r="C264" s="4" t="s">
        <v>4365</v>
      </c>
      <c r="D264" s="4" t="s">
        <v>4417</v>
      </c>
      <c r="E264" s="665" t="s">
        <v>4365</v>
      </c>
      <c r="F264" s="1">
        <v>10</v>
      </c>
      <c r="G264" s="1">
        <v>1</v>
      </c>
      <c r="H264" s="4" t="s">
        <v>4334</v>
      </c>
      <c r="I264" s="4" t="s">
        <v>3396</v>
      </c>
      <c r="J264" s="1"/>
    </row>
    <row r="265" spans="1:10" x14ac:dyDescent="0.15">
      <c r="A265" s="1">
        <v>121</v>
      </c>
      <c r="B265" s="666" t="s">
        <v>4468</v>
      </c>
      <c r="C265" s="4" t="s">
        <v>4365</v>
      </c>
      <c r="D265" s="4" t="s">
        <v>4323</v>
      </c>
      <c r="E265" s="665" t="s">
        <v>4365</v>
      </c>
      <c r="F265" s="1">
        <v>10</v>
      </c>
      <c r="G265" s="1">
        <v>1</v>
      </c>
      <c r="H265" s="4" t="s">
        <v>4304</v>
      </c>
      <c r="I265" s="1"/>
      <c r="J265" s="1"/>
    </row>
    <row r="266" spans="1:10" x14ac:dyDescent="0.15">
      <c r="A266" s="1">
        <v>122</v>
      </c>
      <c r="B266" s="666" t="s">
        <v>4469</v>
      </c>
      <c r="C266" s="4" t="s">
        <v>4365</v>
      </c>
      <c r="D266" s="4" t="s">
        <v>4323</v>
      </c>
      <c r="E266" s="665" t="s">
        <v>4365</v>
      </c>
      <c r="F266" s="1">
        <v>20</v>
      </c>
      <c r="G266" s="1">
        <v>1</v>
      </c>
      <c r="H266" s="4" t="s">
        <v>4304</v>
      </c>
      <c r="I266" s="1"/>
      <c r="J266" s="1"/>
    </row>
    <row r="267" spans="1:10" x14ac:dyDescent="0.15">
      <c r="A267" s="1">
        <v>122</v>
      </c>
      <c r="B267" s="666" t="s">
        <v>4470</v>
      </c>
      <c r="C267" s="4" t="s">
        <v>4365</v>
      </c>
      <c r="D267" s="4" t="s">
        <v>4323</v>
      </c>
      <c r="E267" s="665" t="s">
        <v>4365</v>
      </c>
      <c r="F267" s="1">
        <v>5</v>
      </c>
      <c r="G267" s="1">
        <v>1</v>
      </c>
      <c r="H267" s="4" t="s">
        <v>4304</v>
      </c>
      <c r="I267" s="1"/>
      <c r="J267" s="1"/>
    </row>
    <row r="268" spans="1:10" x14ac:dyDescent="0.15">
      <c r="A268" s="1">
        <v>123</v>
      </c>
      <c r="B268" s="666" t="s">
        <v>4471</v>
      </c>
      <c r="C268" s="4" t="s">
        <v>4365</v>
      </c>
      <c r="D268" s="4" t="s">
        <v>4323</v>
      </c>
      <c r="E268" s="665" t="s">
        <v>4365</v>
      </c>
      <c r="F268" s="1">
        <v>5</v>
      </c>
      <c r="G268" s="1">
        <v>0</v>
      </c>
      <c r="H268" s="1"/>
      <c r="I268" s="1"/>
      <c r="J268" s="1"/>
    </row>
    <row r="269" spans="1:10" x14ac:dyDescent="0.15">
      <c r="A269" s="1">
        <v>124</v>
      </c>
      <c r="B269" s="666" t="s">
        <v>4472</v>
      </c>
      <c r="C269" s="4" t="s">
        <v>4365</v>
      </c>
      <c r="D269" s="4" t="s">
        <v>4432</v>
      </c>
      <c r="E269" s="665" t="s">
        <v>4365</v>
      </c>
      <c r="F269" s="1">
        <v>7</v>
      </c>
      <c r="G269" s="1">
        <v>1</v>
      </c>
      <c r="H269" s="4" t="s">
        <v>4304</v>
      </c>
      <c r="I269" s="1"/>
      <c r="J269" s="1"/>
    </row>
    <row r="270" spans="1:10" x14ac:dyDescent="0.15">
      <c r="A270" s="1">
        <v>125</v>
      </c>
      <c r="B270" s="666" t="s">
        <v>4474</v>
      </c>
      <c r="C270" s="4" t="s">
        <v>4365</v>
      </c>
      <c r="D270" s="4" t="s">
        <v>4323</v>
      </c>
      <c r="E270" s="665" t="s">
        <v>4365</v>
      </c>
      <c r="F270" s="1">
        <v>5</v>
      </c>
      <c r="G270" s="1">
        <v>0</v>
      </c>
      <c r="H270" s="4" t="s">
        <v>4304</v>
      </c>
      <c r="I270" s="4"/>
      <c r="J270" s="1"/>
    </row>
    <row r="271" spans="1:10" x14ac:dyDescent="0.15">
      <c r="A271" s="1">
        <v>125</v>
      </c>
      <c r="B271" s="666" t="s">
        <v>4475</v>
      </c>
      <c r="C271" s="4" t="s">
        <v>4365</v>
      </c>
      <c r="D271" s="4" t="s">
        <v>4323</v>
      </c>
      <c r="E271" s="665" t="s">
        <v>4365</v>
      </c>
      <c r="F271" s="1">
        <v>5</v>
      </c>
      <c r="G271" s="1">
        <v>1</v>
      </c>
      <c r="H271" s="4" t="s">
        <v>4304</v>
      </c>
      <c r="I271" s="1"/>
      <c r="J271" s="1"/>
    </row>
    <row r="272" spans="1:10" x14ac:dyDescent="0.15">
      <c r="A272" s="1">
        <v>128</v>
      </c>
      <c r="B272" s="666" t="s">
        <v>4476</v>
      </c>
      <c r="C272" s="4" t="s">
        <v>4365</v>
      </c>
      <c r="D272" s="4" t="s">
        <v>4323</v>
      </c>
      <c r="E272" s="665" t="s">
        <v>4365</v>
      </c>
      <c r="F272" s="1">
        <v>5</v>
      </c>
      <c r="G272" s="1">
        <v>1</v>
      </c>
      <c r="H272" s="4" t="s">
        <v>4304</v>
      </c>
      <c r="I272" s="1"/>
      <c r="J272" s="1"/>
    </row>
    <row r="273" spans="1:10" x14ac:dyDescent="0.15">
      <c r="A273" s="1">
        <v>129</v>
      </c>
      <c r="B273" s="666" t="s">
        <v>4477</v>
      </c>
      <c r="C273" s="4" t="s">
        <v>4365</v>
      </c>
      <c r="D273" s="4" t="s">
        <v>4323</v>
      </c>
      <c r="E273" s="665" t="s">
        <v>4365</v>
      </c>
      <c r="F273" s="1">
        <v>5</v>
      </c>
      <c r="G273" s="1">
        <v>1</v>
      </c>
      <c r="H273" s="4" t="s">
        <v>4304</v>
      </c>
      <c r="I273" s="1"/>
      <c r="J273" s="1"/>
    </row>
    <row r="274" spans="1:10" x14ac:dyDescent="0.15">
      <c r="A274" s="1">
        <v>129</v>
      </c>
      <c r="B274" s="666" t="s">
        <v>4478</v>
      </c>
      <c r="C274" s="4" t="s">
        <v>4365</v>
      </c>
      <c r="D274" s="4" t="s">
        <v>4323</v>
      </c>
      <c r="E274" s="665" t="s">
        <v>4365</v>
      </c>
      <c r="F274" s="1">
        <v>5</v>
      </c>
      <c r="G274" s="1">
        <v>1</v>
      </c>
      <c r="H274" s="4" t="s">
        <v>4304</v>
      </c>
      <c r="I274" s="759"/>
      <c r="J274" s="1"/>
    </row>
    <row r="275" spans="1:10" x14ac:dyDescent="0.15">
      <c r="A275" s="1">
        <v>130</v>
      </c>
      <c r="B275" s="666" t="s">
        <v>4479</v>
      </c>
      <c r="C275" s="4" t="s">
        <v>4365</v>
      </c>
      <c r="D275" s="4" t="s">
        <v>4323</v>
      </c>
      <c r="E275" s="665" t="s">
        <v>4365</v>
      </c>
      <c r="F275" s="1">
        <v>5</v>
      </c>
      <c r="G275" s="1">
        <v>1</v>
      </c>
      <c r="H275" s="4" t="s">
        <v>4304</v>
      </c>
      <c r="I275" s="759"/>
      <c r="J275" s="759"/>
    </row>
    <row r="276" spans="1:10" x14ac:dyDescent="0.15">
      <c r="A276" s="1">
        <v>130</v>
      </c>
      <c r="B276" s="666" t="s">
        <v>4480</v>
      </c>
      <c r="C276" s="4" t="s">
        <v>4365</v>
      </c>
      <c r="D276" s="4" t="s">
        <v>4323</v>
      </c>
      <c r="E276" s="665" t="s">
        <v>4365</v>
      </c>
      <c r="F276" s="1">
        <v>10</v>
      </c>
      <c r="G276" s="1">
        <v>1</v>
      </c>
      <c r="H276" s="4" t="s">
        <v>4334</v>
      </c>
      <c r="I276" s="1"/>
      <c r="J276" s="1"/>
    </row>
    <row r="277" spans="1:10" x14ac:dyDescent="0.15">
      <c r="A277" s="1">
        <v>131</v>
      </c>
      <c r="B277" s="666" t="s">
        <v>1167</v>
      </c>
      <c r="C277" s="4" t="s">
        <v>4365</v>
      </c>
      <c r="D277" s="4" t="s">
        <v>4323</v>
      </c>
      <c r="E277" s="665" t="s">
        <v>4365</v>
      </c>
      <c r="F277" s="1">
        <v>5</v>
      </c>
      <c r="G277" s="1">
        <v>0</v>
      </c>
      <c r="H277" s="759"/>
      <c r="I277" s="1"/>
      <c r="J277" s="1"/>
    </row>
    <row r="278" spans="1:10" x14ac:dyDescent="0.15">
      <c r="A278" s="1">
        <v>131</v>
      </c>
      <c r="B278" s="666" t="s">
        <v>3248</v>
      </c>
      <c r="C278" s="4" t="s">
        <v>4365</v>
      </c>
      <c r="D278" s="4" t="s">
        <v>4432</v>
      </c>
      <c r="E278" s="665" t="s">
        <v>4365</v>
      </c>
      <c r="F278" s="1">
        <v>10</v>
      </c>
      <c r="G278" s="1">
        <v>1</v>
      </c>
      <c r="H278" s="4" t="s">
        <v>4304</v>
      </c>
      <c r="I278" s="1"/>
      <c r="J278" s="1"/>
    </row>
    <row r="279" spans="1:10" x14ac:dyDescent="0.15">
      <c r="A279" s="1">
        <v>132</v>
      </c>
      <c r="B279" s="666" t="s">
        <v>4481</v>
      </c>
      <c r="C279" s="4" t="s">
        <v>4365</v>
      </c>
      <c r="D279" s="4" t="s">
        <v>4432</v>
      </c>
      <c r="E279" s="665" t="s">
        <v>4365</v>
      </c>
      <c r="F279" s="1">
        <v>5</v>
      </c>
      <c r="G279" s="1">
        <v>2</v>
      </c>
      <c r="H279" s="4" t="s">
        <v>4482</v>
      </c>
      <c r="I279" s="759"/>
      <c r="J279" s="759"/>
    </row>
    <row r="280" spans="1:10" x14ac:dyDescent="0.15">
      <c r="A280" s="1">
        <v>132</v>
      </c>
      <c r="B280" s="666" t="s">
        <v>4483</v>
      </c>
      <c r="C280" s="4" t="s">
        <v>4365</v>
      </c>
      <c r="D280" s="4" t="s">
        <v>4417</v>
      </c>
      <c r="E280" s="665" t="s">
        <v>4365</v>
      </c>
      <c r="F280" s="1">
        <v>20</v>
      </c>
      <c r="G280" s="1">
        <v>1</v>
      </c>
      <c r="H280" s="4" t="s">
        <v>4304</v>
      </c>
      <c r="I280" s="1"/>
      <c r="J280" s="1"/>
    </row>
    <row r="281" spans="1:10" x14ac:dyDescent="0.15">
      <c r="A281" s="1">
        <v>133</v>
      </c>
      <c r="B281" s="666" t="s">
        <v>4484</v>
      </c>
      <c r="C281" s="4" t="s">
        <v>4365</v>
      </c>
      <c r="D281" s="4" t="s">
        <v>4432</v>
      </c>
      <c r="E281" s="665" t="s">
        <v>4365</v>
      </c>
      <c r="F281" s="1">
        <v>5</v>
      </c>
      <c r="G281" s="1">
        <v>0</v>
      </c>
      <c r="H281" s="759"/>
      <c r="I281" s="1"/>
      <c r="J281" s="1"/>
    </row>
    <row r="282" spans="1:10" x14ac:dyDescent="0.15">
      <c r="A282" s="1">
        <v>134</v>
      </c>
      <c r="B282" s="666" t="s">
        <v>4486</v>
      </c>
      <c r="C282" s="4" t="s">
        <v>4365</v>
      </c>
      <c r="D282" s="4" t="s">
        <v>4417</v>
      </c>
      <c r="E282" s="665" t="s">
        <v>4365</v>
      </c>
      <c r="F282" s="1">
        <v>10</v>
      </c>
      <c r="G282" s="1">
        <v>1</v>
      </c>
      <c r="H282" s="4" t="s">
        <v>4304</v>
      </c>
      <c r="I282" s="1"/>
      <c r="J282" s="1"/>
    </row>
    <row r="283" spans="1:10" x14ac:dyDescent="0.15">
      <c r="A283" s="1">
        <v>135</v>
      </c>
      <c r="B283" s="666" t="s">
        <v>4487</v>
      </c>
      <c r="C283" s="4" t="s">
        <v>4365</v>
      </c>
      <c r="D283" s="4" t="s">
        <v>4323</v>
      </c>
      <c r="E283" s="665" t="s">
        <v>4365</v>
      </c>
      <c r="F283" s="1">
        <v>5</v>
      </c>
      <c r="G283" s="1">
        <v>1</v>
      </c>
      <c r="H283" s="4" t="s">
        <v>4304</v>
      </c>
      <c r="I283" s="1"/>
      <c r="J283" s="1"/>
    </row>
    <row r="284" spans="1:10" x14ac:dyDescent="0.15">
      <c r="A284" s="1">
        <v>135</v>
      </c>
      <c r="B284" s="666" t="s">
        <v>4488</v>
      </c>
      <c r="C284" s="4" t="s">
        <v>4365</v>
      </c>
      <c r="D284" s="4" t="s">
        <v>4432</v>
      </c>
      <c r="E284" s="665" t="s">
        <v>4365</v>
      </c>
      <c r="F284" s="1">
        <v>10</v>
      </c>
      <c r="G284" s="1">
        <v>0</v>
      </c>
      <c r="H284" s="759"/>
      <c r="I284" s="759"/>
      <c r="J284" s="1"/>
    </row>
    <row r="285" spans="1:10" x14ac:dyDescent="0.15">
      <c r="A285" s="1">
        <v>136</v>
      </c>
      <c r="B285" s="666" t="s">
        <v>4489</v>
      </c>
      <c r="C285" s="4" t="s">
        <v>4365</v>
      </c>
      <c r="D285" s="4" t="s">
        <v>4432</v>
      </c>
      <c r="E285" s="665" t="s">
        <v>4365</v>
      </c>
      <c r="F285" s="1">
        <v>10</v>
      </c>
      <c r="G285" s="1">
        <v>1</v>
      </c>
      <c r="H285" s="4" t="s">
        <v>4304</v>
      </c>
      <c r="I285" s="1"/>
      <c r="J285" s="1"/>
    </row>
    <row r="286" spans="1:10" x14ac:dyDescent="0.15">
      <c r="A286" s="1">
        <v>136</v>
      </c>
      <c r="B286" s="666" t="s">
        <v>4490</v>
      </c>
      <c r="C286" s="4" t="s">
        <v>4365</v>
      </c>
      <c r="D286" s="4" t="s">
        <v>4323</v>
      </c>
      <c r="E286" s="665" t="s">
        <v>4365</v>
      </c>
      <c r="F286" s="1">
        <v>5</v>
      </c>
      <c r="G286" s="1">
        <v>0</v>
      </c>
      <c r="H286" s="759"/>
      <c r="I286" s="1"/>
      <c r="J286" s="1"/>
    </row>
    <row r="287" spans="1:10" x14ac:dyDescent="0.15">
      <c r="A287" s="1">
        <v>137</v>
      </c>
      <c r="B287" s="666" t="s">
        <v>4491</v>
      </c>
      <c r="C287" s="4" t="s">
        <v>4365</v>
      </c>
      <c r="D287" s="4" t="s">
        <v>4323</v>
      </c>
      <c r="E287" s="665" t="s">
        <v>4365</v>
      </c>
      <c r="F287" s="1">
        <v>5</v>
      </c>
      <c r="G287" s="1">
        <v>0</v>
      </c>
      <c r="H287" s="759"/>
      <c r="I287" s="759"/>
      <c r="J287" s="1"/>
    </row>
    <row r="288" spans="1:10" x14ac:dyDescent="0.15">
      <c r="A288" s="1">
        <v>138</v>
      </c>
      <c r="B288" s="666" t="s">
        <v>4493</v>
      </c>
      <c r="C288" s="4" t="s">
        <v>4365</v>
      </c>
      <c r="D288" s="4" t="s">
        <v>4323</v>
      </c>
      <c r="E288" s="665" t="s">
        <v>4365</v>
      </c>
      <c r="F288" s="1">
        <v>5</v>
      </c>
      <c r="G288" s="1">
        <v>0</v>
      </c>
      <c r="H288" s="759"/>
      <c r="I288" s="1"/>
      <c r="J288" s="1"/>
    </row>
    <row r="289" spans="1:12" x14ac:dyDescent="0.15">
      <c r="A289" s="1">
        <v>139</v>
      </c>
      <c r="B289" s="666" t="s">
        <v>4495</v>
      </c>
      <c r="C289" s="4" t="s">
        <v>4365</v>
      </c>
      <c r="D289" s="4" t="s">
        <v>4323</v>
      </c>
      <c r="E289" s="665" t="s">
        <v>4365</v>
      </c>
      <c r="F289" s="1">
        <v>5</v>
      </c>
      <c r="G289" s="1">
        <v>1</v>
      </c>
      <c r="H289" s="4" t="s">
        <v>4304</v>
      </c>
      <c r="I289" s="1"/>
      <c r="J289" s="1"/>
    </row>
    <row r="290" spans="1:12" x14ac:dyDescent="0.15">
      <c r="A290" s="1">
        <v>140</v>
      </c>
      <c r="B290" s="666" t="s">
        <v>4496</v>
      </c>
      <c r="C290" s="4" t="s">
        <v>4365</v>
      </c>
      <c r="D290" s="4" t="s">
        <v>4323</v>
      </c>
      <c r="E290" s="665" t="s">
        <v>4365</v>
      </c>
      <c r="F290" s="1">
        <v>5</v>
      </c>
      <c r="G290" s="1">
        <v>1</v>
      </c>
      <c r="H290" s="4" t="s">
        <v>4304</v>
      </c>
      <c r="I290" s="1"/>
      <c r="J290" s="1"/>
    </row>
    <row r="291" spans="1:12" x14ac:dyDescent="0.15">
      <c r="A291" s="1">
        <v>141</v>
      </c>
      <c r="B291" s="666" t="s">
        <v>4499</v>
      </c>
      <c r="C291" s="4" t="s">
        <v>4365</v>
      </c>
      <c r="D291" s="4" t="s">
        <v>4323</v>
      </c>
      <c r="E291" s="665" t="s">
        <v>4365</v>
      </c>
      <c r="F291" s="1">
        <v>7</v>
      </c>
      <c r="G291" s="1">
        <v>1</v>
      </c>
      <c r="H291" s="4" t="s">
        <v>4304</v>
      </c>
      <c r="I291" s="1"/>
      <c r="J291" s="1"/>
    </row>
    <row r="292" spans="1:12" x14ac:dyDescent="0.15">
      <c r="A292" s="1">
        <v>142</v>
      </c>
      <c r="B292" s="666" t="s">
        <v>4501</v>
      </c>
      <c r="C292" s="4" t="s">
        <v>4365</v>
      </c>
      <c r="D292" s="4" t="s">
        <v>4453</v>
      </c>
      <c r="E292" s="665" t="s">
        <v>4365</v>
      </c>
      <c r="F292" s="1">
        <v>5</v>
      </c>
      <c r="G292" s="1">
        <v>0</v>
      </c>
      <c r="H292" s="759"/>
      <c r="I292" s="1"/>
      <c r="J292" s="1"/>
      <c r="L292" s="755" t="s">
        <v>6504</v>
      </c>
    </row>
    <row r="293" spans="1:12" x14ac:dyDescent="0.15">
      <c r="A293" s="1">
        <v>143</v>
      </c>
      <c r="B293" s="666" t="s">
        <v>4502</v>
      </c>
      <c r="C293" s="4" t="s">
        <v>4365</v>
      </c>
      <c r="D293" s="4" t="s">
        <v>4453</v>
      </c>
      <c r="E293" s="665" t="s">
        <v>4365</v>
      </c>
      <c r="F293" s="1">
        <v>5</v>
      </c>
      <c r="G293" s="1">
        <v>1</v>
      </c>
      <c r="H293" s="4" t="s">
        <v>4304</v>
      </c>
      <c r="I293" s="1"/>
      <c r="J293" s="759"/>
    </row>
    <row r="294" spans="1:12" x14ac:dyDescent="0.15">
      <c r="A294" s="1">
        <v>143</v>
      </c>
      <c r="B294" s="666" t="s">
        <v>4503</v>
      </c>
      <c r="C294" s="4" t="s">
        <v>4365</v>
      </c>
      <c r="D294" s="4" t="s">
        <v>745</v>
      </c>
      <c r="E294" s="665" t="s">
        <v>4365</v>
      </c>
      <c r="F294" s="1">
        <v>5</v>
      </c>
      <c r="G294" s="1">
        <v>6</v>
      </c>
      <c r="H294" s="4" t="s">
        <v>4504</v>
      </c>
      <c r="I294" s="4" t="s">
        <v>4505</v>
      </c>
      <c r="J294" s="1"/>
    </row>
    <row r="295" spans="1:12" x14ac:dyDescent="0.15">
      <c r="A295" s="1">
        <v>147</v>
      </c>
      <c r="B295" s="666" t="s">
        <v>4509</v>
      </c>
      <c r="C295" s="4" t="s">
        <v>4365</v>
      </c>
      <c r="D295" s="4" t="s">
        <v>4323</v>
      </c>
      <c r="E295" s="665" t="s">
        <v>4365</v>
      </c>
      <c r="F295" s="1">
        <v>5</v>
      </c>
      <c r="G295" s="1">
        <v>1</v>
      </c>
      <c r="H295" s="4" t="s">
        <v>4304</v>
      </c>
      <c r="I295" s="1"/>
      <c r="J295" s="1"/>
    </row>
    <row r="296" spans="1:12" x14ac:dyDescent="0.15">
      <c r="A296" s="1">
        <v>148</v>
      </c>
      <c r="B296" s="666" t="s">
        <v>4510</v>
      </c>
      <c r="C296" s="4" t="s">
        <v>4365</v>
      </c>
      <c r="D296" s="4" t="s">
        <v>4323</v>
      </c>
      <c r="E296" s="665" t="s">
        <v>4365</v>
      </c>
      <c r="F296" s="1">
        <v>5</v>
      </c>
      <c r="G296" s="1">
        <v>1</v>
      </c>
      <c r="H296" s="4" t="s">
        <v>4304</v>
      </c>
      <c r="I296" s="1"/>
      <c r="J296" s="1"/>
    </row>
    <row r="297" spans="1:12" x14ac:dyDescent="0.15">
      <c r="A297" s="1">
        <v>149</v>
      </c>
      <c r="B297" s="666" t="s">
        <v>4511</v>
      </c>
      <c r="C297" s="4" t="s">
        <v>4365</v>
      </c>
      <c r="D297" s="4" t="s">
        <v>4453</v>
      </c>
      <c r="E297" s="665" t="s">
        <v>4365</v>
      </c>
      <c r="F297" s="1">
        <v>20</v>
      </c>
      <c r="G297" s="1">
        <v>2</v>
      </c>
      <c r="H297" s="4" t="s">
        <v>4334</v>
      </c>
      <c r="I297" s="1"/>
      <c r="J297" s="1"/>
    </row>
    <row r="298" spans="1:12" x14ac:dyDescent="0.15">
      <c r="A298" s="1">
        <v>150</v>
      </c>
      <c r="B298" s="666" t="s">
        <v>4514</v>
      </c>
      <c r="C298" s="4" t="s">
        <v>4365</v>
      </c>
      <c r="D298" s="4" t="s">
        <v>4453</v>
      </c>
      <c r="E298" s="665" t="s">
        <v>4365</v>
      </c>
      <c r="F298" s="1">
        <v>10</v>
      </c>
      <c r="G298" s="1">
        <v>1</v>
      </c>
      <c r="H298" s="4" t="s">
        <v>4304</v>
      </c>
      <c r="I298" s="1"/>
      <c r="J298" s="1"/>
    </row>
    <row r="299" spans="1:12" x14ac:dyDescent="0.15">
      <c r="A299" s="1">
        <v>153</v>
      </c>
      <c r="B299" s="666" t="s">
        <v>4521</v>
      </c>
      <c r="C299" s="4" t="s">
        <v>4365</v>
      </c>
      <c r="D299" s="4" t="s">
        <v>4323</v>
      </c>
      <c r="E299" s="665" t="s">
        <v>4365</v>
      </c>
      <c r="F299" s="1">
        <v>10</v>
      </c>
      <c r="G299" s="1">
        <v>0</v>
      </c>
      <c r="H299" s="759"/>
      <c r="I299" s="1"/>
      <c r="J299" s="1"/>
    </row>
    <row r="300" spans="1:12" x14ac:dyDescent="0.15">
      <c r="A300" s="1">
        <v>154</v>
      </c>
      <c r="B300" s="666" t="s">
        <v>4522</v>
      </c>
      <c r="C300" s="4" t="s">
        <v>4365</v>
      </c>
      <c r="D300" s="4" t="s">
        <v>4323</v>
      </c>
      <c r="E300" s="665" t="s">
        <v>4365</v>
      </c>
      <c r="F300" s="1">
        <v>10</v>
      </c>
      <c r="G300" s="1">
        <v>1</v>
      </c>
      <c r="H300" s="4" t="s">
        <v>4304</v>
      </c>
      <c r="I300" s="1"/>
      <c r="J300" s="1"/>
    </row>
    <row r="301" spans="1:12" x14ac:dyDescent="0.15">
      <c r="A301" s="1">
        <v>154</v>
      </c>
      <c r="B301" s="666" t="s">
        <v>4523</v>
      </c>
      <c r="C301" s="4" t="s">
        <v>4365</v>
      </c>
      <c r="D301" s="4" t="s">
        <v>745</v>
      </c>
      <c r="E301" s="665" t="s">
        <v>4365</v>
      </c>
      <c r="F301" s="1">
        <v>10</v>
      </c>
      <c r="G301" s="1">
        <v>1</v>
      </c>
      <c r="H301" s="759"/>
      <c r="I301" s="759"/>
      <c r="J301" s="1"/>
    </row>
    <row r="302" spans="1:12" x14ac:dyDescent="0.15">
      <c r="A302" s="1">
        <v>155</v>
      </c>
      <c r="B302" s="666" t="s">
        <v>4524</v>
      </c>
      <c r="C302" s="4" t="s">
        <v>4365</v>
      </c>
      <c r="D302" s="4" t="s">
        <v>4323</v>
      </c>
      <c r="E302" s="665" t="s">
        <v>4365</v>
      </c>
      <c r="F302" s="1">
        <v>5</v>
      </c>
      <c r="G302" s="1">
        <v>0</v>
      </c>
      <c r="H302" s="759"/>
      <c r="I302" s="759"/>
      <c r="J302" s="1"/>
    </row>
    <row r="303" spans="1:12" x14ac:dyDescent="0.15">
      <c r="A303" s="1">
        <v>155</v>
      </c>
      <c r="B303" s="666" t="s">
        <v>4525</v>
      </c>
      <c r="C303" s="4" t="s">
        <v>4365</v>
      </c>
      <c r="D303" s="4" t="s">
        <v>745</v>
      </c>
      <c r="E303" s="665" t="s">
        <v>4365</v>
      </c>
      <c r="F303" s="1">
        <v>10</v>
      </c>
      <c r="G303" s="1">
        <v>1</v>
      </c>
      <c r="H303" s="4" t="s">
        <v>4304</v>
      </c>
      <c r="I303" s="1"/>
      <c r="J303" s="1"/>
    </row>
    <row r="304" spans="1:12" x14ac:dyDescent="0.15">
      <c r="A304" s="1">
        <v>158</v>
      </c>
      <c r="B304" s="666" t="s">
        <v>4528</v>
      </c>
      <c r="C304" s="4" t="s">
        <v>4365</v>
      </c>
      <c r="D304" s="4" t="s">
        <v>4453</v>
      </c>
      <c r="E304" s="665" t="s">
        <v>4365</v>
      </c>
      <c r="F304" s="1">
        <v>5</v>
      </c>
      <c r="G304" s="1">
        <v>0</v>
      </c>
      <c r="H304" s="759"/>
      <c r="I304" s="1"/>
      <c r="J304" s="1"/>
    </row>
    <row r="305" spans="1:10" x14ac:dyDescent="0.15">
      <c r="A305" s="1">
        <v>159</v>
      </c>
      <c r="B305" s="666" t="s">
        <v>4529</v>
      </c>
      <c r="C305" s="4" t="s">
        <v>4365</v>
      </c>
      <c r="D305" s="4" t="s">
        <v>4453</v>
      </c>
      <c r="E305" s="665" t="s">
        <v>4365</v>
      </c>
      <c r="F305" s="1">
        <v>5</v>
      </c>
      <c r="G305" s="1">
        <v>1</v>
      </c>
      <c r="H305" s="4" t="s">
        <v>4304</v>
      </c>
      <c r="I305" s="1"/>
      <c r="J305" s="1"/>
    </row>
    <row r="306" spans="1:10" x14ac:dyDescent="0.15">
      <c r="A306" s="1">
        <v>160</v>
      </c>
      <c r="B306" s="666" t="s">
        <v>4530</v>
      </c>
      <c r="C306" s="4" t="s">
        <v>4365</v>
      </c>
      <c r="D306" s="4" t="s">
        <v>4453</v>
      </c>
      <c r="E306" s="665" t="s">
        <v>4365</v>
      </c>
      <c r="F306" s="1">
        <v>10</v>
      </c>
      <c r="G306" s="1">
        <v>0</v>
      </c>
      <c r="H306" s="1"/>
      <c r="I306" s="1"/>
      <c r="J306" s="1"/>
    </row>
    <row r="307" spans="1:10" x14ac:dyDescent="0.15">
      <c r="A307" s="1">
        <v>161</v>
      </c>
      <c r="B307" s="666" t="s">
        <v>4531</v>
      </c>
      <c r="C307" s="4" t="s">
        <v>4365</v>
      </c>
      <c r="D307" s="4" t="s">
        <v>4323</v>
      </c>
      <c r="E307" s="665" t="s">
        <v>4365</v>
      </c>
      <c r="F307" s="1">
        <v>5</v>
      </c>
      <c r="G307" s="1">
        <v>1</v>
      </c>
      <c r="H307" s="4" t="s">
        <v>4304</v>
      </c>
      <c r="I307" s="1"/>
      <c r="J307" s="1"/>
    </row>
    <row r="308" spans="1:10" x14ac:dyDescent="0.15">
      <c r="A308" s="1">
        <v>163</v>
      </c>
      <c r="B308" s="666" t="s">
        <v>4534</v>
      </c>
      <c r="C308" s="4" t="s">
        <v>4365</v>
      </c>
      <c r="D308" s="4" t="s">
        <v>4323</v>
      </c>
      <c r="E308" s="665" t="s">
        <v>4365</v>
      </c>
      <c r="F308" s="1">
        <v>10</v>
      </c>
      <c r="G308" s="1">
        <v>1</v>
      </c>
      <c r="H308" s="4" t="s">
        <v>4304</v>
      </c>
      <c r="I308" s="759"/>
      <c r="J308" s="1"/>
    </row>
    <row r="309" spans="1:10" x14ac:dyDescent="0.15">
      <c r="A309" s="1">
        <v>163</v>
      </c>
      <c r="B309" s="666" t="s">
        <v>4535</v>
      </c>
      <c r="C309" s="4" t="s">
        <v>4365</v>
      </c>
      <c r="D309" s="4" t="s">
        <v>4453</v>
      </c>
      <c r="E309" s="665" t="s">
        <v>4365</v>
      </c>
      <c r="F309" s="1">
        <v>10</v>
      </c>
      <c r="G309" s="1">
        <v>1</v>
      </c>
      <c r="H309" s="4" t="s">
        <v>4304</v>
      </c>
      <c r="I309" s="1"/>
      <c r="J309" s="1"/>
    </row>
    <row r="310" spans="1:10" x14ac:dyDescent="0.15">
      <c r="A310" s="1">
        <v>164</v>
      </c>
      <c r="B310" s="666" t="s">
        <v>4536</v>
      </c>
      <c r="C310" s="4" t="s">
        <v>4365</v>
      </c>
      <c r="D310" s="4" t="s">
        <v>4323</v>
      </c>
      <c r="E310" s="665" t="s">
        <v>4365</v>
      </c>
      <c r="F310" s="1">
        <v>5</v>
      </c>
      <c r="G310" s="1">
        <v>0</v>
      </c>
      <c r="H310" s="759"/>
      <c r="I310" s="1"/>
      <c r="J310" s="1"/>
    </row>
    <row r="311" spans="1:10" x14ac:dyDescent="0.15">
      <c r="A311" s="1">
        <v>165</v>
      </c>
      <c r="B311" s="666" t="s">
        <v>4537</v>
      </c>
      <c r="C311" s="4" t="s">
        <v>4365</v>
      </c>
      <c r="D311" s="4" t="s">
        <v>4417</v>
      </c>
      <c r="E311" s="665" t="s">
        <v>4365</v>
      </c>
      <c r="F311" s="1">
        <v>20</v>
      </c>
      <c r="G311" s="1">
        <v>1</v>
      </c>
      <c r="H311" s="4" t="s">
        <v>4304</v>
      </c>
      <c r="I311" s="1"/>
      <c r="J311" s="1"/>
    </row>
    <row r="312" spans="1:10" x14ac:dyDescent="0.15">
      <c r="A312" s="1">
        <v>167</v>
      </c>
      <c r="B312" s="666" t="s">
        <v>4538</v>
      </c>
      <c r="C312" s="4" t="s">
        <v>4365</v>
      </c>
      <c r="D312" s="4" t="s">
        <v>4432</v>
      </c>
      <c r="E312" s="665" t="s">
        <v>4365</v>
      </c>
      <c r="F312" s="1">
        <v>5</v>
      </c>
      <c r="G312" s="1">
        <v>1</v>
      </c>
      <c r="H312" s="4" t="s">
        <v>4304</v>
      </c>
      <c r="I312" s="1"/>
      <c r="J312" s="1"/>
    </row>
    <row r="313" spans="1:10" x14ac:dyDescent="0.15">
      <c r="A313" s="1">
        <v>168</v>
      </c>
      <c r="B313" s="666" t="s">
        <v>4539</v>
      </c>
      <c r="C313" s="4" t="s">
        <v>4365</v>
      </c>
      <c r="D313" s="4" t="s">
        <v>4453</v>
      </c>
      <c r="E313" s="665" t="s">
        <v>4365</v>
      </c>
      <c r="F313" s="1">
        <v>5</v>
      </c>
      <c r="G313" s="1">
        <v>0</v>
      </c>
      <c r="H313" s="1"/>
      <c r="I313" s="1"/>
      <c r="J313" s="1"/>
    </row>
    <row r="314" spans="1:10" x14ac:dyDescent="0.15">
      <c r="A314" s="1">
        <v>169</v>
      </c>
      <c r="B314" s="666" t="s">
        <v>4540</v>
      </c>
      <c r="C314" s="4" t="s">
        <v>4365</v>
      </c>
      <c r="D314" s="4" t="s">
        <v>4453</v>
      </c>
      <c r="E314" s="665" t="s">
        <v>4365</v>
      </c>
      <c r="F314" s="1">
        <v>5</v>
      </c>
      <c r="G314" s="1">
        <v>0</v>
      </c>
      <c r="H314" s="759"/>
      <c r="I314" s="1"/>
      <c r="J314" s="1"/>
    </row>
    <row r="315" spans="1:10" x14ac:dyDescent="0.15">
      <c r="A315" s="1">
        <v>170</v>
      </c>
      <c r="B315" s="666" t="s">
        <v>1272</v>
      </c>
      <c r="C315" s="4" t="s">
        <v>4365</v>
      </c>
      <c r="D315" s="4" t="s">
        <v>4323</v>
      </c>
      <c r="E315" s="665" t="s">
        <v>4365</v>
      </c>
      <c r="F315" s="1">
        <v>5</v>
      </c>
      <c r="G315" s="1">
        <v>0</v>
      </c>
      <c r="H315" s="1"/>
      <c r="I315" s="1"/>
      <c r="J315" s="1"/>
    </row>
    <row r="316" spans="1:10" x14ac:dyDescent="0.15">
      <c r="A316" s="1">
        <v>171</v>
      </c>
      <c r="B316" s="666" t="s">
        <v>4544</v>
      </c>
      <c r="C316" s="4" t="s">
        <v>4365</v>
      </c>
      <c r="D316" s="4" t="s">
        <v>4323</v>
      </c>
      <c r="E316" s="665" t="s">
        <v>4365</v>
      </c>
      <c r="F316" s="1">
        <v>10</v>
      </c>
      <c r="G316" s="1">
        <v>0</v>
      </c>
      <c r="H316" s="759"/>
      <c r="I316" s="1"/>
      <c r="J316" s="1"/>
    </row>
    <row r="317" spans="1:10" x14ac:dyDescent="0.15">
      <c r="A317" s="1">
        <v>172</v>
      </c>
      <c r="B317" s="666" t="s">
        <v>4545</v>
      </c>
      <c r="C317" s="4" t="s">
        <v>4365</v>
      </c>
      <c r="D317" s="4" t="s">
        <v>4453</v>
      </c>
      <c r="E317" s="665" t="s">
        <v>4365</v>
      </c>
      <c r="F317" s="1">
        <v>5</v>
      </c>
      <c r="G317" s="1">
        <v>1</v>
      </c>
      <c r="H317" s="4" t="s">
        <v>4304</v>
      </c>
      <c r="I317" s="1"/>
      <c r="J317" s="1"/>
    </row>
    <row r="318" spans="1:10" x14ac:dyDescent="0.15">
      <c r="A318" s="1">
        <v>174</v>
      </c>
      <c r="B318" s="666" t="s">
        <v>4546</v>
      </c>
      <c r="C318" s="4" t="s">
        <v>4365</v>
      </c>
      <c r="D318" s="4" t="s">
        <v>4323</v>
      </c>
      <c r="E318" s="665" t="s">
        <v>4365</v>
      </c>
      <c r="F318" s="1">
        <v>10</v>
      </c>
      <c r="G318" s="1">
        <v>1</v>
      </c>
      <c r="H318" s="4" t="s">
        <v>4304</v>
      </c>
      <c r="I318" s="1"/>
      <c r="J318" s="1"/>
    </row>
    <row r="319" spans="1:10" x14ac:dyDescent="0.15">
      <c r="A319" s="1">
        <v>174</v>
      </c>
      <c r="B319" s="666" t="s">
        <v>4547</v>
      </c>
      <c r="C319" s="4" t="s">
        <v>4365</v>
      </c>
      <c r="D319" s="4" t="s">
        <v>4453</v>
      </c>
      <c r="E319" s="665" t="s">
        <v>4365</v>
      </c>
      <c r="F319" s="1">
        <v>7</v>
      </c>
      <c r="G319" s="1">
        <v>1</v>
      </c>
      <c r="H319" s="4" t="s">
        <v>4304</v>
      </c>
      <c r="I319" s="1"/>
      <c r="J319" s="1"/>
    </row>
    <row r="320" spans="1:10" x14ac:dyDescent="0.15">
      <c r="A320" s="1">
        <v>175</v>
      </c>
      <c r="B320" s="666" t="s">
        <v>4548</v>
      </c>
      <c r="C320" s="4" t="s">
        <v>4365</v>
      </c>
      <c r="D320" s="4" t="s">
        <v>4453</v>
      </c>
      <c r="E320" s="665" t="s">
        <v>4365</v>
      </c>
      <c r="F320" s="1">
        <v>5</v>
      </c>
      <c r="G320" s="1">
        <v>1</v>
      </c>
      <c r="H320" s="4" t="s">
        <v>4304</v>
      </c>
      <c r="I320" s="1"/>
      <c r="J320" s="1"/>
    </row>
    <row r="321" spans="1:10" x14ac:dyDescent="0.15">
      <c r="A321" s="1">
        <v>176</v>
      </c>
      <c r="B321" s="666" t="s">
        <v>4549</v>
      </c>
      <c r="C321" s="4" t="s">
        <v>4365</v>
      </c>
      <c r="D321" s="4" t="s">
        <v>4453</v>
      </c>
      <c r="E321" s="665" t="s">
        <v>4365</v>
      </c>
      <c r="F321" s="1">
        <v>10</v>
      </c>
      <c r="G321" s="1">
        <v>1</v>
      </c>
      <c r="H321" s="4" t="s">
        <v>4334</v>
      </c>
      <c r="I321" s="759"/>
      <c r="J321" s="1"/>
    </row>
    <row r="322" spans="1:10" x14ac:dyDescent="0.15">
      <c r="A322" s="1">
        <v>177</v>
      </c>
      <c r="B322" s="666" t="s">
        <v>4552</v>
      </c>
      <c r="C322" s="4" t="s">
        <v>4365</v>
      </c>
      <c r="D322" s="4" t="s">
        <v>4453</v>
      </c>
      <c r="E322" s="665" t="s">
        <v>4365</v>
      </c>
      <c r="F322" s="1">
        <v>5</v>
      </c>
      <c r="G322" s="1">
        <v>1</v>
      </c>
      <c r="H322" s="4" t="s">
        <v>4304</v>
      </c>
      <c r="I322" s="1"/>
      <c r="J322" s="1"/>
    </row>
    <row r="323" spans="1:10" x14ac:dyDescent="0.15">
      <c r="A323" s="1">
        <v>178</v>
      </c>
      <c r="B323" s="666" t="s">
        <v>4554</v>
      </c>
      <c r="C323" s="4" t="s">
        <v>4365</v>
      </c>
      <c r="D323" s="4" t="s">
        <v>4323</v>
      </c>
      <c r="E323" s="665" t="s">
        <v>4365</v>
      </c>
      <c r="F323" s="1">
        <v>5</v>
      </c>
      <c r="G323" s="1">
        <v>1</v>
      </c>
      <c r="H323" s="4" t="s">
        <v>4304</v>
      </c>
      <c r="I323" s="1"/>
      <c r="J323" s="1"/>
    </row>
    <row r="324" spans="1:10" x14ac:dyDescent="0.15">
      <c r="A324" s="1">
        <v>179</v>
      </c>
      <c r="B324" s="666" t="s">
        <v>4555</v>
      </c>
      <c r="C324" s="4" t="s">
        <v>4365</v>
      </c>
      <c r="D324" s="4" t="s">
        <v>4323</v>
      </c>
      <c r="E324" s="665" t="s">
        <v>4365</v>
      </c>
      <c r="F324" s="1">
        <v>5</v>
      </c>
      <c r="G324" s="1">
        <v>1</v>
      </c>
      <c r="H324" s="4" t="s">
        <v>4304</v>
      </c>
      <c r="I324" s="1"/>
      <c r="J324" s="1"/>
    </row>
    <row r="325" spans="1:10" x14ac:dyDescent="0.15">
      <c r="A325" s="1">
        <v>180</v>
      </c>
      <c r="B325" s="666" t="s">
        <v>4556</v>
      </c>
      <c r="C325" s="4" t="s">
        <v>4365</v>
      </c>
      <c r="D325" s="4" t="s">
        <v>4323</v>
      </c>
      <c r="E325" s="665" t="s">
        <v>4365</v>
      </c>
      <c r="F325" s="1">
        <v>5</v>
      </c>
      <c r="G325" s="1">
        <v>0</v>
      </c>
      <c r="H325" s="1"/>
      <c r="I325" s="1"/>
      <c r="J325" s="1"/>
    </row>
    <row r="326" spans="1:10" x14ac:dyDescent="0.15">
      <c r="A326" s="1">
        <v>180</v>
      </c>
      <c r="B326" s="666" t="s">
        <v>4557</v>
      </c>
      <c r="C326" s="4" t="s">
        <v>4365</v>
      </c>
      <c r="D326" s="4" t="s">
        <v>4323</v>
      </c>
      <c r="E326" s="665" t="s">
        <v>4365</v>
      </c>
      <c r="F326" s="1">
        <v>5</v>
      </c>
      <c r="G326" s="1">
        <v>0</v>
      </c>
      <c r="H326" s="759"/>
      <c r="I326" s="1"/>
      <c r="J326" s="4" t="s">
        <v>4411</v>
      </c>
    </row>
    <row r="327" spans="1:10" x14ac:dyDescent="0.15">
      <c r="A327" s="1">
        <v>181</v>
      </c>
      <c r="B327" s="666" t="s">
        <v>4558</v>
      </c>
      <c r="C327" s="4" t="s">
        <v>4365</v>
      </c>
      <c r="D327" s="4" t="s">
        <v>4323</v>
      </c>
      <c r="E327" s="665" t="s">
        <v>4365</v>
      </c>
      <c r="F327" s="1">
        <v>10</v>
      </c>
      <c r="G327" s="1">
        <v>2</v>
      </c>
      <c r="H327" s="4" t="s">
        <v>4559</v>
      </c>
      <c r="I327" s="1"/>
      <c r="J327" s="1"/>
    </row>
    <row r="328" spans="1:10" x14ac:dyDescent="0.15">
      <c r="A328" s="1">
        <v>181</v>
      </c>
      <c r="B328" s="666" t="s">
        <v>4560</v>
      </c>
      <c r="C328" s="4" t="s">
        <v>4365</v>
      </c>
      <c r="D328" s="4" t="s">
        <v>4323</v>
      </c>
      <c r="E328" s="665" t="s">
        <v>4365</v>
      </c>
      <c r="F328" s="1">
        <v>5</v>
      </c>
      <c r="G328" s="1">
        <v>0</v>
      </c>
      <c r="H328" s="759"/>
      <c r="I328" s="1"/>
      <c r="J328" s="1"/>
    </row>
    <row r="329" spans="1:10" x14ac:dyDescent="0.15">
      <c r="A329" s="1">
        <v>182</v>
      </c>
      <c r="B329" s="666" t="s">
        <v>4561</v>
      </c>
      <c r="C329" s="4" t="s">
        <v>4365</v>
      </c>
      <c r="D329" s="4" t="s">
        <v>4323</v>
      </c>
      <c r="E329" s="665" t="s">
        <v>4365</v>
      </c>
      <c r="F329" s="1">
        <v>5</v>
      </c>
      <c r="G329" s="1">
        <v>1</v>
      </c>
      <c r="H329" s="4" t="s">
        <v>4304</v>
      </c>
      <c r="I329" s="1"/>
      <c r="J329" s="1"/>
    </row>
    <row r="330" spans="1:10" x14ac:dyDescent="0.15">
      <c r="A330" s="1">
        <v>182</v>
      </c>
      <c r="B330" s="666" t="s">
        <v>4562</v>
      </c>
      <c r="C330" s="4" t="s">
        <v>4365</v>
      </c>
      <c r="D330" s="4" t="s">
        <v>4323</v>
      </c>
      <c r="E330" s="665" t="s">
        <v>4365</v>
      </c>
      <c r="F330" s="1">
        <v>5</v>
      </c>
      <c r="G330" s="1">
        <v>0</v>
      </c>
      <c r="H330" s="759"/>
      <c r="I330" s="1"/>
      <c r="J330" s="1"/>
    </row>
    <row r="331" spans="1:10" x14ac:dyDescent="0.15">
      <c r="A331" s="1">
        <v>183</v>
      </c>
      <c r="B331" s="666" t="s">
        <v>4563</v>
      </c>
      <c r="C331" s="4" t="s">
        <v>4365</v>
      </c>
      <c r="D331" s="4" t="s">
        <v>4323</v>
      </c>
      <c r="E331" s="665" t="s">
        <v>4365</v>
      </c>
      <c r="F331" s="1">
        <v>7</v>
      </c>
      <c r="G331" s="1">
        <v>1</v>
      </c>
      <c r="H331" s="4" t="s">
        <v>4304</v>
      </c>
      <c r="I331" s="1"/>
      <c r="J331" s="1"/>
    </row>
    <row r="332" spans="1:10" x14ac:dyDescent="0.15">
      <c r="A332" s="1">
        <v>183</v>
      </c>
      <c r="B332" s="666" t="s">
        <v>4564</v>
      </c>
      <c r="C332" s="4" t="s">
        <v>4365</v>
      </c>
      <c r="D332" s="4" t="s">
        <v>4323</v>
      </c>
      <c r="E332" s="665" t="s">
        <v>4365</v>
      </c>
      <c r="F332" s="1">
        <v>5</v>
      </c>
      <c r="G332" s="1">
        <v>1</v>
      </c>
      <c r="H332" s="4" t="s">
        <v>4304</v>
      </c>
      <c r="I332" s="1"/>
      <c r="J332" s="1"/>
    </row>
    <row r="333" spans="1:10" x14ac:dyDescent="0.15">
      <c r="A333" s="1">
        <v>184</v>
      </c>
      <c r="B333" s="666" t="s">
        <v>4565</v>
      </c>
      <c r="C333" s="4" t="s">
        <v>4365</v>
      </c>
      <c r="D333" s="4" t="s">
        <v>4323</v>
      </c>
      <c r="E333" s="665" t="s">
        <v>4365</v>
      </c>
      <c r="F333" s="1">
        <v>5</v>
      </c>
      <c r="G333" s="1">
        <v>1</v>
      </c>
      <c r="H333" s="4" t="s">
        <v>4304</v>
      </c>
      <c r="I333" s="1"/>
      <c r="J333" s="1"/>
    </row>
    <row r="334" spans="1:10" x14ac:dyDescent="0.15">
      <c r="A334" s="1">
        <v>184</v>
      </c>
      <c r="B334" s="666" t="s">
        <v>4566</v>
      </c>
      <c r="C334" s="4" t="s">
        <v>4365</v>
      </c>
      <c r="D334" s="4" t="s">
        <v>4453</v>
      </c>
      <c r="E334" s="665" t="s">
        <v>4365</v>
      </c>
      <c r="F334" s="1">
        <v>10</v>
      </c>
      <c r="G334" s="1">
        <v>2</v>
      </c>
      <c r="H334" s="4" t="s">
        <v>4334</v>
      </c>
      <c r="I334" s="1"/>
      <c r="J334" s="1"/>
    </row>
    <row r="335" spans="1:10" x14ac:dyDescent="0.15">
      <c r="A335" s="1">
        <v>185</v>
      </c>
      <c r="B335" s="666" t="s">
        <v>3515</v>
      </c>
      <c r="C335" s="4" t="s">
        <v>4365</v>
      </c>
      <c r="D335" s="4" t="s">
        <v>4323</v>
      </c>
      <c r="E335" s="665" t="s">
        <v>4365</v>
      </c>
      <c r="F335" s="1">
        <v>5</v>
      </c>
      <c r="G335" s="1">
        <v>0</v>
      </c>
      <c r="H335" s="1"/>
      <c r="I335" s="1"/>
      <c r="J335" s="1"/>
    </row>
    <row r="336" spans="1:10" x14ac:dyDescent="0.15">
      <c r="A336" s="1">
        <v>186</v>
      </c>
      <c r="B336" s="666" t="s">
        <v>4568</v>
      </c>
      <c r="C336" s="4" t="s">
        <v>4365</v>
      </c>
      <c r="D336" s="4" t="s">
        <v>4323</v>
      </c>
      <c r="E336" s="665" t="s">
        <v>4365</v>
      </c>
      <c r="F336" s="1">
        <v>5</v>
      </c>
      <c r="G336" s="1">
        <v>2</v>
      </c>
      <c r="H336" s="4" t="s">
        <v>4559</v>
      </c>
      <c r="I336" s="1"/>
      <c r="J336" s="1"/>
    </row>
    <row r="337" spans="1:10" x14ac:dyDescent="0.15">
      <c r="A337" s="1">
        <v>188</v>
      </c>
      <c r="B337" s="666" t="s">
        <v>4571</v>
      </c>
      <c r="C337" s="4" t="s">
        <v>4365</v>
      </c>
      <c r="D337" s="4" t="s">
        <v>4417</v>
      </c>
      <c r="E337" s="665" t="s">
        <v>4365</v>
      </c>
      <c r="F337" s="1">
        <v>10</v>
      </c>
      <c r="G337" s="1">
        <v>1</v>
      </c>
      <c r="H337" s="4" t="s">
        <v>4304</v>
      </c>
      <c r="I337" s="1"/>
      <c r="J337" s="1"/>
    </row>
    <row r="338" spans="1:10" x14ac:dyDescent="0.15">
      <c r="A338" s="1">
        <v>188</v>
      </c>
      <c r="B338" s="666" t="s">
        <v>4572</v>
      </c>
      <c r="C338" s="4" t="s">
        <v>4365</v>
      </c>
      <c r="D338" s="4" t="s">
        <v>4323</v>
      </c>
      <c r="E338" s="665" t="s">
        <v>4365</v>
      </c>
      <c r="F338" s="1">
        <v>5</v>
      </c>
      <c r="G338" s="1">
        <v>0</v>
      </c>
      <c r="H338" s="759"/>
      <c r="I338" s="1"/>
      <c r="J338" s="759"/>
    </row>
    <row r="339" spans="1:10" x14ac:dyDescent="0.15">
      <c r="A339" s="1">
        <v>189</v>
      </c>
      <c r="B339" s="666" t="s">
        <v>4573</v>
      </c>
      <c r="C339" s="4" t="s">
        <v>4365</v>
      </c>
      <c r="D339" s="4" t="s">
        <v>4417</v>
      </c>
      <c r="E339" s="665" t="s">
        <v>4365</v>
      </c>
      <c r="F339" s="1">
        <v>10</v>
      </c>
      <c r="G339" s="1">
        <v>0</v>
      </c>
      <c r="H339" s="4" t="s">
        <v>4304</v>
      </c>
      <c r="I339" s="4"/>
      <c r="J339" s="1"/>
    </row>
    <row r="340" spans="1:10" x14ac:dyDescent="0.15">
      <c r="A340" s="1">
        <v>189</v>
      </c>
      <c r="B340" s="666" t="s">
        <v>4574</v>
      </c>
      <c r="C340" s="4" t="s">
        <v>4365</v>
      </c>
      <c r="D340" s="4" t="s">
        <v>4323</v>
      </c>
      <c r="E340" s="665" t="s">
        <v>4365</v>
      </c>
      <c r="F340" s="1">
        <v>5</v>
      </c>
      <c r="G340" s="1">
        <v>0</v>
      </c>
      <c r="H340" s="759"/>
      <c r="I340" s="1"/>
      <c r="J340" s="1"/>
    </row>
    <row r="341" spans="1:10" x14ac:dyDescent="0.15">
      <c r="A341" s="1">
        <v>190</v>
      </c>
      <c r="B341" s="666" t="s">
        <v>4575</v>
      </c>
      <c r="C341" s="4" t="s">
        <v>4365</v>
      </c>
      <c r="D341" s="4" t="s">
        <v>4417</v>
      </c>
      <c r="E341" s="665" t="s">
        <v>4365</v>
      </c>
      <c r="F341" s="1">
        <v>10</v>
      </c>
      <c r="G341" s="1">
        <v>0</v>
      </c>
      <c r="H341" s="759"/>
      <c r="I341" s="1"/>
      <c r="J341" s="1"/>
    </row>
    <row r="342" spans="1:10" x14ac:dyDescent="0.15">
      <c r="A342" s="1">
        <v>190</v>
      </c>
      <c r="B342" s="666" t="s">
        <v>4576</v>
      </c>
      <c r="C342" s="4" t="s">
        <v>4365</v>
      </c>
      <c r="D342" s="4" t="s">
        <v>4323</v>
      </c>
      <c r="E342" s="665" t="s">
        <v>4365</v>
      </c>
      <c r="F342" s="1">
        <v>5</v>
      </c>
      <c r="G342" s="1">
        <v>1</v>
      </c>
      <c r="H342" s="4" t="s">
        <v>4304</v>
      </c>
      <c r="I342" s="1"/>
      <c r="J342" s="1"/>
    </row>
    <row r="343" spans="1:10" x14ac:dyDescent="0.15">
      <c r="A343" s="1">
        <v>191</v>
      </c>
      <c r="B343" s="666" t="s">
        <v>4577</v>
      </c>
      <c r="C343" s="4" t="s">
        <v>4365</v>
      </c>
      <c r="D343" s="4" t="s">
        <v>4453</v>
      </c>
      <c r="E343" s="665" t="s">
        <v>4365</v>
      </c>
      <c r="F343" s="1">
        <v>10</v>
      </c>
      <c r="G343" s="1">
        <v>0</v>
      </c>
      <c r="H343" s="759"/>
      <c r="I343" s="1"/>
      <c r="J343" s="1"/>
    </row>
    <row r="344" spans="1:10" x14ac:dyDescent="0.15">
      <c r="A344" s="1">
        <v>193</v>
      </c>
      <c r="B344" s="666" t="s">
        <v>4579</v>
      </c>
      <c r="C344" s="4" t="s">
        <v>4365</v>
      </c>
      <c r="D344" s="4" t="s">
        <v>4417</v>
      </c>
      <c r="E344" s="665" t="s">
        <v>4365</v>
      </c>
      <c r="F344" s="1">
        <v>10</v>
      </c>
      <c r="G344" s="1">
        <v>1</v>
      </c>
      <c r="H344" s="4" t="s">
        <v>4304</v>
      </c>
      <c r="I344" s="1"/>
      <c r="J344" s="1"/>
    </row>
    <row r="345" spans="1:10" x14ac:dyDescent="0.15">
      <c r="A345" s="1">
        <v>194</v>
      </c>
      <c r="B345" s="666" t="s">
        <v>4580</v>
      </c>
      <c r="C345" s="4" t="s">
        <v>4365</v>
      </c>
      <c r="D345" s="4" t="s">
        <v>4453</v>
      </c>
      <c r="E345" s="665" t="s">
        <v>4365</v>
      </c>
      <c r="F345" s="1">
        <v>5</v>
      </c>
      <c r="G345" s="1">
        <v>0</v>
      </c>
      <c r="H345" s="4" t="s">
        <v>3396</v>
      </c>
      <c r="I345" s="1"/>
      <c r="J345" s="1"/>
    </row>
    <row r="346" spans="1:10" x14ac:dyDescent="0.15">
      <c r="A346" s="1">
        <v>196</v>
      </c>
      <c r="B346" s="666" t="s">
        <v>4583</v>
      </c>
      <c r="C346" s="4" t="s">
        <v>4365</v>
      </c>
      <c r="D346" s="4" t="s">
        <v>4323</v>
      </c>
      <c r="E346" s="665" t="s">
        <v>4365</v>
      </c>
      <c r="F346" s="1">
        <v>5</v>
      </c>
      <c r="G346" s="1">
        <v>0</v>
      </c>
      <c r="H346" s="4"/>
      <c r="I346" s="1"/>
      <c r="J346" s="1"/>
    </row>
    <row r="347" spans="1:10" x14ac:dyDescent="0.15">
      <c r="A347" s="1">
        <v>197</v>
      </c>
      <c r="B347" s="666" t="s">
        <v>4584</v>
      </c>
      <c r="C347" s="4" t="s">
        <v>4365</v>
      </c>
      <c r="D347" s="4" t="s">
        <v>4323</v>
      </c>
      <c r="E347" s="665" t="s">
        <v>4365</v>
      </c>
      <c r="F347" s="1">
        <v>5</v>
      </c>
      <c r="G347" s="1">
        <v>0</v>
      </c>
      <c r="H347" s="759"/>
      <c r="I347" s="1"/>
      <c r="J347" s="1"/>
    </row>
    <row r="348" spans="1:10" x14ac:dyDescent="0.15">
      <c r="A348" s="1">
        <v>198</v>
      </c>
      <c r="B348" s="666" t="s">
        <v>4586</v>
      </c>
      <c r="C348" s="4" t="s">
        <v>4365</v>
      </c>
      <c r="D348" s="4" t="s">
        <v>4323</v>
      </c>
      <c r="E348" s="665" t="s">
        <v>4365</v>
      </c>
      <c r="F348" s="1">
        <v>5</v>
      </c>
      <c r="G348" s="1">
        <v>1</v>
      </c>
      <c r="H348" s="4" t="s">
        <v>4304</v>
      </c>
      <c r="I348" s="759"/>
      <c r="J348" s="1"/>
    </row>
    <row r="349" spans="1:10" x14ac:dyDescent="0.15">
      <c r="A349" s="1">
        <v>199</v>
      </c>
      <c r="B349" s="666" t="s">
        <v>4587</v>
      </c>
      <c r="C349" s="4" t="s">
        <v>4365</v>
      </c>
      <c r="D349" s="4" t="s">
        <v>4323</v>
      </c>
      <c r="E349" s="665" t="s">
        <v>4365</v>
      </c>
      <c r="F349" s="1">
        <v>5</v>
      </c>
      <c r="G349" s="1">
        <v>0</v>
      </c>
      <c r="H349" s="759"/>
      <c r="I349" s="1"/>
      <c r="J349" s="1"/>
    </row>
    <row r="350" spans="1:10" x14ac:dyDescent="0.15">
      <c r="A350" s="1">
        <v>200</v>
      </c>
      <c r="B350" s="666" t="s">
        <v>4588</v>
      </c>
      <c r="C350" s="4" t="s">
        <v>4365</v>
      </c>
      <c r="D350" s="4" t="s">
        <v>4323</v>
      </c>
      <c r="E350" s="665" t="s">
        <v>4365</v>
      </c>
      <c r="F350" s="1">
        <v>5</v>
      </c>
      <c r="G350" s="1">
        <v>0</v>
      </c>
      <c r="H350" s="759"/>
      <c r="I350" s="759"/>
      <c r="J350" s="759"/>
    </row>
    <row r="351" spans="1:10" x14ac:dyDescent="0.15">
      <c r="A351" s="1">
        <v>201</v>
      </c>
      <c r="B351" s="666" t="s">
        <v>4589</v>
      </c>
      <c r="C351" s="4" t="s">
        <v>4365</v>
      </c>
      <c r="D351" s="4" t="s">
        <v>4323</v>
      </c>
      <c r="E351" s="665" t="s">
        <v>4365</v>
      </c>
      <c r="F351" s="1">
        <v>5</v>
      </c>
      <c r="G351" s="1">
        <v>0</v>
      </c>
      <c r="H351" s="759"/>
      <c r="I351" s="1"/>
      <c r="J351" s="1"/>
    </row>
    <row r="352" spans="1:10" x14ac:dyDescent="0.15">
      <c r="A352" s="1">
        <v>202</v>
      </c>
      <c r="B352" s="666" t="s">
        <v>4590</v>
      </c>
      <c r="C352" s="4" t="s">
        <v>4365</v>
      </c>
      <c r="D352" s="4" t="s">
        <v>4323</v>
      </c>
      <c r="E352" s="665" t="s">
        <v>4365</v>
      </c>
      <c r="F352" s="1">
        <v>10</v>
      </c>
      <c r="G352" s="1">
        <v>0</v>
      </c>
      <c r="H352" s="759"/>
      <c r="I352" s="1"/>
      <c r="J352" s="1"/>
    </row>
    <row r="353" spans="1:10" x14ac:dyDescent="0.15">
      <c r="A353" s="1">
        <v>203</v>
      </c>
      <c r="B353" s="666" t="s">
        <v>4592</v>
      </c>
      <c r="C353" s="4" t="s">
        <v>4365</v>
      </c>
      <c r="D353" s="4" t="s">
        <v>4323</v>
      </c>
      <c r="E353" s="665" t="s">
        <v>4365</v>
      </c>
      <c r="F353" s="1">
        <v>5</v>
      </c>
      <c r="G353" s="1">
        <v>0</v>
      </c>
      <c r="H353" s="759"/>
      <c r="I353" s="4" t="s">
        <v>4593</v>
      </c>
      <c r="J353" s="1"/>
    </row>
    <row r="354" spans="1:10" x14ac:dyDescent="0.15">
      <c r="A354" s="1">
        <v>204</v>
      </c>
      <c r="B354" s="666" t="s">
        <v>4594</v>
      </c>
      <c r="C354" s="4" t="s">
        <v>4365</v>
      </c>
      <c r="D354" s="4" t="s">
        <v>4323</v>
      </c>
      <c r="E354" s="665" t="s">
        <v>4365</v>
      </c>
      <c r="F354" s="1">
        <v>10</v>
      </c>
      <c r="G354" s="1">
        <v>0</v>
      </c>
      <c r="H354" s="759"/>
      <c r="I354" s="1" t="s">
        <v>3396</v>
      </c>
      <c r="J354" s="1"/>
    </row>
    <row r="355" spans="1:10" x14ac:dyDescent="0.15">
      <c r="A355" s="1">
        <v>205</v>
      </c>
      <c r="B355" s="666" t="s">
        <v>4597</v>
      </c>
      <c r="C355" s="4" t="s">
        <v>4365</v>
      </c>
      <c r="D355" s="4" t="s">
        <v>4323</v>
      </c>
      <c r="E355" s="665" t="s">
        <v>4365</v>
      </c>
      <c r="F355" s="1">
        <v>5</v>
      </c>
      <c r="G355" s="1">
        <v>1</v>
      </c>
      <c r="H355" s="4" t="s">
        <v>4304</v>
      </c>
      <c r="I355" s="1"/>
      <c r="J355" s="1"/>
    </row>
    <row r="356" spans="1:10" x14ac:dyDescent="0.15">
      <c r="A356" s="1">
        <v>206</v>
      </c>
      <c r="B356" s="666" t="s">
        <v>4598</v>
      </c>
      <c r="C356" s="4" t="s">
        <v>4365</v>
      </c>
      <c r="D356" s="4" t="s">
        <v>4323</v>
      </c>
      <c r="E356" s="665" t="s">
        <v>4365</v>
      </c>
      <c r="F356" s="1">
        <v>5</v>
      </c>
      <c r="G356" s="1">
        <v>0</v>
      </c>
      <c r="H356" s="1"/>
      <c r="I356" s="1"/>
      <c r="J356" s="1"/>
    </row>
    <row r="357" spans="1:10" x14ac:dyDescent="0.15">
      <c r="A357" s="1">
        <v>207</v>
      </c>
      <c r="B357" s="666" t="s">
        <v>4600</v>
      </c>
      <c r="C357" s="4" t="s">
        <v>4365</v>
      </c>
      <c r="D357" s="4" t="s">
        <v>4323</v>
      </c>
      <c r="E357" s="665" t="s">
        <v>4365</v>
      </c>
      <c r="F357" s="1">
        <v>5</v>
      </c>
      <c r="G357" s="1">
        <v>0</v>
      </c>
      <c r="H357" s="1"/>
      <c r="I357" s="1"/>
      <c r="J357" s="759"/>
    </row>
    <row r="358" spans="1:10" x14ac:dyDescent="0.15">
      <c r="A358" s="1">
        <v>212</v>
      </c>
      <c r="B358" s="666" t="s">
        <v>4604</v>
      </c>
      <c r="C358" s="4" t="s">
        <v>4365</v>
      </c>
      <c r="D358" s="4" t="s">
        <v>4453</v>
      </c>
      <c r="E358" s="665" t="s">
        <v>4365</v>
      </c>
      <c r="F358" s="1">
        <v>5</v>
      </c>
      <c r="G358" s="1">
        <v>0</v>
      </c>
      <c r="H358" s="759"/>
      <c r="I358" s="1"/>
      <c r="J358" s="1"/>
    </row>
    <row r="359" spans="1:10" x14ac:dyDescent="0.15">
      <c r="A359" s="1">
        <v>213</v>
      </c>
      <c r="B359" s="666" t="s">
        <v>4605</v>
      </c>
      <c r="C359" s="4" t="s">
        <v>4365</v>
      </c>
      <c r="D359" s="4" t="s">
        <v>4453</v>
      </c>
      <c r="E359" s="665" t="s">
        <v>4365</v>
      </c>
      <c r="F359" s="1">
        <v>10</v>
      </c>
      <c r="G359" s="1">
        <v>1</v>
      </c>
      <c r="H359" s="4" t="s">
        <v>4304</v>
      </c>
      <c r="I359" s="1"/>
      <c r="J359" s="1"/>
    </row>
    <row r="360" spans="1:10" x14ac:dyDescent="0.15">
      <c r="A360" s="1">
        <v>214</v>
      </c>
      <c r="B360" s="666" t="s">
        <v>4607</v>
      </c>
      <c r="C360" s="4" t="s">
        <v>4365</v>
      </c>
      <c r="D360" s="4" t="s">
        <v>4453</v>
      </c>
      <c r="E360" s="665" t="s">
        <v>4365</v>
      </c>
      <c r="F360" s="1">
        <v>5</v>
      </c>
      <c r="G360" s="1">
        <v>0</v>
      </c>
      <c r="H360" s="759"/>
      <c r="I360" s="1"/>
      <c r="J360" s="1"/>
    </row>
    <row r="361" spans="1:10" x14ac:dyDescent="0.15">
      <c r="A361" s="1">
        <v>218</v>
      </c>
      <c r="B361" s="666" t="s">
        <v>4612</v>
      </c>
      <c r="C361" s="4" t="s">
        <v>4365</v>
      </c>
      <c r="D361" s="4" t="s">
        <v>4432</v>
      </c>
      <c r="E361" s="665" t="s">
        <v>4365</v>
      </c>
      <c r="F361" s="1">
        <v>10</v>
      </c>
      <c r="G361" s="1">
        <v>1</v>
      </c>
      <c r="H361" s="4" t="s">
        <v>4304</v>
      </c>
      <c r="I361" s="4" t="s">
        <v>4372</v>
      </c>
      <c r="J361" s="1"/>
    </row>
    <row r="362" spans="1:10" x14ac:dyDescent="0.15">
      <c r="A362" s="1">
        <v>220</v>
      </c>
      <c r="B362" s="666" t="s">
        <v>4614</v>
      </c>
      <c r="C362" s="4" t="s">
        <v>4365</v>
      </c>
      <c r="D362" s="4" t="s">
        <v>4453</v>
      </c>
      <c r="E362" s="665" t="s">
        <v>4365</v>
      </c>
      <c r="F362" s="1">
        <v>3</v>
      </c>
      <c r="G362" s="1">
        <v>1</v>
      </c>
      <c r="H362" s="4" t="s">
        <v>4304</v>
      </c>
      <c r="I362" s="1"/>
      <c r="J362" s="1"/>
    </row>
    <row r="363" spans="1:10" x14ac:dyDescent="0.15">
      <c r="A363" s="1">
        <v>223</v>
      </c>
      <c r="B363" s="666" t="s">
        <v>4617</v>
      </c>
      <c r="C363" s="4" t="s">
        <v>4365</v>
      </c>
      <c r="D363" s="4" t="s">
        <v>4323</v>
      </c>
      <c r="E363" s="665" t="s">
        <v>4365</v>
      </c>
      <c r="F363" s="1">
        <v>5</v>
      </c>
      <c r="G363" s="1">
        <v>1</v>
      </c>
      <c r="H363" s="4" t="s">
        <v>4304</v>
      </c>
      <c r="I363" s="1"/>
      <c r="J363" s="1"/>
    </row>
    <row r="364" spans="1:10" x14ac:dyDescent="0.15">
      <c r="A364" s="1">
        <v>229</v>
      </c>
      <c r="B364" s="666" t="s">
        <v>4618</v>
      </c>
      <c r="C364" s="4" t="s">
        <v>4365</v>
      </c>
      <c r="D364" s="4" t="s">
        <v>745</v>
      </c>
      <c r="E364" s="665" t="s">
        <v>4365</v>
      </c>
      <c r="F364" s="1">
        <v>6</v>
      </c>
      <c r="G364" s="1">
        <v>1</v>
      </c>
      <c r="H364" s="4" t="s">
        <v>4304</v>
      </c>
      <c r="I364" s="1"/>
      <c r="J364" s="1"/>
    </row>
    <row r="365" spans="1:10" x14ac:dyDescent="0.15">
      <c r="A365" s="1">
        <v>235</v>
      </c>
      <c r="B365" s="666" t="s">
        <v>4620</v>
      </c>
      <c r="C365" s="4" t="s">
        <v>4365</v>
      </c>
      <c r="D365" s="4" t="s">
        <v>4417</v>
      </c>
      <c r="E365" s="665" t="s">
        <v>4365</v>
      </c>
      <c r="F365" s="1">
        <v>5</v>
      </c>
      <c r="G365" s="1">
        <v>0</v>
      </c>
      <c r="H365" s="759"/>
      <c r="I365" s="1"/>
      <c r="J365" s="1"/>
    </row>
    <row r="366" spans="1:10" x14ac:dyDescent="0.15">
      <c r="A366" s="1">
        <v>236</v>
      </c>
      <c r="B366" s="666" t="s">
        <v>4621</v>
      </c>
      <c r="C366" s="4" t="s">
        <v>4365</v>
      </c>
      <c r="D366" s="4" t="s">
        <v>4323</v>
      </c>
      <c r="E366" s="665" t="s">
        <v>4365</v>
      </c>
      <c r="F366" s="1">
        <v>5</v>
      </c>
      <c r="G366" s="1">
        <v>1</v>
      </c>
      <c r="H366" s="4" t="s">
        <v>4304</v>
      </c>
      <c r="I366" s="1"/>
      <c r="J366" s="1"/>
    </row>
    <row r="367" spans="1:10" x14ac:dyDescent="0.15">
      <c r="A367" s="1">
        <v>237</v>
      </c>
      <c r="B367" s="666" t="s">
        <v>4622</v>
      </c>
      <c r="C367" s="4" t="s">
        <v>4365</v>
      </c>
      <c r="D367" s="4" t="s">
        <v>4323</v>
      </c>
      <c r="E367" s="665" t="s">
        <v>4365</v>
      </c>
      <c r="F367" s="1">
        <v>3</v>
      </c>
      <c r="G367" s="1">
        <v>0</v>
      </c>
      <c r="H367" s="1"/>
      <c r="I367" s="1"/>
      <c r="J367" s="1"/>
    </row>
    <row r="368" spans="1:10" x14ac:dyDescent="0.15">
      <c r="A368" s="1">
        <v>238</v>
      </c>
      <c r="B368" s="666" t="s">
        <v>4623</v>
      </c>
      <c r="C368" s="4" t="s">
        <v>4365</v>
      </c>
      <c r="D368" s="4" t="s">
        <v>4323</v>
      </c>
      <c r="E368" s="665" t="s">
        <v>4365</v>
      </c>
      <c r="F368" s="1">
        <v>5</v>
      </c>
      <c r="G368" s="1">
        <v>0</v>
      </c>
      <c r="H368" s="759"/>
      <c r="I368" s="759"/>
      <c r="J368" s="1"/>
    </row>
    <row r="369" spans="1:10" x14ac:dyDescent="0.15">
      <c r="A369" s="1">
        <v>239</v>
      </c>
      <c r="B369" s="666" t="s">
        <v>4624</v>
      </c>
      <c r="C369" s="4" t="s">
        <v>4365</v>
      </c>
      <c r="D369" s="4" t="s">
        <v>4323</v>
      </c>
      <c r="E369" s="665" t="s">
        <v>4365</v>
      </c>
      <c r="F369" s="1">
        <v>5</v>
      </c>
      <c r="G369" s="1">
        <v>1</v>
      </c>
      <c r="H369" s="4" t="s">
        <v>4304</v>
      </c>
      <c r="I369" s="1"/>
      <c r="J369" s="1"/>
    </row>
    <row r="370" spans="1:10" x14ac:dyDescent="0.15">
      <c r="A370" s="1">
        <v>240</v>
      </c>
      <c r="B370" s="666" t="s">
        <v>4625</v>
      </c>
      <c r="C370" s="4" t="s">
        <v>4365</v>
      </c>
      <c r="D370" s="4" t="s">
        <v>745</v>
      </c>
      <c r="E370" s="665" t="s">
        <v>4365</v>
      </c>
      <c r="F370" s="1">
        <v>5</v>
      </c>
      <c r="G370" s="1">
        <v>0</v>
      </c>
      <c r="H370" s="759"/>
      <c r="I370" s="1"/>
      <c r="J370" s="759"/>
    </row>
    <row r="371" spans="1:10" x14ac:dyDescent="0.15">
      <c r="A371" s="1">
        <v>241</v>
      </c>
      <c r="B371" s="666" t="s">
        <v>4626</v>
      </c>
      <c r="C371" s="4" t="s">
        <v>4365</v>
      </c>
      <c r="D371" s="4" t="s">
        <v>4323</v>
      </c>
      <c r="E371" s="665" t="s">
        <v>4365</v>
      </c>
      <c r="F371" s="1">
        <v>5</v>
      </c>
      <c r="G371" s="1">
        <v>0</v>
      </c>
      <c r="H371" s="759"/>
      <c r="I371" s="1"/>
      <c r="J371" s="1"/>
    </row>
    <row r="372" spans="1:10" x14ac:dyDescent="0.15">
      <c r="A372" s="1">
        <v>242</v>
      </c>
      <c r="B372" s="666" t="s">
        <v>4627</v>
      </c>
      <c r="C372" s="4" t="s">
        <v>4365</v>
      </c>
      <c r="D372" s="4" t="s">
        <v>4323</v>
      </c>
      <c r="E372" s="665" t="s">
        <v>4365</v>
      </c>
      <c r="F372" s="1">
        <v>5</v>
      </c>
      <c r="G372" s="1">
        <v>0</v>
      </c>
      <c r="H372" s="759"/>
      <c r="I372" s="1"/>
      <c r="J372" s="1"/>
    </row>
    <row r="373" spans="1:10" x14ac:dyDescent="0.15">
      <c r="A373" s="1">
        <v>246</v>
      </c>
      <c r="B373" s="666" t="s">
        <v>4628</v>
      </c>
      <c r="C373" s="4" t="s">
        <v>4365</v>
      </c>
      <c r="D373" s="4" t="s">
        <v>4323</v>
      </c>
      <c r="E373" s="665" t="s">
        <v>4365</v>
      </c>
      <c r="F373" s="1">
        <v>5</v>
      </c>
      <c r="G373" s="1">
        <v>1</v>
      </c>
      <c r="H373" s="1"/>
      <c r="I373" s="1"/>
      <c r="J373" s="1"/>
    </row>
    <row r="374" spans="1:10" x14ac:dyDescent="0.15">
      <c r="A374" s="1">
        <v>247</v>
      </c>
      <c r="B374" s="666" t="s">
        <v>4629</v>
      </c>
      <c r="C374" s="4" t="s">
        <v>4365</v>
      </c>
      <c r="D374" s="4" t="s">
        <v>4323</v>
      </c>
      <c r="E374" s="665" t="s">
        <v>4365</v>
      </c>
      <c r="F374" s="1">
        <v>5</v>
      </c>
      <c r="G374" s="1">
        <v>0</v>
      </c>
      <c r="H374" s="759"/>
      <c r="I374" s="759"/>
      <c r="J374" s="1"/>
    </row>
    <row r="375" spans="1:10" x14ac:dyDescent="0.15">
      <c r="A375" s="1">
        <v>248</v>
      </c>
      <c r="B375" s="666" t="s">
        <v>4630</v>
      </c>
      <c r="C375" s="4" t="s">
        <v>4365</v>
      </c>
      <c r="D375" s="4" t="s">
        <v>4417</v>
      </c>
      <c r="E375" s="665" t="s">
        <v>4365</v>
      </c>
      <c r="F375" s="1">
        <v>5</v>
      </c>
      <c r="G375" s="1">
        <v>2</v>
      </c>
      <c r="H375" s="4" t="s">
        <v>4334</v>
      </c>
      <c r="I375" s="1"/>
      <c r="J375" s="1"/>
    </row>
    <row r="376" spans="1:10" x14ac:dyDescent="0.15">
      <c r="A376" s="1">
        <v>249</v>
      </c>
      <c r="B376" s="666" t="s">
        <v>4631</v>
      </c>
      <c r="C376" s="4" t="s">
        <v>4365</v>
      </c>
      <c r="D376" s="4" t="s">
        <v>4453</v>
      </c>
      <c r="E376" s="665" t="s">
        <v>4365</v>
      </c>
      <c r="F376" s="1">
        <v>10</v>
      </c>
      <c r="G376" s="1">
        <v>1</v>
      </c>
      <c r="H376" s="4" t="s">
        <v>4304</v>
      </c>
      <c r="I376" s="1"/>
      <c r="J376" s="1"/>
    </row>
    <row r="377" spans="1:10" x14ac:dyDescent="0.15">
      <c r="A377" s="1">
        <v>251</v>
      </c>
      <c r="B377" s="666" t="s">
        <v>4634</v>
      </c>
      <c r="C377" s="4" t="s">
        <v>4365</v>
      </c>
      <c r="D377" s="4" t="s">
        <v>4432</v>
      </c>
      <c r="E377" s="665" t="s">
        <v>4365</v>
      </c>
      <c r="F377" s="1">
        <v>5</v>
      </c>
      <c r="G377" s="1">
        <v>1</v>
      </c>
      <c r="H377" s="4" t="s">
        <v>4304</v>
      </c>
      <c r="I377" s="1"/>
      <c r="J377" s="1"/>
    </row>
    <row r="378" spans="1:10" x14ac:dyDescent="0.15">
      <c r="A378" s="1">
        <v>252</v>
      </c>
      <c r="B378" s="666" t="s">
        <v>4635</v>
      </c>
      <c r="C378" s="4" t="s">
        <v>4365</v>
      </c>
      <c r="D378" s="4" t="s">
        <v>4323</v>
      </c>
      <c r="E378" s="665" t="s">
        <v>4365</v>
      </c>
      <c r="F378" s="1">
        <v>5</v>
      </c>
      <c r="G378" s="1">
        <v>1</v>
      </c>
      <c r="H378" s="4" t="s">
        <v>4304</v>
      </c>
      <c r="I378" s="1"/>
      <c r="J378" s="1"/>
    </row>
    <row r="379" spans="1:10" x14ac:dyDescent="0.15">
      <c r="A379" s="1">
        <v>253</v>
      </c>
      <c r="B379" s="666" t="s">
        <v>4636</v>
      </c>
      <c r="C379" s="4" t="s">
        <v>4365</v>
      </c>
      <c r="D379" s="4" t="s">
        <v>4323</v>
      </c>
      <c r="E379" s="665" t="s">
        <v>4365</v>
      </c>
      <c r="F379" s="1">
        <v>5</v>
      </c>
      <c r="G379" s="1">
        <v>1</v>
      </c>
      <c r="H379" s="4" t="s">
        <v>4304</v>
      </c>
      <c r="I379" s="1"/>
      <c r="J379" s="1"/>
    </row>
    <row r="380" spans="1:10" x14ac:dyDescent="0.15">
      <c r="A380" s="1">
        <v>254</v>
      </c>
      <c r="B380" s="666" t="s">
        <v>4637</v>
      </c>
      <c r="C380" s="4" t="s">
        <v>4365</v>
      </c>
      <c r="D380" s="4" t="s">
        <v>4323</v>
      </c>
      <c r="E380" s="665" t="s">
        <v>4365</v>
      </c>
      <c r="F380" s="1">
        <v>10</v>
      </c>
      <c r="G380" s="1">
        <v>1</v>
      </c>
      <c r="H380" s="4" t="s">
        <v>4304</v>
      </c>
      <c r="I380" s="1"/>
      <c r="J380" s="1"/>
    </row>
    <row r="381" spans="1:10" x14ac:dyDescent="0.15">
      <c r="A381" s="1">
        <v>255</v>
      </c>
      <c r="B381" s="666" t="s">
        <v>4638</v>
      </c>
      <c r="C381" s="4" t="s">
        <v>4365</v>
      </c>
      <c r="D381" s="4" t="s">
        <v>4323</v>
      </c>
      <c r="E381" s="665" t="s">
        <v>4365</v>
      </c>
      <c r="F381" s="1">
        <v>0</v>
      </c>
      <c r="G381" s="1">
        <v>0</v>
      </c>
      <c r="H381" s="759"/>
      <c r="I381" s="1"/>
      <c r="J381" s="759"/>
    </row>
    <row r="382" spans="1:10" x14ac:dyDescent="0.15">
      <c r="A382" s="1">
        <v>256</v>
      </c>
      <c r="B382" s="666" t="s">
        <v>4639</v>
      </c>
      <c r="C382" s="4" t="s">
        <v>4365</v>
      </c>
      <c r="D382" s="4" t="s">
        <v>4453</v>
      </c>
      <c r="E382" s="665" t="s">
        <v>4365</v>
      </c>
      <c r="F382" s="1">
        <v>5</v>
      </c>
      <c r="G382" s="1">
        <v>0</v>
      </c>
      <c r="H382" s="759"/>
      <c r="I382" s="1"/>
      <c r="J382" s="1"/>
    </row>
    <row r="383" spans="1:10" x14ac:dyDescent="0.15">
      <c r="A383" s="1">
        <v>258</v>
      </c>
      <c r="B383" s="666" t="s">
        <v>4640</v>
      </c>
      <c r="C383" s="4" t="s">
        <v>4365</v>
      </c>
      <c r="D383" s="4" t="s">
        <v>4453</v>
      </c>
      <c r="E383" s="665" t="s">
        <v>4365</v>
      </c>
      <c r="F383" s="1">
        <v>5</v>
      </c>
      <c r="G383" s="1">
        <v>1</v>
      </c>
      <c r="H383" s="4" t="s">
        <v>4304</v>
      </c>
      <c r="I383" s="1"/>
      <c r="J383" s="1"/>
    </row>
    <row r="384" spans="1:10" x14ac:dyDescent="0.15">
      <c r="A384" s="1">
        <v>259</v>
      </c>
      <c r="B384" s="666" t="s">
        <v>4641</v>
      </c>
      <c r="C384" s="4" t="s">
        <v>4365</v>
      </c>
      <c r="D384" s="4" t="s">
        <v>4453</v>
      </c>
      <c r="E384" s="665" t="s">
        <v>4365</v>
      </c>
      <c r="F384" s="1">
        <v>5</v>
      </c>
      <c r="G384" s="1">
        <v>1</v>
      </c>
      <c r="H384" s="759"/>
      <c r="I384" s="1"/>
      <c r="J384" s="1"/>
    </row>
    <row r="385" spans="1:10" x14ac:dyDescent="0.15">
      <c r="A385" s="1">
        <v>260</v>
      </c>
      <c r="B385" s="666" t="s">
        <v>4642</v>
      </c>
      <c r="C385" s="4" t="s">
        <v>4365</v>
      </c>
      <c r="D385" s="4" t="s">
        <v>4417</v>
      </c>
      <c r="E385" s="665" t="s">
        <v>4365</v>
      </c>
      <c r="F385" s="1">
        <v>8</v>
      </c>
      <c r="G385" s="1">
        <v>1</v>
      </c>
      <c r="H385" s="4" t="s">
        <v>4304</v>
      </c>
      <c r="I385" s="1"/>
      <c r="J385" s="1"/>
    </row>
    <row r="386" spans="1:10" x14ac:dyDescent="0.15">
      <c r="A386" s="1">
        <v>261</v>
      </c>
      <c r="B386" s="666" t="s">
        <v>4643</v>
      </c>
      <c r="C386" s="4" t="s">
        <v>4365</v>
      </c>
      <c r="D386" s="4" t="s">
        <v>4453</v>
      </c>
      <c r="E386" s="665" t="s">
        <v>4365</v>
      </c>
      <c r="F386" s="1">
        <v>10</v>
      </c>
      <c r="G386" s="1">
        <v>1</v>
      </c>
      <c r="H386" s="4" t="s">
        <v>4304</v>
      </c>
      <c r="I386" s="759"/>
      <c r="J386" s="1"/>
    </row>
    <row r="387" spans="1:10" x14ac:dyDescent="0.15">
      <c r="A387" s="1">
        <v>262</v>
      </c>
      <c r="B387" s="666" t="s">
        <v>4644</v>
      </c>
      <c r="C387" s="4" t="s">
        <v>4365</v>
      </c>
      <c r="D387" s="4" t="s">
        <v>4323</v>
      </c>
      <c r="E387" s="665" t="s">
        <v>4365</v>
      </c>
      <c r="F387" s="1">
        <v>5</v>
      </c>
      <c r="G387" s="1">
        <v>0</v>
      </c>
      <c r="H387" s="759"/>
      <c r="I387" s="1"/>
      <c r="J387" s="1"/>
    </row>
    <row r="388" spans="1:10" x14ac:dyDescent="0.15">
      <c r="A388" s="1">
        <v>263</v>
      </c>
      <c r="B388" s="666" t="s">
        <v>4645</v>
      </c>
      <c r="C388" s="4" t="s">
        <v>4365</v>
      </c>
      <c r="D388" s="4" t="s">
        <v>4323</v>
      </c>
      <c r="E388" s="665" t="s">
        <v>4365</v>
      </c>
      <c r="F388" s="1">
        <v>5</v>
      </c>
      <c r="G388" s="1">
        <v>1</v>
      </c>
      <c r="H388" s="4" t="s">
        <v>4304</v>
      </c>
      <c r="I388" s="759"/>
      <c r="J388" s="1"/>
    </row>
    <row r="389" spans="1:10" x14ac:dyDescent="0.15">
      <c r="A389" s="1">
        <v>264</v>
      </c>
      <c r="B389" s="666" t="s">
        <v>4646</v>
      </c>
      <c r="C389" s="4" t="s">
        <v>4365</v>
      </c>
      <c r="D389" s="4" t="s">
        <v>4323</v>
      </c>
      <c r="E389" s="665" t="s">
        <v>4365</v>
      </c>
      <c r="F389" s="1">
        <v>5</v>
      </c>
      <c r="G389" s="1">
        <v>1</v>
      </c>
      <c r="H389" s="4" t="s">
        <v>4304</v>
      </c>
      <c r="I389" s="1"/>
      <c r="J389" s="1"/>
    </row>
    <row r="390" spans="1:10" x14ac:dyDescent="0.15">
      <c r="A390" s="1">
        <v>265</v>
      </c>
      <c r="B390" s="666" t="s">
        <v>4647</v>
      </c>
      <c r="C390" s="4" t="s">
        <v>4365</v>
      </c>
      <c r="D390" s="4" t="s">
        <v>4323</v>
      </c>
      <c r="E390" s="665" t="s">
        <v>4365</v>
      </c>
      <c r="F390" s="1">
        <v>5</v>
      </c>
      <c r="G390" s="1">
        <v>1</v>
      </c>
      <c r="H390" s="4" t="s">
        <v>4334</v>
      </c>
      <c r="I390" s="1"/>
      <c r="J390" s="1"/>
    </row>
    <row r="391" spans="1:10" x14ac:dyDescent="0.15">
      <c r="A391" s="1">
        <v>266</v>
      </c>
      <c r="B391" s="666" t="s">
        <v>4648</v>
      </c>
      <c r="C391" s="4" t="s">
        <v>4365</v>
      </c>
      <c r="D391" s="4" t="s">
        <v>4453</v>
      </c>
      <c r="E391" s="665" t="s">
        <v>4365</v>
      </c>
      <c r="F391" s="759">
        <v>10</v>
      </c>
      <c r="G391" s="1">
        <v>1</v>
      </c>
      <c r="H391" s="4" t="s">
        <v>4304</v>
      </c>
      <c r="I391" s="759"/>
      <c r="J391" s="1"/>
    </row>
    <row r="392" spans="1:10" x14ac:dyDescent="0.15">
      <c r="A392" s="1">
        <v>268</v>
      </c>
      <c r="B392" s="666" t="s">
        <v>4650</v>
      </c>
      <c r="C392" s="4" t="s">
        <v>4365</v>
      </c>
      <c r="D392" s="4" t="s">
        <v>4323</v>
      </c>
      <c r="E392" s="665" t="s">
        <v>4365</v>
      </c>
      <c r="F392" s="1">
        <v>5</v>
      </c>
      <c r="G392" s="1">
        <v>0</v>
      </c>
      <c r="H392" s="759"/>
      <c r="I392" s="1"/>
      <c r="J392" s="1"/>
    </row>
    <row r="393" spans="1:10" x14ac:dyDescent="0.15">
      <c r="A393" s="1">
        <v>269</v>
      </c>
      <c r="B393" s="666" t="s">
        <v>4651</v>
      </c>
      <c r="C393" s="4" t="s">
        <v>4365</v>
      </c>
      <c r="D393" s="4" t="s">
        <v>4323</v>
      </c>
      <c r="E393" s="665" t="s">
        <v>4365</v>
      </c>
      <c r="F393" s="759">
        <v>10</v>
      </c>
      <c r="G393" s="1">
        <v>1</v>
      </c>
      <c r="H393" s="4" t="s">
        <v>4304</v>
      </c>
      <c r="I393" s="759"/>
      <c r="J393" s="1"/>
    </row>
    <row r="394" spans="1:10" x14ac:dyDescent="0.15">
      <c r="A394" s="1">
        <v>271</v>
      </c>
      <c r="B394" s="666" t="s">
        <v>4652</v>
      </c>
      <c r="C394" s="4" t="s">
        <v>4365</v>
      </c>
      <c r="D394" s="4" t="s">
        <v>4323</v>
      </c>
      <c r="E394" s="665" t="s">
        <v>4365</v>
      </c>
      <c r="F394" s="1">
        <v>10</v>
      </c>
      <c r="G394" s="1">
        <v>1</v>
      </c>
      <c r="H394" s="1"/>
      <c r="I394" s="1"/>
      <c r="J394" s="1"/>
    </row>
    <row r="395" spans="1:10" x14ac:dyDescent="0.15">
      <c r="A395" s="1">
        <v>272</v>
      </c>
      <c r="B395" s="666" t="s">
        <v>4653</v>
      </c>
      <c r="C395" s="4" t="s">
        <v>4365</v>
      </c>
      <c r="D395" s="4" t="s">
        <v>4323</v>
      </c>
      <c r="E395" s="665" t="s">
        <v>4365</v>
      </c>
      <c r="F395" s="759">
        <v>10</v>
      </c>
      <c r="G395" s="1">
        <v>0</v>
      </c>
      <c r="H395" s="1"/>
      <c r="I395" s="759"/>
      <c r="J395" s="1"/>
    </row>
    <row r="396" spans="1:10" x14ac:dyDescent="0.15">
      <c r="A396" s="1">
        <v>273</v>
      </c>
      <c r="B396" s="666" t="s">
        <v>4654</v>
      </c>
      <c r="C396" s="4" t="s">
        <v>4365</v>
      </c>
      <c r="D396" s="4" t="s">
        <v>4323</v>
      </c>
      <c r="E396" s="665" t="s">
        <v>4365</v>
      </c>
      <c r="F396" s="759">
        <v>10</v>
      </c>
      <c r="G396" s="1">
        <v>1</v>
      </c>
      <c r="H396" s="4" t="s">
        <v>4304</v>
      </c>
      <c r="I396" s="759"/>
      <c r="J396" s="1"/>
    </row>
    <row r="397" spans="1:10" x14ac:dyDescent="0.15">
      <c r="A397" s="1">
        <v>274</v>
      </c>
      <c r="B397" s="666" t="s">
        <v>4655</v>
      </c>
      <c r="C397" s="4" t="s">
        <v>4365</v>
      </c>
      <c r="D397" s="4" t="s">
        <v>4323</v>
      </c>
      <c r="E397" s="665" t="s">
        <v>4365</v>
      </c>
      <c r="F397" s="1">
        <v>5</v>
      </c>
      <c r="G397" s="1">
        <v>0</v>
      </c>
      <c r="H397" s="1"/>
      <c r="I397" s="1"/>
      <c r="J397" s="1"/>
    </row>
    <row r="398" spans="1:10" x14ac:dyDescent="0.15">
      <c r="A398" s="1">
        <v>275</v>
      </c>
      <c r="B398" s="666" t="s">
        <v>4656</v>
      </c>
      <c r="C398" s="4" t="s">
        <v>4365</v>
      </c>
      <c r="D398" s="4" t="s">
        <v>4323</v>
      </c>
      <c r="E398" s="665" t="s">
        <v>4365</v>
      </c>
      <c r="F398" s="1">
        <v>5</v>
      </c>
      <c r="G398" s="1">
        <v>0</v>
      </c>
      <c r="H398" s="1"/>
      <c r="I398" s="1"/>
      <c r="J398" s="1"/>
    </row>
    <row r="399" spans="1:10" x14ac:dyDescent="0.15">
      <c r="A399" s="1">
        <v>276</v>
      </c>
      <c r="B399" s="666" t="s">
        <v>4657</v>
      </c>
      <c r="C399" s="4" t="s">
        <v>4365</v>
      </c>
      <c r="D399" s="4" t="s">
        <v>4323</v>
      </c>
      <c r="E399" s="665" t="s">
        <v>4365</v>
      </c>
      <c r="F399" s="759">
        <v>5</v>
      </c>
      <c r="G399" s="1">
        <v>0</v>
      </c>
      <c r="H399" s="1"/>
      <c r="I399" s="759"/>
      <c r="J399" s="1"/>
    </row>
    <row r="400" spans="1:10" x14ac:dyDescent="0.15">
      <c r="A400" s="1">
        <v>277</v>
      </c>
      <c r="B400" s="666" t="s">
        <v>4658</v>
      </c>
      <c r="C400" s="4" t="s">
        <v>4365</v>
      </c>
      <c r="D400" s="4" t="s">
        <v>4323</v>
      </c>
      <c r="E400" s="665" t="s">
        <v>4365</v>
      </c>
      <c r="F400" s="1">
        <v>5</v>
      </c>
      <c r="G400" s="1">
        <v>0</v>
      </c>
      <c r="H400" s="1"/>
      <c r="I400" s="1"/>
      <c r="J400" s="1"/>
    </row>
    <row r="401" spans="1:15" x14ac:dyDescent="0.15">
      <c r="A401" s="1">
        <v>278</v>
      </c>
      <c r="B401" s="666" t="s">
        <v>4659</v>
      </c>
      <c r="C401" s="4" t="s">
        <v>4365</v>
      </c>
      <c r="D401" s="4" t="s">
        <v>4323</v>
      </c>
      <c r="E401" s="665" t="s">
        <v>4365</v>
      </c>
      <c r="F401" s="759">
        <v>5</v>
      </c>
      <c r="G401" s="1">
        <v>0</v>
      </c>
      <c r="H401" s="1"/>
      <c r="I401" s="759"/>
      <c r="J401" s="1"/>
    </row>
    <row r="402" spans="1:15" x14ac:dyDescent="0.15">
      <c r="A402" s="1">
        <v>281</v>
      </c>
      <c r="B402" s="666" t="s">
        <v>4660</v>
      </c>
      <c r="C402" s="4" t="s">
        <v>4365</v>
      </c>
      <c r="D402" s="4" t="s">
        <v>4323</v>
      </c>
      <c r="E402" s="665" t="s">
        <v>4365</v>
      </c>
      <c r="F402" s="1">
        <v>5</v>
      </c>
      <c r="G402" s="1">
        <v>0</v>
      </c>
      <c r="H402" s="1"/>
      <c r="I402" s="759"/>
      <c r="J402" s="1"/>
    </row>
    <row r="403" spans="1:15" x14ac:dyDescent="0.15">
      <c r="A403" s="1"/>
      <c r="B403" s="666" t="s">
        <v>4667</v>
      </c>
      <c r="C403" s="4" t="s">
        <v>4365</v>
      </c>
      <c r="D403" s="4" t="s">
        <v>4323</v>
      </c>
      <c r="E403" s="665" t="s">
        <v>4365</v>
      </c>
      <c r="F403" s="759">
        <v>5</v>
      </c>
      <c r="G403" s="1">
        <v>0</v>
      </c>
      <c r="H403" s="1"/>
      <c r="I403" s="759" t="s">
        <v>4668</v>
      </c>
      <c r="J403" s="1"/>
    </row>
    <row r="404" spans="1:15" x14ac:dyDescent="0.15">
      <c r="A404" s="1">
        <v>25</v>
      </c>
      <c r="B404" s="664" t="s">
        <v>4349</v>
      </c>
      <c r="C404" s="4" t="s">
        <v>4350</v>
      </c>
      <c r="D404" s="4" t="s">
        <v>3227</v>
      </c>
      <c r="E404" s="665" t="s">
        <v>4297</v>
      </c>
      <c r="F404" s="1">
        <v>100</v>
      </c>
      <c r="G404" s="1">
        <v>4</v>
      </c>
      <c r="H404" s="4" t="s">
        <v>4334</v>
      </c>
      <c r="I404" s="1"/>
      <c r="J404" s="1"/>
    </row>
    <row r="405" spans="1:15" x14ac:dyDescent="0.15">
      <c r="A405" s="1">
        <v>52</v>
      </c>
      <c r="B405" s="664" t="s">
        <v>4381</v>
      </c>
      <c r="C405" s="4" t="s">
        <v>4350</v>
      </c>
      <c r="D405" s="4" t="s">
        <v>3227</v>
      </c>
      <c r="E405" s="665" t="s">
        <v>4297</v>
      </c>
      <c r="F405" s="759">
        <v>100</v>
      </c>
      <c r="G405" s="1">
        <v>4</v>
      </c>
      <c r="H405" s="4" t="s">
        <v>4334</v>
      </c>
      <c r="I405" s="759"/>
      <c r="J405" s="759"/>
      <c r="K405" s="754" t="s">
        <v>6452</v>
      </c>
      <c r="L405" s="755" t="s">
        <v>6454</v>
      </c>
      <c r="M405" s="755"/>
      <c r="N405" s="755" t="s">
        <v>6443</v>
      </c>
      <c r="O405" s="97">
        <v>100</v>
      </c>
    </row>
    <row r="406" spans="1:15" x14ac:dyDescent="0.15">
      <c r="A406" s="1">
        <v>87</v>
      </c>
      <c r="B406" s="664" t="s">
        <v>4408</v>
      </c>
      <c r="C406" s="4" t="s">
        <v>4350</v>
      </c>
      <c r="D406" s="4" t="s">
        <v>3227</v>
      </c>
      <c r="E406" s="665" t="s">
        <v>4297</v>
      </c>
      <c r="F406" s="1">
        <v>10</v>
      </c>
      <c r="G406" s="1">
        <v>1</v>
      </c>
      <c r="H406" s="4" t="s">
        <v>4409</v>
      </c>
      <c r="I406" s="1"/>
      <c r="J406" s="1"/>
    </row>
    <row r="407" spans="1:15" x14ac:dyDescent="0.15">
      <c r="A407" s="1">
        <v>104</v>
      </c>
      <c r="B407" s="664" t="s">
        <v>3570</v>
      </c>
      <c r="C407" s="4" t="s">
        <v>4350</v>
      </c>
      <c r="D407" s="4" t="s">
        <v>3227</v>
      </c>
      <c r="E407" s="665" t="s">
        <v>4297</v>
      </c>
      <c r="F407" s="759">
        <v>10</v>
      </c>
      <c r="G407" s="1">
        <v>2</v>
      </c>
      <c r="H407" s="4" t="s">
        <v>4334</v>
      </c>
      <c r="I407" s="759"/>
      <c r="J407" s="1"/>
    </row>
    <row r="408" spans="1:15" x14ac:dyDescent="0.15">
      <c r="A408" s="1">
        <v>123</v>
      </c>
      <c r="B408" s="664" t="s">
        <v>3565</v>
      </c>
      <c r="C408" s="4" t="s">
        <v>4350</v>
      </c>
      <c r="D408" s="4" t="s">
        <v>3227</v>
      </c>
      <c r="E408" s="665" t="s">
        <v>4297</v>
      </c>
      <c r="F408" s="1">
        <v>20</v>
      </c>
      <c r="G408" s="1">
        <v>2</v>
      </c>
      <c r="H408" s="4" t="s">
        <v>4334</v>
      </c>
      <c r="I408" s="1"/>
      <c r="J408" s="1"/>
    </row>
    <row r="409" spans="1:15" x14ac:dyDescent="0.15">
      <c r="A409" s="1">
        <v>124</v>
      </c>
      <c r="B409" s="664" t="s">
        <v>4473</v>
      </c>
      <c r="C409" s="4" t="s">
        <v>4350</v>
      </c>
      <c r="D409" s="4" t="s">
        <v>3227</v>
      </c>
      <c r="E409" s="665" t="s">
        <v>4297</v>
      </c>
      <c r="F409" s="759">
        <v>10</v>
      </c>
      <c r="G409" s="1">
        <v>2</v>
      </c>
      <c r="H409" s="4" t="s">
        <v>4334</v>
      </c>
      <c r="I409" s="759"/>
      <c r="J409" s="1"/>
    </row>
    <row r="410" spans="1:15" x14ac:dyDescent="0.15">
      <c r="A410" s="1">
        <v>151</v>
      </c>
      <c r="B410" s="664" t="s">
        <v>4516</v>
      </c>
      <c r="C410" s="4" t="s">
        <v>4350</v>
      </c>
      <c r="D410" s="4" t="s">
        <v>3227</v>
      </c>
      <c r="E410" s="665" t="s">
        <v>4297</v>
      </c>
      <c r="F410" s="1">
        <v>200</v>
      </c>
      <c r="G410" s="1">
        <v>1</v>
      </c>
      <c r="H410" s="4" t="s">
        <v>4304</v>
      </c>
      <c r="I410" s="1"/>
      <c r="J410" s="1"/>
    </row>
    <row r="411" spans="1:15" x14ac:dyDescent="0.15">
      <c r="A411" s="1">
        <v>157</v>
      </c>
      <c r="B411" s="664" t="s">
        <v>3561</v>
      </c>
      <c r="C411" s="4" t="s">
        <v>4350</v>
      </c>
      <c r="D411" s="4" t="s">
        <v>3227</v>
      </c>
      <c r="E411" s="665" t="s">
        <v>4297</v>
      </c>
      <c r="F411" s="759">
        <v>20</v>
      </c>
      <c r="G411" s="1">
        <v>2</v>
      </c>
      <c r="H411" s="4" t="s">
        <v>4334</v>
      </c>
      <c r="I411" s="759"/>
      <c r="J411" s="1"/>
    </row>
    <row r="412" spans="1:15" x14ac:dyDescent="0.15">
      <c r="A412" s="1">
        <v>173</v>
      </c>
      <c r="B412" s="664" t="s">
        <v>3568</v>
      </c>
      <c r="C412" s="4" t="s">
        <v>4350</v>
      </c>
      <c r="D412" s="4" t="s">
        <v>3227</v>
      </c>
      <c r="E412" s="665" t="s">
        <v>4297</v>
      </c>
      <c r="F412" s="1">
        <v>10</v>
      </c>
      <c r="G412" s="1">
        <v>1</v>
      </c>
      <c r="H412" s="4" t="s">
        <v>4304</v>
      </c>
      <c r="I412" s="1"/>
      <c r="J412" s="1"/>
    </row>
    <row r="413" spans="1:15" x14ac:dyDescent="0.15">
      <c r="A413" s="1">
        <v>193</v>
      </c>
      <c r="B413" s="664" t="s">
        <v>3574</v>
      </c>
      <c r="C413" s="4" t="s">
        <v>4350</v>
      </c>
      <c r="D413" s="4" t="s">
        <v>3227</v>
      </c>
      <c r="E413" s="665" t="s">
        <v>4297</v>
      </c>
      <c r="F413" s="759">
        <v>10</v>
      </c>
      <c r="G413" s="1">
        <v>1</v>
      </c>
      <c r="H413" s="4" t="s">
        <v>4304</v>
      </c>
      <c r="I413" s="759"/>
      <c r="J413" s="1"/>
    </row>
    <row r="414" spans="1:15" x14ac:dyDescent="0.15">
      <c r="A414" s="1">
        <v>282</v>
      </c>
      <c r="B414" s="664" t="s">
        <v>4661</v>
      </c>
      <c r="C414" s="4" t="s">
        <v>4350</v>
      </c>
      <c r="D414" s="4" t="s">
        <v>3227</v>
      </c>
      <c r="E414" s="665" t="s">
        <v>4297</v>
      </c>
      <c r="F414" s="759">
        <v>100</v>
      </c>
      <c r="G414" s="1">
        <v>4</v>
      </c>
      <c r="H414" s="4" t="s">
        <v>4550</v>
      </c>
      <c r="I414" s="759"/>
      <c r="J414" s="1"/>
    </row>
    <row r="415" spans="1:15" x14ac:dyDescent="0.15">
      <c r="A415" s="1">
        <v>283</v>
      </c>
      <c r="B415" s="664" t="s">
        <v>4662</v>
      </c>
      <c r="C415" s="4" t="s">
        <v>4350</v>
      </c>
      <c r="D415" s="4" t="s">
        <v>4663</v>
      </c>
      <c r="E415" s="665" t="s">
        <v>4297</v>
      </c>
      <c r="F415" s="1">
        <v>10</v>
      </c>
      <c r="G415" s="1">
        <v>1</v>
      </c>
      <c r="H415" s="4" t="s">
        <v>4304</v>
      </c>
      <c r="I415" s="759"/>
      <c r="J415" s="1"/>
    </row>
    <row r="416" spans="1:15" x14ac:dyDescent="0.15">
      <c r="A416" s="1">
        <v>2</v>
      </c>
      <c r="B416" s="664" t="s">
        <v>4300</v>
      </c>
      <c r="C416" s="4" t="s">
        <v>4301</v>
      </c>
      <c r="D416" s="4" t="s">
        <v>3227</v>
      </c>
      <c r="E416" s="665" t="s">
        <v>4297</v>
      </c>
      <c r="F416" s="759">
        <v>5</v>
      </c>
      <c r="G416" s="1">
        <v>0</v>
      </c>
      <c r="H416" s="4" t="s">
        <v>4298</v>
      </c>
      <c r="I416" s="759"/>
      <c r="J416" s="1"/>
    </row>
    <row r="417" spans="1:15" x14ac:dyDescent="0.15">
      <c r="A417" s="1">
        <v>4</v>
      </c>
      <c r="B417" s="664" t="s">
        <v>4311</v>
      </c>
      <c r="C417" s="4" t="s">
        <v>4301</v>
      </c>
      <c r="D417" s="4" t="s">
        <v>3227</v>
      </c>
      <c r="E417" s="665" t="s">
        <v>4297</v>
      </c>
      <c r="F417" s="1">
        <v>20</v>
      </c>
      <c r="G417" s="1">
        <v>2</v>
      </c>
      <c r="H417" s="4" t="s">
        <v>4304</v>
      </c>
      <c r="I417" s="1"/>
      <c r="J417" s="1"/>
    </row>
    <row r="418" spans="1:15" x14ac:dyDescent="0.15">
      <c r="A418" s="1">
        <v>21</v>
      </c>
      <c r="B418" s="664" t="s">
        <v>3463</v>
      </c>
      <c r="C418" s="4" t="s">
        <v>4301</v>
      </c>
      <c r="D418" s="4" t="s">
        <v>3227</v>
      </c>
      <c r="E418" s="665" t="s">
        <v>4297</v>
      </c>
      <c r="F418" s="759">
        <v>20</v>
      </c>
      <c r="G418" s="1">
        <v>1</v>
      </c>
      <c r="H418" s="4" t="s">
        <v>4304</v>
      </c>
      <c r="I418" s="759"/>
      <c r="J418" s="759"/>
      <c r="K418" s="754" t="s">
        <v>6494</v>
      </c>
      <c r="L418" s="753" t="s">
        <v>6495</v>
      </c>
      <c r="M418" s="755" t="s">
        <v>6496</v>
      </c>
      <c r="N418" s="97">
        <v>5</v>
      </c>
      <c r="O418" s="753" t="s">
        <v>6499</v>
      </c>
    </row>
    <row r="419" spans="1:15" x14ac:dyDescent="0.15">
      <c r="A419" s="1">
        <v>37</v>
      </c>
      <c r="B419" s="664" t="s">
        <v>1484</v>
      </c>
      <c r="C419" s="4" t="s">
        <v>4301</v>
      </c>
      <c r="D419" s="4" t="s">
        <v>3227</v>
      </c>
      <c r="E419" s="665" t="s">
        <v>4297</v>
      </c>
      <c r="F419" s="1">
        <v>50</v>
      </c>
      <c r="G419" s="1">
        <v>2</v>
      </c>
      <c r="H419" s="4" t="s">
        <v>4334</v>
      </c>
      <c r="I419" s="4" t="s">
        <v>4367</v>
      </c>
      <c r="J419" s="1"/>
      <c r="L419" s="753" t="s">
        <v>6482</v>
      </c>
    </row>
    <row r="420" spans="1:15" x14ac:dyDescent="0.15">
      <c r="A420" s="1">
        <v>50</v>
      </c>
      <c r="B420" s="664" t="s">
        <v>1475</v>
      </c>
      <c r="C420" s="4" t="s">
        <v>4301</v>
      </c>
      <c r="D420" s="4" t="s">
        <v>3227</v>
      </c>
      <c r="E420" s="665" t="s">
        <v>4297</v>
      </c>
      <c r="F420" s="759">
        <v>50</v>
      </c>
      <c r="G420" s="1">
        <v>2</v>
      </c>
      <c r="H420" s="4" t="s">
        <v>4304</v>
      </c>
      <c r="I420" s="759"/>
      <c r="J420" s="1"/>
    </row>
    <row r="421" spans="1:15" x14ac:dyDescent="0.15">
      <c r="A421" s="1">
        <v>54</v>
      </c>
      <c r="B421" s="664" t="s">
        <v>4384</v>
      </c>
      <c r="C421" s="4" t="s">
        <v>4301</v>
      </c>
      <c r="D421" s="4" t="s">
        <v>3227</v>
      </c>
      <c r="E421" s="665" t="s">
        <v>4297</v>
      </c>
      <c r="F421" s="1">
        <v>10</v>
      </c>
      <c r="G421" s="1">
        <v>2</v>
      </c>
      <c r="H421" s="4" t="s">
        <v>4334</v>
      </c>
      <c r="I421" s="1"/>
      <c r="J421" s="1"/>
    </row>
    <row r="422" spans="1:15" x14ac:dyDescent="0.15">
      <c r="A422" s="1">
        <v>97</v>
      </c>
      <c r="B422" s="664" t="s">
        <v>4428</v>
      </c>
      <c r="C422" s="4" t="s">
        <v>4301</v>
      </c>
      <c r="D422" s="4" t="s">
        <v>3227</v>
      </c>
      <c r="E422" s="665" t="s">
        <v>4297</v>
      </c>
      <c r="F422" s="1">
        <v>10</v>
      </c>
      <c r="G422" s="1">
        <v>2</v>
      </c>
      <c r="H422" s="4" t="s">
        <v>4429</v>
      </c>
      <c r="I422" s="1"/>
      <c r="J422" s="1"/>
    </row>
    <row r="423" spans="1:15" x14ac:dyDescent="0.15">
      <c r="A423" s="1">
        <v>98</v>
      </c>
      <c r="B423" s="664" t="s">
        <v>3318</v>
      </c>
      <c r="C423" s="4" t="s">
        <v>4301</v>
      </c>
      <c r="D423" s="4" t="s">
        <v>3227</v>
      </c>
      <c r="E423" s="665" t="s">
        <v>4297</v>
      </c>
      <c r="F423" s="759">
        <v>10</v>
      </c>
      <c r="G423" s="1">
        <v>0</v>
      </c>
      <c r="H423" s="4" t="s">
        <v>3396</v>
      </c>
      <c r="I423" s="1"/>
      <c r="J423" s="1"/>
    </row>
    <row r="424" spans="1:15" x14ac:dyDescent="0.15">
      <c r="A424" s="1">
        <v>99</v>
      </c>
      <c r="B424" s="664" t="s">
        <v>3294</v>
      </c>
      <c r="C424" s="4" t="s">
        <v>4301</v>
      </c>
      <c r="D424" s="4" t="s">
        <v>3227</v>
      </c>
      <c r="E424" s="665" t="s">
        <v>4297</v>
      </c>
      <c r="F424" s="1">
        <v>5</v>
      </c>
      <c r="G424" s="1">
        <v>1</v>
      </c>
      <c r="H424" s="4" t="s">
        <v>4304</v>
      </c>
      <c r="I424" s="1"/>
      <c r="J424" s="1"/>
    </row>
    <row r="425" spans="1:15" x14ac:dyDescent="0.15">
      <c r="A425" s="1">
        <v>144</v>
      </c>
      <c r="B425" s="664" t="s">
        <v>4506</v>
      </c>
      <c r="C425" s="4" t="s">
        <v>4301</v>
      </c>
      <c r="D425" s="4" t="s">
        <v>3227</v>
      </c>
      <c r="E425" s="665" t="s">
        <v>4297</v>
      </c>
      <c r="F425" s="759">
        <v>10</v>
      </c>
      <c r="G425" s="1">
        <v>2</v>
      </c>
      <c r="H425" s="4" t="s">
        <v>4334</v>
      </c>
      <c r="I425" s="759"/>
      <c r="J425" s="1"/>
    </row>
    <row r="426" spans="1:15" x14ac:dyDescent="0.15">
      <c r="A426" s="1">
        <v>150</v>
      </c>
      <c r="B426" s="664" t="s">
        <v>4515</v>
      </c>
      <c r="C426" s="4" t="s">
        <v>4301</v>
      </c>
      <c r="D426" s="4" t="s">
        <v>3227</v>
      </c>
      <c r="E426" s="665" t="s">
        <v>4297</v>
      </c>
      <c r="F426" s="1">
        <v>50</v>
      </c>
      <c r="G426" s="1">
        <v>2</v>
      </c>
      <c r="H426" s="4" t="s">
        <v>4334</v>
      </c>
      <c r="I426" s="1"/>
      <c r="J426" s="1"/>
    </row>
    <row r="427" spans="1:15" x14ac:dyDescent="0.15">
      <c r="A427" s="1">
        <v>194</v>
      </c>
      <c r="B427" s="664" t="s">
        <v>3475</v>
      </c>
      <c r="C427" s="4" t="s">
        <v>4301</v>
      </c>
      <c r="D427" s="4" t="s">
        <v>3227</v>
      </c>
      <c r="E427" s="665" t="s">
        <v>4297</v>
      </c>
      <c r="F427" s="759">
        <v>10</v>
      </c>
      <c r="G427" s="1">
        <v>1</v>
      </c>
      <c r="H427" s="4" t="s">
        <v>4304</v>
      </c>
      <c r="I427" s="759"/>
      <c r="J427" s="1"/>
    </row>
    <row r="428" spans="1:15" x14ac:dyDescent="0.15">
      <c r="A428" s="1">
        <v>195</v>
      </c>
      <c r="B428" s="664" t="s">
        <v>4582</v>
      </c>
      <c r="C428" s="4" t="s">
        <v>4301</v>
      </c>
      <c r="D428" s="4" t="s">
        <v>3227</v>
      </c>
      <c r="E428" s="665" t="s">
        <v>4297</v>
      </c>
      <c r="F428" s="1">
        <v>10</v>
      </c>
      <c r="G428" s="1">
        <v>0</v>
      </c>
      <c r="H428" s="4" t="s">
        <v>4298</v>
      </c>
      <c r="I428" s="1"/>
      <c r="J428" s="1"/>
    </row>
    <row r="429" spans="1:15" x14ac:dyDescent="0.15">
      <c r="A429" s="1">
        <v>210</v>
      </c>
      <c r="B429" s="664" t="s">
        <v>4603</v>
      </c>
      <c r="C429" s="4" t="s">
        <v>4301</v>
      </c>
      <c r="D429" s="4" t="s">
        <v>3227</v>
      </c>
      <c r="E429" s="665" t="s">
        <v>4297</v>
      </c>
      <c r="F429" s="1">
        <v>10</v>
      </c>
      <c r="G429" s="1">
        <v>2</v>
      </c>
      <c r="H429" s="4" t="s">
        <v>4334</v>
      </c>
      <c r="I429" s="1"/>
      <c r="J429" s="1"/>
    </row>
    <row r="430" spans="1:15" x14ac:dyDescent="0.15">
      <c r="A430" s="1">
        <v>211</v>
      </c>
      <c r="B430" s="664" t="s">
        <v>1482</v>
      </c>
      <c r="C430" s="4" t="s">
        <v>4301</v>
      </c>
      <c r="D430" s="4" t="s">
        <v>3227</v>
      </c>
      <c r="E430" s="665" t="s">
        <v>4297</v>
      </c>
      <c r="F430" s="759">
        <v>50</v>
      </c>
      <c r="G430" s="1">
        <v>2</v>
      </c>
      <c r="H430" s="4" t="s">
        <v>4334</v>
      </c>
      <c r="I430" s="759"/>
      <c r="J430" s="1"/>
    </row>
    <row r="431" spans="1:15" x14ac:dyDescent="0.15">
      <c r="A431" s="1">
        <v>213</v>
      </c>
      <c r="B431" s="664" t="s">
        <v>1479</v>
      </c>
      <c r="C431" s="4" t="s">
        <v>4301</v>
      </c>
      <c r="D431" s="4" t="s">
        <v>3223</v>
      </c>
      <c r="E431" s="665" t="s">
        <v>4297</v>
      </c>
      <c r="F431" s="704">
        <v>500</v>
      </c>
      <c r="G431" s="1">
        <v>1</v>
      </c>
      <c r="H431" s="759"/>
      <c r="I431" s="1" t="s">
        <v>4606</v>
      </c>
      <c r="J431" s="1"/>
    </row>
    <row r="432" spans="1:15" x14ac:dyDescent="0.15">
      <c r="A432" s="1">
        <v>214</v>
      </c>
      <c r="B432" s="664" t="s">
        <v>219</v>
      </c>
      <c r="C432" s="4" t="s">
        <v>4301</v>
      </c>
      <c r="D432" s="4" t="s">
        <v>4323</v>
      </c>
      <c r="E432" s="665" t="s">
        <v>4297</v>
      </c>
      <c r="F432" s="704">
        <v>180</v>
      </c>
      <c r="G432" s="1">
        <v>1</v>
      </c>
      <c r="H432" s="759"/>
      <c r="I432" s="4" t="s">
        <v>4608</v>
      </c>
      <c r="J432" s="1"/>
    </row>
    <row r="433" spans="1:17" x14ac:dyDescent="0.15">
      <c r="A433" s="1">
        <v>215</v>
      </c>
      <c r="B433" s="664" t="s">
        <v>1502</v>
      </c>
      <c r="C433" s="4" t="s">
        <v>4301</v>
      </c>
      <c r="D433" s="4" t="s">
        <v>3227</v>
      </c>
      <c r="E433" s="665" t="s">
        <v>4297</v>
      </c>
      <c r="F433" s="704">
        <v>92</v>
      </c>
      <c r="G433" s="1">
        <v>1</v>
      </c>
      <c r="H433" s="759"/>
      <c r="I433" s="4" t="s">
        <v>4585</v>
      </c>
      <c r="J433" s="1"/>
    </row>
    <row r="434" spans="1:17" x14ac:dyDescent="0.15">
      <c r="A434" s="1">
        <v>257</v>
      </c>
      <c r="B434" s="664" t="s">
        <v>3410</v>
      </c>
      <c r="C434" s="4" t="s">
        <v>4301</v>
      </c>
      <c r="D434" s="4" t="s">
        <v>3227</v>
      </c>
      <c r="E434" s="665" t="s">
        <v>4297</v>
      </c>
      <c r="F434" s="1">
        <v>5</v>
      </c>
      <c r="G434" s="1">
        <v>1</v>
      </c>
      <c r="H434" s="4" t="s">
        <v>4304</v>
      </c>
      <c r="I434" s="1"/>
      <c r="J434" s="759"/>
    </row>
    <row r="435" spans="1:17" x14ac:dyDescent="0.15">
      <c r="A435" s="1">
        <v>270</v>
      </c>
      <c r="B435" s="664" t="s">
        <v>3401</v>
      </c>
      <c r="C435" s="4" t="s">
        <v>4301</v>
      </c>
      <c r="D435" s="4" t="s">
        <v>3227</v>
      </c>
      <c r="E435" s="665" t="s">
        <v>4297</v>
      </c>
      <c r="F435" s="1">
        <v>10</v>
      </c>
      <c r="G435" s="1">
        <v>2</v>
      </c>
      <c r="H435" s="4" t="s">
        <v>4334</v>
      </c>
      <c r="I435" s="1"/>
      <c r="J435" s="1"/>
    </row>
    <row r="436" spans="1:17" x14ac:dyDescent="0.15">
      <c r="A436" s="662" t="s">
        <v>4664</v>
      </c>
      <c r="B436" s="664" t="s">
        <v>1468</v>
      </c>
      <c r="C436" s="4" t="s">
        <v>4301</v>
      </c>
      <c r="D436" s="4" t="s">
        <v>3227</v>
      </c>
      <c r="E436" s="665" t="s">
        <v>4297</v>
      </c>
      <c r="F436" s="759">
        <v>50</v>
      </c>
      <c r="G436" s="1">
        <v>3</v>
      </c>
      <c r="H436" s="4" t="s">
        <v>4304</v>
      </c>
      <c r="I436" s="759"/>
      <c r="J436" s="1"/>
      <c r="K436" s="754" t="s">
        <v>6455</v>
      </c>
      <c r="L436" s="755" t="s">
        <v>6456</v>
      </c>
      <c r="M436" s="755"/>
      <c r="N436" s="755" t="s">
        <v>6443</v>
      </c>
      <c r="O436" s="97">
        <v>50</v>
      </c>
    </row>
    <row r="437" spans="1:17" x14ac:dyDescent="0.15">
      <c r="A437" s="662" t="s">
        <v>4665</v>
      </c>
      <c r="B437" s="664" t="s">
        <v>3420</v>
      </c>
      <c r="C437" s="4" t="s">
        <v>4301</v>
      </c>
      <c r="D437" s="4" t="s">
        <v>3227</v>
      </c>
      <c r="E437" s="665" t="s">
        <v>4297</v>
      </c>
      <c r="F437" s="1">
        <v>10</v>
      </c>
      <c r="G437" s="1">
        <v>1</v>
      </c>
      <c r="H437" s="4" t="s">
        <v>4304</v>
      </c>
      <c r="I437" s="1"/>
      <c r="J437" s="1"/>
    </row>
    <row r="438" spans="1:17" x14ac:dyDescent="0.15">
      <c r="A438" s="1">
        <v>25</v>
      </c>
      <c r="B438" s="664" t="s">
        <v>3460</v>
      </c>
      <c r="C438" s="4" t="s">
        <v>4351</v>
      </c>
      <c r="D438" s="4" t="s">
        <v>4303</v>
      </c>
      <c r="E438" s="665" t="s">
        <v>4297</v>
      </c>
      <c r="F438" s="1">
        <v>10</v>
      </c>
      <c r="G438" s="1">
        <v>1</v>
      </c>
      <c r="H438" s="4" t="s">
        <v>4304</v>
      </c>
      <c r="I438" s="759"/>
      <c r="J438" s="759"/>
    </row>
    <row r="439" spans="1:17" x14ac:dyDescent="0.15">
      <c r="A439" s="1">
        <v>33</v>
      </c>
      <c r="B439" s="664" t="s">
        <v>2587</v>
      </c>
      <c r="C439" s="4" t="s">
        <v>4351</v>
      </c>
      <c r="D439" s="4" t="s">
        <v>4303</v>
      </c>
      <c r="E439" s="665" t="s">
        <v>4297</v>
      </c>
      <c r="F439" s="1">
        <v>20</v>
      </c>
      <c r="G439" s="1">
        <v>0</v>
      </c>
      <c r="H439" s="4" t="s">
        <v>4298</v>
      </c>
      <c r="I439" s="1"/>
      <c r="J439" s="1"/>
    </row>
    <row r="440" spans="1:17" x14ac:dyDescent="0.15">
      <c r="A440" s="1">
        <v>34</v>
      </c>
      <c r="B440" s="664" t="s">
        <v>2619</v>
      </c>
      <c r="C440" s="4" t="s">
        <v>4351</v>
      </c>
      <c r="D440" s="4" t="s">
        <v>4303</v>
      </c>
      <c r="E440" s="665" t="s">
        <v>4297</v>
      </c>
      <c r="F440" s="1">
        <v>10</v>
      </c>
      <c r="G440" s="1">
        <v>1</v>
      </c>
      <c r="H440" s="4" t="s">
        <v>4304</v>
      </c>
      <c r="I440" s="1"/>
      <c r="J440" s="1"/>
    </row>
    <row r="441" spans="1:17" x14ac:dyDescent="0.15">
      <c r="A441" s="1">
        <v>36</v>
      </c>
      <c r="B441" s="664" t="s">
        <v>2562</v>
      </c>
      <c r="C441" s="4" t="s">
        <v>4351</v>
      </c>
      <c r="D441" s="4" t="s">
        <v>4303</v>
      </c>
      <c r="E441" s="665" t="s">
        <v>4297</v>
      </c>
      <c r="F441" s="1">
        <v>10</v>
      </c>
      <c r="G441" s="1">
        <v>1</v>
      </c>
      <c r="H441" s="4" t="s">
        <v>4304</v>
      </c>
      <c r="I441" s="4" t="s">
        <v>4363</v>
      </c>
      <c r="J441" s="1"/>
      <c r="K441" s="754" t="s">
        <v>6479</v>
      </c>
      <c r="L441" s="755" t="s">
        <v>6480</v>
      </c>
      <c r="N441" s="755" t="s">
        <v>6483</v>
      </c>
      <c r="O441" s="97">
        <v>10</v>
      </c>
      <c r="P441" s="754" t="s">
        <v>6484</v>
      </c>
      <c r="Q441" s="753" t="s">
        <v>6485</v>
      </c>
    </row>
    <row r="442" spans="1:17" x14ac:dyDescent="0.15">
      <c r="A442" s="1">
        <v>38</v>
      </c>
      <c r="B442" s="664" t="s">
        <v>2664</v>
      </c>
      <c r="C442" s="4" t="s">
        <v>4351</v>
      </c>
      <c r="D442" s="4" t="s">
        <v>4303</v>
      </c>
      <c r="E442" s="665" t="s">
        <v>4297</v>
      </c>
      <c r="F442" s="1">
        <v>20</v>
      </c>
      <c r="G442" s="1">
        <v>1</v>
      </c>
      <c r="H442" s="4" t="s">
        <v>4304</v>
      </c>
      <c r="I442" s="759"/>
      <c r="J442" s="1"/>
    </row>
    <row r="443" spans="1:17" x14ac:dyDescent="0.15">
      <c r="A443" s="1">
        <v>45</v>
      </c>
      <c r="B443" s="664" t="s">
        <v>2543</v>
      </c>
      <c r="C443" s="4" t="s">
        <v>4351</v>
      </c>
      <c r="D443" s="4" t="s">
        <v>4303</v>
      </c>
      <c r="E443" s="665" t="s">
        <v>4297</v>
      </c>
      <c r="F443" s="1">
        <v>10</v>
      </c>
      <c r="G443" s="1">
        <v>0</v>
      </c>
      <c r="H443" s="4" t="s">
        <v>4298</v>
      </c>
      <c r="I443" s="1"/>
      <c r="J443" s="1"/>
    </row>
    <row r="444" spans="1:17" x14ac:dyDescent="0.15">
      <c r="A444" s="1">
        <v>47</v>
      </c>
      <c r="B444" s="664" t="s">
        <v>3578</v>
      </c>
      <c r="C444" s="4" t="s">
        <v>4351</v>
      </c>
      <c r="D444" s="4" t="s">
        <v>4303</v>
      </c>
      <c r="E444" s="665" t="s">
        <v>4297</v>
      </c>
      <c r="F444" s="1">
        <v>10</v>
      </c>
      <c r="G444" s="1">
        <v>1</v>
      </c>
      <c r="H444" s="4" t="s">
        <v>4304</v>
      </c>
      <c r="I444" s="1"/>
      <c r="J444" s="1"/>
    </row>
    <row r="445" spans="1:17" x14ac:dyDescent="0.15">
      <c r="A445" s="1">
        <v>48</v>
      </c>
      <c r="B445" s="664" t="s">
        <v>3580</v>
      </c>
      <c r="C445" s="4" t="s">
        <v>4351</v>
      </c>
      <c r="D445" s="4" t="s">
        <v>4303</v>
      </c>
      <c r="E445" s="665" t="s">
        <v>4297</v>
      </c>
      <c r="F445" s="1">
        <v>10</v>
      </c>
      <c r="G445" s="1">
        <v>1</v>
      </c>
      <c r="H445" s="4" t="s">
        <v>4304</v>
      </c>
      <c r="I445" s="1"/>
      <c r="J445" s="1"/>
    </row>
    <row r="446" spans="1:17" x14ac:dyDescent="0.15">
      <c r="A446" s="1">
        <v>79</v>
      </c>
      <c r="B446" s="664" t="s">
        <v>2593</v>
      </c>
      <c r="C446" s="4" t="s">
        <v>4351</v>
      </c>
      <c r="D446" s="4" t="s">
        <v>4303</v>
      </c>
      <c r="E446" s="665" t="s">
        <v>4297</v>
      </c>
      <c r="F446" s="1">
        <v>10</v>
      </c>
      <c r="G446" s="1">
        <v>1</v>
      </c>
      <c r="H446" s="4" t="s">
        <v>4304</v>
      </c>
      <c r="I446" s="1"/>
      <c r="J446" s="1"/>
    </row>
    <row r="447" spans="1:17" x14ac:dyDescent="0.15">
      <c r="A447" s="1">
        <v>82</v>
      </c>
      <c r="B447" s="664" t="s">
        <v>3542</v>
      </c>
      <c r="C447" s="4" t="s">
        <v>4351</v>
      </c>
      <c r="D447" s="4" t="s">
        <v>4303</v>
      </c>
      <c r="E447" s="665" t="s">
        <v>4297</v>
      </c>
      <c r="F447" s="1">
        <v>20</v>
      </c>
      <c r="G447" s="1">
        <v>0</v>
      </c>
      <c r="H447" s="4" t="s">
        <v>4298</v>
      </c>
      <c r="I447" s="1"/>
      <c r="J447" s="4" t="s">
        <v>4406</v>
      </c>
    </row>
    <row r="448" spans="1:17" x14ac:dyDescent="0.15">
      <c r="A448" s="1">
        <v>92</v>
      </c>
      <c r="B448" s="664" t="s">
        <v>3382</v>
      </c>
      <c r="C448" s="4" t="s">
        <v>4351</v>
      </c>
      <c r="D448" s="4" t="s">
        <v>4303</v>
      </c>
      <c r="E448" s="665" t="s">
        <v>4297</v>
      </c>
      <c r="F448" s="1">
        <v>10</v>
      </c>
      <c r="G448" s="1">
        <v>1</v>
      </c>
      <c r="H448" s="4" t="s">
        <v>4304</v>
      </c>
      <c r="I448" s="1"/>
      <c r="J448" s="1"/>
    </row>
    <row r="449" spans="1:15" x14ac:dyDescent="0.15">
      <c r="A449" s="1">
        <v>102</v>
      </c>
      <c r="B449" s="664" t="s">
        <v>3353</v>
      </c>
      <c r="C449" s="4" t="s">
        <v>4351</v>
      </c>
      <c r="D449" s="4" t="s">
        <v>4323</v>
      </c>
      <c r="E449" s="665" t="s">
        <v>4297</v>
      </c>
      <c r="F449" s="1">
        <v>20</v>
      </c>
      <c r="G449" s="1">
        <v>2</v>
      </c>
      <c r="H449" s="4" t="s">
        <v>4334</v>
      </c>
      <c r="I449" s="1"/>
      <c r="J449" s="1"/>
    </row>
    <row r="450" spans="1:15" x14ac:dyDescent="0.15">
      <c r="A450" s="1">
        <v>117</v>
      </c>
      <c r="B450" s="664" t="s">
        <v>2494</v>
      </c>
      <c r="C450" s="4" t="s">
        <v>4351</v>
      </c>
      <c r="D450" s="4" t="s">
        <v>4303</v>
      </c>
      <c r="E450" s="665" t="s">
        <v>4297</v>
      </c>
      <c r="F450" s="1">
        <v>10</v>
      </c>
      <c r="G450" s="1">
        <v>0</v>
      </c>
      <c r="H450" s="4" t="s">
        <v>4298</v>
      </c>
      <c r="I450" s="4" t="s">
        <v>4464</v>
      </c>
      <c r="J450" s="1"/>
    </row>
    <row r="451" spans="1:15" x14ac:dyDescent="0.15">
      <c r="A451" s="1">
        <v>127</v>
      </c>
      <c r="B451" s="664" t="s">
        <v>2905</v>
      </c>
      <c r="C451" s="4" t="s">
        <v>4351</v>
      </c>
      <c r="D451" s="4" t="s">
        <v>4427</v>
      </c>
      <c r="E451" s="665" t="s">
        <v>4297</v>
      </c>
      <c r="F451" s="1">
        <v>10</v>
      </c>
      <c r="G451" s="1">
        <v>1</v>
      </c>
      <c r="H451" s="4" t="s">
        <v>4348</v>
      </c>
      <c r="I451" s="1"/>
      <c r="J451" s="759"/>
    </row>
    <row r="452" spans="1:15" x14ac:dyDescent="0.15">
      <c r="A452" s="1">
        <v>138</v>
      </c>
      <c r="B452" s="664" t="s">
        <v>1923</v>
      </c>
      <c r="C452" s="4" t="s">
        <v>4351</v>
      </c>
      <c r="D452" s="4" t="s">
        <v>4303</v>
      </c>
      <c r="E452" s="665" t="s">
        <v>4297</v>
      </c>
      <c r="F452" s="1">
        <v>10</v>
      </c>
      <c r="G452" s="1">
        <v>0</v>
      </c>
      <c r="H452" s="4" t="s">
        <v>4298</v>
      </c>
      <c r="I452" s="4" t="s">
        <v>4075</v>
      </c>
      <c r="J452" s="1"/>
    </row>
    <row r="453" spans="1:15" x14ac:dyDescent="0.15">
      <c r="A453" s="1">
        <v>148</v>
      </c>
      <c r="B453" s="664" t="s">
        <v>3296</v>
      </c>
      <c r="C453" s="4" t="s">
        <v>4351</v>
      </c>
      <c r="D453" s="4" t="s">
        <v>4303</v>
      </c>
      <c r="E453" s="665" t="s">
        <v>4297</v>
      </c>
      <c r="F453" s="1">
        <v>10</v>
      </c>
      <c r="G453" s="1">
        <v>1</v>
      </c>
      <c r="H453" s="4" t="s">
        <v>4304</v>
      </c>
      <c r="I453" s="1"/>
      <c r="K453" s="754" t="s">
        <v>6491</v>
      </c>
      <c r="L453" s="4" t="s">
        <v>6438</v>
      </c>
      <c r="M453" s="97">
        <v>10</v>
      </c>
      <c r="N453" s="755" t="s">
        <v>6492</v>
      </c>
    </row>
    <row r="454" spans="1:15" x14ac:dyDescent="0.15">
      <c r="A454" s="1">
        <v>205</v>
      </c>
      <c r="B454" s="664" t="s">
        <v>2871</v>
      </c>
      <c r="C454" s="4" t="s">
        <v>4351</v>
      </c>
      <c r="D454" s="4" t="s">
        <v>4323</v>
      </c>
      <c r="E454" s="665" t="s">
        <v>4297</v>
      </c>
      <c r="F454" s="704">
        <v>20</v>
      </c>
      <c r="G454" s="1">
        <v>0</v>
      </c>
      <c r="H454" s="4" t="s">
        <v>4298</v>
      </c>
      <c r="I454" s="4" t="s">
        <v>4585</v>
      </c>
      <c r="J454" s="1"/>
    </row>
    <row r="455" spans="1:15" x14ac:dyDescent="0.15">
      <c r="A455" s="1">
        <v>207</v>
      </c>
      <c r="B455" s="664" t="s">
        <v>3266</v>
      </c>
      <c r="C455" s="4" t="s">
        <v>4351</v>
      </c>
      <c r="D455" s="4" t="s">
        <v>4427</v>
      </c>
      <c r="E455" s="665" t="s">
        <v>4297</v>
      </c>
      <c r="F455" s="704">
        <v>10</v>
      </c>
      <c r="G455" s="1">
        <v>0</v>
      </c>
      <c r="H455" s="4" t="s">
        <v>4298</v>
      </c>
      <c r="I455" s="4" t="s">
        <v>4585</v>
      </c>
      <c r="J455" s="1"/>
    </row>
    <row r="456" spans="1:15" x14ac:dyDescent="0.15">
      <c r="A456" s="1">
        <v>208</v>
      </c>
      <c r="B456" s="664" t="s">
        <v>1302</v>
      </c>
      <c r="C456" s="4" t="s">
        <v>4351</v>
      </c>
      <c r="D456" s="4" t="s">
        <v>4602</v>
      </c>
      <c r="E456" s="665" t="s">
        <v>4297</v>
      </c>
      <c r="F456" s="704">
        <v>20</v>
      </c>
      <c r="G456" s="1">
        <v>0</v>
      </c>
      <c r="H456" s="4" t="s">
        <v>4298</v>
      </c>
      <c r="I456" s="4" t="s">
        <v>4585</v>
      </c>
      <c r="J456" s="1"/>
    </row>
    <row r="457" spans="1:15" x14ac:dyDescent="0.15">
      <c r="A457" s="1">
        <v>245</v>
      </c>
      <c r="B457" s="664" t="s">
        <v>667</v>
      </c>
      <c r="C457" s="4" t="s">
        <v>4351</v>
      </c>
      <c r="D457" s="4" t="s">
        <v>4303</v>
      </c>
      <c r="E457" s="665" t="s">
        <v>4297</v>
      </c>
      <c r="F457" s="1">
        <v>10</v>
      </c>
      <c r="G457" s="1">
        <v>1</v>
      </c>
      <c r="H457" s="4" t="s">
        <v>4304</v>
      </c>
      <c r="I457" s="1"/>
      <c r="J457" s="1"/>
      <c r="K457" s="754" t="s">
        <v>6439</v>
      </c>
      <c r="L457" s="755" t="s">
        <v>6440</v>
      </c>
      <c r="M457" s="755"/>
      <c r="N457" s="755" t="s">
        <v>6436</v>
      </c>
      <c r="O457" s="97">
        <v>10</v>
      </c>
    </row>
    <row r="458" spans="1:15" x14ac:dyDescent="0.15">
      <c r="A458" s="1">
        <v>5</v>
      </c>
      <c r="B458" s="664" t="s">
        <v>2112</v>
      </c>
      <c r="C458" s="4" t="s">
        <v>4312</v>
      </c>
      <c r="D458" s="4" t="s">
        <v>4303</v>
      </c>
      <c r="E458" s="665" t="s">
        <v>4297</v>
      </c>
      <c r="F458" s="1">
        <v>10</v>
      </c>
      <c r="G458" s="1">
        <v>0</v>
      </c>
      <c r="H458" s="4" t="s">
        <v>4298</v>
      </c>
      <c r="I458" s="4" t="s">
        <v>651</v>
      </c>
      <c r="J458" s="1"/>
    </row>
    <row r="459" spans="1:15" x14ac:dyDescent="0.15">
      <c r="A459" s="1">
        <v>8</v>
      </c>
      <c r="B459" s="664" t="s">
        <v>2364</v>
      </c>
      <c r="C459" s="4" t="s">
        <v>4312</v>
      </c>
      <c r="D459" s="4" t="s">
        <v>4303</v>
      </c>
      <c r="E459" s="665" t="s">
        <v>4297</v>
      </c>
      <c r="F459" s="1">
        <v>10</v>
      </c>
      <c r="G459" s="1">
        <v>0</v>
      </c>
      <c r="H459" s="4" t="s">
        <v>4298</v>
      </c>
      <c r="I459" s="1"/>
      <c r="J459" s="1"/>
    </row>
    <row r="460" spans="1:15" x14ac:dyDescent="0.15">
      <c r="A460" s="1">
        <v>9</v>
      </c>
      <c r="B460" s="664" t="s">
        <v>4322</v>
      </c>
      <c r="C460" s="4" t="s">
        <v>4312</v>
      </c>
      <c r="D460" s="4" t="s">
        <v>4323</v>
      </c>
      <c r="E460" s="665" t="s">
        <v>4297</v>
      </c>
      <c r="F460" s="1">
        <v>10</v>
      </c>
      <c r="G460" s="1">
        <v>0</v>
      </c>
      <c r="H460" s="4" t="s">
        <v>4298</v>
      </c>
      <c r="I460" s="1"/>
      <c r="J460" s="4" t="s">
        <v>4324</v>
      </c>
    </row>
    <row r="461" spans="1:15" x14ac:dyDescent="0.15">
      <c r="A461" s="1">
        <v>10</v>
      </c>
      <c r="B461" s="664" t="s">
        <v>2393</v>
      </c>
      <c r="C461" s="4" t="s">
        <v>4312</v>
      </c>
      <c r="D461" s="4" t="s">
        <v>4303</v>
      </c>
      <c r="E461" s="665" t="s">
        <v>4297</v>
      </c>
      <c r="F461" s="1">
        <v>10</v>
      </c>
      <c r="G461" s="1">
        <v>0</v>
      </c>
      <c r="H461" s="4" t="s">
        <v>4298</v>
      </c>
      <c r="I461" s="1"/>
      <c r="J461" s="1"/>
    </row>
    <row r="462" spans="1:15" x14ac:dyDescent="0.15">
      <c r="A462" s="1">
        <v>13</v>
      </c>
      <c r="B462" s="664" t="s">
        <v>2893</v>
      </c>
      <c r="C462" s="4" t="s">
        <v>4312</v>
      </c>
      <c r="D462" s="759" t="s">
        <v>4333</v>
      </c>
      <c r="E462" s="665" t="s">
        <v>4297</v>
      </c>
      <c r="F462" s="1">
        <v>20</v>
      </c>
      <c r="G462" s="1">
        <v>2</v>
      </c>
      <c r="H462" s="4" t="s">
        <v>4334</v>
      </c>
      <c r="I462" s="1"/>
      <c r="J462" s="1"/>
    </row>
    <row r="463" spans="1:15" x14ac:dyDescent="0.15">
      <c r="A463" s="1">
        <v>24</v>
      </c>
      <c r="B463" s="664" t="s">
        <v>3365</v>
      </c>
      <c r="C463" s="4" t="s">
        <v>4312</v>
      </c>
      <c r="D463" s="4" t="s">
        <v>4323</v>
      </c>
      <c r="E463" s="665" t="s">
        <v>4297</v>
      </c>
      <c r="F463" s="1">
        <v>10</v>
      </c>
      <c r="G463" s="1">
        <v>1</v>
      </c>
      <c r="H463" s="4" t="s">
        <v>4348</v>
      </c>
      <c r="I463" s="1"/>
      <c r="J463" s="1"/>
    </row>
    <row r="464" spans="1:15" x14ac:dyDescent="0.15">
      <c r="A464" s="1">
        <v>29</v>
      </c>
      <c r="B464" s="664" t="s">
        <v>2065</v>
      </c>
      <c r="C464" s="4" t="s">
        <v>4312</v>
      </c>
      <c r="D464" s="4" t="s">
        <v>4303</v>
      </c>
      <c r="E464" s="665" t="s">
        <v>4297</v>
      </c>
      <c r="F464" s="1">
        <v>30</v>
      </c>
      <c r="G464" s="1">
        <v>1</v>
      </c>
      <c r="H464" s="4" t="s">
        <v>4304</v>
      </c>
      <c r="I464" s="1"/>
      <c r="J464" s="1"/>
    </row>
    <row r="465" spans="1:10" x14ac:dyDescent="0.15">
      <c r="A465" s="1">
        <v>55</v>
      </c>
      <c r="B465" s="664" t="s">
        <v>2976</v>
      </c>
      <c r="C465" s="4" t="s">
        <v>4312</v>
      </c>
      <c r="D465" s="4" t="s">
        <v>4303</v>
      </c>
      <c r="E465" s="665" t="s">
        <v>4297</v>
      </c>
      <c r="F465" s="1">
        <v>30</v>
      </c>
      <c r="G465" s="1">
        <v>0</v>
      </c>
      <c r="H465" s="4" t="s">
        <v>4298</v>
      </c>
      <c r="I465" s="1"/>
      <c r="J465" s="1"/>
    </row>
    <row r="466" spans="1:10" x14ac:dyDescent="0.15">
      <c r="A466" s="1">
        <v>56</v>
      </c>
      <c r="B466" s="664" t="s">
        <v>2253</v>
      </c>
      <c r="C466" s="4" t="s">
        <v>4312</v>
      </c>
      <c r="D466" s="4" t="s">
        <v>4303</v>
      </c>
      <c r="E466" s="665" t="s">
        <v>4297</v>
      </c>
      <c r="F466" s="704">
        <v>20</v>
      </c>
      <c r="G466" s="1">
        <v>0</v>
      </c>
      <c r="H466" s="4" t="s">
        <v>4298</v>
      </c>
      <c r="I466" s="4" t="s">
        <v>4386</v>
      </c>
      <c r="J466" s="1"/>
    </row>
    <row r="467" spans="1:10" x14ac:dyDescent="0.15">
      <c r="A467" s="1">
        <v>57</v>
      </c>
      <c r="B467" s="664" t="s">
        <v>2189</v>
      </c>
      <c r="C467" s="4" t="s">
        <v>4312</v>
      </c>
      <c r="D467" s="4" t="s">
        <v>4303</v>
      </c>
      <c r="E467" s="665" t="s">
        <v>4297</v>
      </c>
      <c r="F467" s="1">
        <v>20</v>
      </c>
      <c r="G467" s="1">
        <v>0</v>
      </c>
      <c r="H467" s="4" t="s">
        <v>4298</v>
      </c>
      <c r="I467" s="1"/>
      <c r="J467" s="1"/>
    </row>
    <row r="468" spans="1:10" x14ac:dyDescent="0.15">
      <c r="A468" s="1">
        <v>57</v>
      </c>
      <c r="B468" s="664" t="s">
        <v>2825</v>
      </c>
      <c r="C468" s="4" t="s">
        <v>4312</v>
      </c>
      <c r="D468" s="4" t="s">
        <v>4323</v>
      </c>
      <c r="E468" s="665" t="s">
        <v>4297</v>
      </c>
      <c r="F468" s="1">
        <v>20</v>
      </c>
      <c r="G468" s="1">
        <v>1</v>
      </c>
      <c r="H468" s="4" t="s">
        <v>4348</v>
      </c>
      <c r="I468" s="1"/>
      <c r="J468" s="1"/>
    </row>
    <row r="469" spans="1:10" x14ac:dyDescent="0.15">
      <c r="A469" s="1">
        <v>58</v>
      </c>
      <c r="B469" s="664" t="s">
        <v>2263</v>
      </c>
      <c r="C469" s="4" t="s">
        <v>4312</v>
      </c>
      <c r="D469" s="4" t="s">
        <v>4303</v>
      </c>
      <c r="E469" s="665" t="s">
        <v>4297</v>
      </c>
      <c r="F469" s="1">
        <v>10</v>
      </c>
      <c r="G469" s="1">
        <v>0</v>
      </c>
      <c r="H469" s="4" t="s">
        <v>4298</v>
      </c>
      <c r="I469" s="1"/>
      <c r="J469" s="1"/>
    </row>
    <row r="470" spans="1:10" x14ac:dyDescent="0.15">
      <c r="A470" s="1">
        <v>59</v>
      </c>
      <c r="B470" s="664" t="s">
        <v>2221</v>
      </c>
      <c r="C470" s="4" t="s">
        <v>4312</v>
      </c>
      <c r="D470" s="4" t="s">
        <v>4303</v>
      </c>
      <c r="E470" s="665" t="s">
        <v>4297</v>
      </c>
      <c r="F470" s="1">
        <v>10</v>
      </c>
      <c r="G470" s="1">
        <v>0</v>
      </c>
      <c r="H470" s="4" t="s">
        <v>4298</v>
      </c>
      <c r="I470" s="1"/>
      <c r="J470" s="1"/>
    </row>
    <row r="471" spans="1:10" x14ac:dyDescent="0.15">
      <c r="A471" s="1">
        <v>60</v>
      </c>
      <c r="B471" s="664" t="s">
        <v>4390</v>
      </c>
      <c r="C471" s="4" t="s">
        <v>4312</v>
      </c>
      <c r="D471" s="4" t="s">
        <v>4303</v>
      </c>
      <c r="E471" s="665" t="s">
        <v>4297</v>
      </c>
      <c r="F471" s="1">
        <v>10</v>
      </c>
      <c r="G471" s="1">
        <v>0</v>
      </c>
      <c r="H471" s="4" t="s">
        <v>4298</v>
      </c>
      <c r="I471" s="1"/>
      <c r="J471" s="1"/>
    </row>
    <row r="472" spans="1:10" x14ac:dyDescent="0.15">
      <c r="A472" s="1">
        <v>61</v>
      </c>
      <c r="B472" s="664" t="s">
        <v>2163</v>
      </c>
      <c r="C472" s="4" t="s">
        <v>4312</v>
      </c>
      <c r="D472" s="4" t="s">
        <v>4303</v>
      </c>
      <c r="E472" s="665" t="s">
        <v>4297</v>
      </c>
      <c r="F472" s="1">
        <v>10</v>
      </c>
      <c r="G472" s="1">
        <v>0</v>
      </c>
      <c r="H472" s="4" t="s">
        <v>4298</v>
      </c>
      <c r="I472" s="1"/>
      <c r="J472" s="1"/>
    </row>
    <row r="473" spans="1:10" x14ac:dyDescent="0.15">
      <c r="A473" s="1">
        <v>62</v>
      </c>
      <c r="B473" s="664" t="s">
        <v>2093</v>
      </c>
      <c r="C473" s="4" t="s">
        <v>4312</v>
      </c>
      <c r="D473" s="4" t="s">
        <v>4303</v>
      </c>
      <c r="E473" s="665" t="s">
        <v>4297</v>
      </c>
      <c r="F473" s="1">
        <v>20</v>
      </c>
      <c r="G473" s="1">
        <v>0</v>
      </c>
      <c r="H473" s="4" t="s">
        <v>4298</v>
      </c>
      <c r="I473" s="1"/>
      <c r="J473" s="1"/>
    </row>
    <row r="474" spans="1:10" x14ac:dyDescent="0.15">
      <c r="A474" s="1">
        <v>63</v>
      </c>
      <c r="B474" s="664" t="s">
        <v>3386</v>
      </c>
      <c r="C474" s="4" t="s">
        <v>4312</v>
      </c>
      <c r="D474" s="4" t="s">
        <v>4303</v>
      </c>
      <c r="E474" s="665" t="s">
        <v>4297</v>
      </c>
      <c r="F474" s="1">
        <v>10</v>
      </c>
      <c r="G474" s="1">
        <v>0</v>
      </c>
      <c r="H474" s="4" t="s">
        <v>4298</v>
      </c>
      <c r="I474" s="1"/>
      <c r="J474" s="1"/>
    </row>
    <row r="475" spans="1:10" x14ac:dyDescent="0.15">
      <c r="A475" s="1">
        <v>64</v>
      </c>
      <c r="B475" s="664" t="s">
        <v>2107</v>
      </c>
      <c r="C475" s="4" t="s">
        <v>4312</v>
      </c>
      <c r="D475" s="4" t="s">
        <v>4303</v>
      </c>
      <c r="E475" s="665" t="s">
        <v>4297</v>
      </c>
      <c r="F475" s="1">
        <v>20</v>
      </c>
      <c r="G475" s="1">
        <v>0</v>
      </c>
      <c r="H475" s="4" t="s">
        <v>4298</v>
      </c>
      <c r="I475" s="1"/>
      <c r="J475" s="1"/>
    </row>
    <row r="476" spans="1:10" x14ac:dyDescent="0.15">
      <c r="A476" s="1">
        <v>65</v>
      </c>
      <c r="B476" s="664" t="s">
        <v>2063</v>
      </c>
      <c r="C476" s="4" t="s">
        <v>4312</v>
      </c>
      <c r="D476" s="4" t="s">
        <v>4303</v>
      </c>
      <c r="E476" s="665" t="s">
        <v>4297</v>
      </c>
      <c r="F476" s="1">
        <v>10</v>
      </c>
      <c r="G476" s="1">
        <v>0</v>
      </c>
      <c r="H476" s="4" t="s">
        <v>4298</v>
      </c>
      <c r="I476" s="1"/>
      <c r="J476" s="1"/>
    </row>
    <row r="477" spans="1:10" x14ac:dyDescent="0.15">
      <c r="A477" s="1">
        <v>66</v>
      </c>
      <c r="B477" s="664" t="s">
        <v>2043</v>
      </c>
      <c r="C477" s="4" t="s">
        <v>4312</v>
      </c>
      <c r="D477" s="4" t="s">
        <v>4303</v>
      </c>
      <c r="E477" s="665" t="s">
        <v>4297</v>
      </c>
      <c r="F477" s="1">
        <v>5</v>
      </c>
      <c r="G477" s="1">
        <v>0</v>
      </c>
      <c r="H477" s="4" t="s">
        <v>4298</v>
      </c>
      <c r="I477" s="1"/>
      <c r="J477" s="1"/>
    </row>
    <row r="478" spans="1:10" x14ac:dyDescent="0.15">
      <c r="A478" s="1">
        <v>67</v>
      </c>
      <c r="B478" s="664" t="s">
        <v>2152</v>
      </c>
      <c r="C478" s="4" t="s">
        <v>4312</v>
      </c>
      <c r="D478" s="4" t="s">
        <v>4303</v>
      </c>
      <c r="E478" s="665" t="s">
        <v>4297</v>
      </c>
      <c r="F478" s="1">
        <v>10</v>
      </c>
      <c r="G478" s="1">
        <v>0</v>
      </c>
      <c r="H478" s="4" t="s">
        <v>4298</v>
      </c>
      <c r="I478" s="1"/>
      <c r="J478" s="1"/>
    </row>
    <row r="479" spans="1:10" x14ac:dyDescent="0.15">
      <c r="A479" s="1">
        <v>68</v>
      </c>
      <c r="B479" s="664" t="s">
        <v>2488</v>
      </c>
      <c r="C479" s="4" t="s">
        <v>4312</v>
      </c>
      <c r="D479" s="4" t="s">
        <v>4303</v>
      </c>
      <c r="E479" s="665" t="s">
        <v>4297</v>
      </c>
      <c r="F479" s="1">
        <v>10</v>
      </c>
      <c r="G479" s="1">
        <v>0</v>
      </c>
      <c r="H479" s="4" t="s">
        <v>4298</v>
      </c>
      <c r="I479" s="1"/>
      <c r="J479" s="1"/>
    </row>
    <row r="480" spans="1:10" x14ac:dyDescent="0.15">
      <c r="A480" s="1">
        <v>69</v>
      </c>
      <c r="B480" s="664" t="s">
        <v>2149</v>
      </c>
      <c r="C480" s="4" t="s">
        <v>4312</v>
      </c>
      <c r="D480" s="4" t="s">
        <v>4303</v>
      </c>
      <c r="E480" s="665" t="s">
        <v>4297</v>
      </c>
      <c r="F480" s="1">
        <v>10</v>
      </c>
      <c r="G480" s="1">
        <v>0</v>
      </c>
      <c r="H480" s="4" t="s">
        <v>4298</v>
      </c>
      <c r="I480" s="1"/>
      <c r="J480" s="1"/>
    </row>
    <row r="481" spans="1:10" x14ac:dyDescent="0.15">
      <c r="A481" s="1">
        <v>70</v>
      </c>
      <c r="B481" s="664" t="s">
        <v>2344</v>
      </c>
      <c r="C481" s="4" t="s">
        <v>4312</v>
      </c>
      <c r="D481" s="4" t="s">
        <v>4303</v>
      </c>
      <c r="E481" s="665" t="s">
        <v>4297</v>
      </c>
      <c r="F481" s="1">
        <v>10</v>
      </c>
      <c r="G481" s="1">
        <v>0</v>
      </c>
      <c r="H481" s="4" t="s">
        <v>4298</v>
      </c>
      <c r="I481" s="1"/>
      <c r="J481" s="1"/>
    </row>
    <row r="482" spans="1:10" x14ac:dyDescent="0.15">
      <c r="A482" s="1">
        <v>71</v>
      </c>
      <c r="B482" s="664" t="s">
        <v>2414</v>
      </c>
      <c r="C482" s="4" t="s">
        <v>4312</v>
      </c>
      <c r="D482" s="4" t="s">
        <v>4303</v>
      </c>
      <c r="E482" s="665" t="s">
        <v>4297</v>
      </c>
      <c r="F482" s="1">
        <v>20</v>
      </c>
      <c r="G482" s="1">
        <v>0</v>
      </c>
      <c r="H482" s="4" t="s">
        <v>4298</v>
      </c>
      <c r="I482" s="1"/>
      <c r="J482" s="1"/>
    </row>
    <row r="483" spans="1:10" x14ac:dyDescent="0.15">
      <c r="A483" s="1">
        <v>72</v>
      </c>
      <c r="B483" s="664" t="s">
        <v>2342</v>
      </c>
      <c r="C483" s="4" t="s">
        <v>4312</v>
      </c>
      <c r="D483" s="4" t="s">
        <v>4303</v>
      </c>
      <c r="E483" s="665" t="s">
        <v>4297</v>
      </c>
      <c r="F483" s="1">
        <v>10</v>
      </c>
      <c r="G483" s="1">
        <v>0</v>
      </c>
      <c r="H483" s="4" t="s">
        <v>4298</v>
      </c>
      <c r="I483" s="1"/>
      <c r="J483" s="1"/>
    </row>
    <row r="484" spans="1:10" x14ac:dyDescent="0.15">
      <c r="A484" s="1">
        <v>97</v>
      </c>
      <c r="B484" s="664" t="s">
        <v>2146</v>
      </c>
      <c r="C484" s="4" t="s">
        <v>4312</v>
      </c>
      <c r="D484" s="4" t="s">
        <v>4303</v>
      </c>
      <c r="E484" s="665" t="s">
        <v>4297</v>
      </c>
      <c r="F484" s="1">
        <v>10</v>
      </c>
      <c r="G484" s="1">
        <v>0</v>
      </c>
      <c r="H484" s="4" t="s">
        <v>4298</v>
      </c>
      <c r="I484" s="1"/>
      <c r="J484" s="1"/>
    </row>
    <row r="485" spans="1:10" x14ac:dyDescent="0.15">
      <c r="A485" s="1">
        <v>110</v>
      </c>
      <c r="B485" s="664" t="s">
        <v>2023</v>
      </c>
      <c r="C485" s="4" t="s">
        <v>4312</v>
      </c>
      <c r="D485" s="4" t="s">
        <v>4303</v>
      </c>
      <c r="E485" s="665" t="s">
        <v>4297</v>
      </c>
      <c r="F485" s="1">
        <v>10</v>
      </c>
      <c r="G485" s="1">
        <v>1</v>
      </c>
      <c r="H485" s="4" t="s">
        <v>4304</v>
      </c>
      <c r="I485" s="1"/>
      <c r="J485" s="1"/>
    </row>
    <row r="486" spans="1:10" x14ac:dyDescent="0.15">
      <c r="A486" s="1">
        <v>146</v>
      </c>
      <c r="B486" s="664" t="s">
        <v>2351</v>
      </c>
      <c r="C486" s="4" t="s">
        <v>4312</v>
      </c>
      <c r="D486" s="4" t="s">
        <v>4303</v>
      </c>
      <c r="E486" s="665" t="s">
        <v>4297</v>
      </c>
      <c r="F486" s="1">
        <v>10</v>
      </c>
      <c r="G486" s="1">
        <v>0</v>
      </c>
      <c r="H486" s="759"/>
      <c r="I486" s="1"/>
      <c r="J486" s="1"/>
    </row>
    <row r="487" spans="1:10" x14ac:dyDescent="0.15">
      <c r="A487" s="1">
        <v>156</v>
      </c>
      <c r="B487" s="664" t="s">
        <v>2267</v>
      </c>
      <c r="C487" s="4" t="s">
        <v>4312</v>
      </c>
      <c r="D487" s="4" t="s">
        <v>4303</v>
      </c>
      <c r="E487" s="665" t="s">
        <v>4297</v>
      </c>
      <c r="F487" s="1">
        <v>10</v>
      </c>
      <c r="G487" s="1">
        <v>1</v>
      </c>
      <c r="H487" s="4" t="s">
        <v>4304</v>
      </c>
      <c r="I487" s="1"/>
      <c r="J487" s="1"/>
    </row>
    <row r="488" spans="1:10" x14ac:dyDescent="0.15">
      <c r="A488" s="1">
        <v>157</v>
      </c>
      <c r="B488" s="664" t="s">
        <v>2460</v>
      </c>
      <c r="C488" s="4" t="s">
        <v>4312</v>
      </c>
      <c r="D488" s="4" t="s">
        <v>4303</v>
      </c>
      <c r="E488" s="665" t="s">
        <v>4297</v>
      </c>
      <c r="F488" s="1">
        <v>10</v>
      </c>
      <c r="G488" s="1">
        <v>0</v>
      </c>
      <c r="H488" s="1"/>
      <c r="I488" s="1"/>
      <c r="J488" s="1"/>
    </row>
    <row r="489" spans="1:10" x14ac:dyDescent="0.15">
      <c r="A489" s="1">
        <v>158</v>
      </c>
      <c r="B489" s="664" t="s">
        <v>2347</v>
      </c>
      <c r="C489" s="4" t="s">
        <v>4312</v>
      </c>
      <c r="D489" s="4" t="s">
        <v>4303</v>
      </c>
      <c r="E489" s="665" t="s">
        <v>4297</v>
      </c>
      <c r="F489" s="1">
        <v>10</v>
      </c>
      <c r="G489" s="1">
        <v>0</v>
      </c>
      <c r="H489" s="1"/>
      <c r="I489" s="1"/>
      <c r="J489" s="1"/>
    </row>
    <row r="490" spans="1:10" x14ac:dyDescent="0.15">
      <c r="A490" s="1">
        <v>159</v>
      </c>
      <c r="B490" s="664" t="s">
        <v>2298</v>
      </c>
      <c r="C490" s="4" t="s">
        <v>4312</v>
      </c>
      <c r="D490" s="4" t="s">
        <v>4303</v>
      </c>
      <c r="E490" s="665" t="s">
        <v>4297</v>
      </c>
      <c r="F490" s="1">
        <v>20</v>
      </c>
      <c r="G490" s="1">
        <v>0</v>
      </c>
      <c r="H490" s="759"/>
      <c r="I490" s="1"/>
      <c r="J490" s="1"/>
    </row>
    <row r="491" spans="1:10" x14ac:dyDescent="0.15">
      <c r="A491" s="1">
        <v>161</v>
      </c>
      <c r="B491" s="664" t="s">
        <v>2472</v>
      </c>
      <c r="C491" s="4" t="s">
        <v>4312</v>
      </c>
      <c r="D491" s="4" t="s">
        <v>4303</v>
      </c>
      <c r="E491" s="665" t="s">
        <v>4297</v>
      </c>
      <c r="F491" s="1">
        <v>10</v>
      </c>
      <c r="G491" s="1">
        <v>0</v>
      </c>
      <c r="H491" s="1"/>
      <c r="I491" s="1"/>
      <c r="J491" s="1"/>
    </row>
    <row r="492" spans="1:10" x14ac:dyDescent="0.15">
      <c r="A492" s="1">
        <v>165</v>
      </c>
      <c r="B492" s="664" t="s">
        <v>2144</v>
      </c>
      <c r="C492" s="4" t="s">
        <v>4312</v>
      </c>
      <c r="D492" s="4" t="s">
        <v>4303</v>
      </c>
      <c r="E492" s="665" t="s">
        <v>4297</v>
      </c>
      <c r="F492" s="1">
        <v>10</v>
      </c>
      <c r="G492" s="1">
        <v>0</v>
      </c>
      <c r="H492" s="1"/>
      <c r="I492" s="1"/>
      <c r="J492" s="1"/>
    </row>
    <row r="493" spans="1:10" x14ac:dyDescent="0.15">
      <c r="A493" s="1">
        <v>197</v>
      </c>
      <c r="B493" s="664" t="s">
        <v>2418</v>
      </c>
      <c r="C493" s="4" t="s">
        <v>4312</v>
      </c>
      <c r="D493" s="4" t="s">
        <v>4303</v>
      </c>
      <c r="E493" s="665" t="s">
        <v>4297</v>
      </c>
      <c r="F493" s="704">
        <v>10</v>
      </c>
      <c r="G493" s="1">
        <v>0</v>
      </c>
      <c r="H493" s="1"/>
      <c r="I493" s="4" t="s">
        <v>4585</v>
      </c>
      <c r="J493" s="1"/>
    </row>
    <row r="494" spans="1:10" x14ac:dyDescent="0.15">
      <c r="A494" s="1">
        <v>198</v>
      </c>
      <c r="B494" s="664" t="s">
        <v>2490</v>
      </c>
      <c r="C494" s="4" t="s">
        <v>4312</v>
      </c>
      <c r="D494" s="4" t="s">
        <v>4303</v>
      </c>
      <c r="E494" s="665" t="s">
        <v>4297</v>
      </c>
      <c r="F494" s="704">
        <v>10</v>
      </c>
      <c r="G494" s="1">
        <v>0</v>
      </c>
      <c r="H494" s="1"/>
      <c r="I494" s="4" t="s">
        <v>4585</v>
      </c>
      <c r="J494" s="1"/>
    </row>
    <row r="495" spans="1:10" x14ac:dyDescent="0.15">
      <c r="A495" s="1">
        <v>199</v>
      </c>
      <c r="B495" s="664" t="s">
        <v>2199</v>
      </c>
      <c r="C495" s="4" t="s">
        <v>4312</v>
      </c>
      <c r="D495" s="4" t="s">
        <v>4303</v>
      </c>
      <c r="E495" s="665" t="s">
        <v>4297</v>
      </c>
      <c r="F495" s="704">
        <v>10</v>
      </c>
      <c r="G495" s="1">
        <v>0</v>
      </c>
      <c r="H495" s="1"/>
      <c r="I495" s="4" t="s">
        <v>4585</v>
      </c>
      <c r="J495" s="1"/>
    </row>
    <row r="496" spans="1:10" x14ac:dyDescent="0.15">
      <c r="A496" s="1">
        <v>201</v>
      </c>
      <c r="B496" s="664" t="s">
        <v>2258</v>
      </c>
      <c r="C496" s="4" t="s">
        <v>4312</v>
      </c>
      <c r="D496" s="4" t="s">
        <v>4303</v>
      </c>
      <c r="E496" s="665" t="s">
        <v>4297</v>
      </c>
      <c r="F496" s="704">
        <v>20</v>
      </c>
      <c r="G496" s="1">
        <v>0</v>
      </c>
      <c r="H496" s="759"/>
      <c r="I496" s="4" t="s">
        <v>4585</v>
      </c>
      <c r="J496" s="1"/>
    </row>
    <row r="497" spans="1:10" x14ac:dyDescent="0.15">
      <c r="A497" s="1">
        <v>202</v>
      </c>
      <c r="B497" s="664" t="s">
        <v>4591</v>
      </c>
      <c r="C497" s="4" t="s">
        <v>4312</v>
      </c>
      <c r="D497" s="4" t="s">
        <v>4303</v>
      </c>
      <c r="E497" s="665" t="s">
        <v>4297</v>
      </c>
      <c r="F497" s="704">
        <v>20</v>
      </c>
      <c r="G497" s="1">
        <v>0</v>
      </c>
      <c r="H497" s="1"/>
      <c r="I497" s="4" t="s">
        <v>4585</v>
      </c>
      <c r="J497" s="1"/>
    </row>
    <row r="498" spans="1:10" x14ac:dyDescent="0.15">
      <c r="A498" s="1">
        <v>203</v>
      </c>
      <c r="B498" s="664" t="s">
        <v>2173</v>
      </c>
      <c r="C498" s="4" t="s">
        <v>4312</v>
      </c>
      <c r="D498" s="4" t="s">
        <v>4303</v>
      </c>
      <c r="E498" s="665" t="s">
        <v>4297</v>
      </c>
      <c r="F498" s="704">
        <v>20</v>
      </c>
      <c r="G498" s="1">
        <v>0</v>
      </c>
      <c r="H498" s="759"/>
      <c r="I498" s="4" t="s">
        <v>4585</v>
      </c>
      <c r="J498" s="1"/>
    </row>
    <row r="499" spans="1:10" x14ac:dyDescent="0.15">
      <c r="A499" s="1">
        <v>204</v>
      </c>
      <c r="B499" s="664" t="s">
        <v>4595</v>
      </c>
      <c r="C499" s="4" t="s">
        <v>4312</v>
      </c>
      <c r="D499" s="4" t="s">
        <v>4303</v>
      </c>
      <c r="E499" s="665" t="s">
        <v>4297</v>
      </c>
      <c r="F499" s="704">
        <v>10</v>
      </c>
      <c r="G499" s="1">
        <v>0</v>
      </c>
      <c r="H499" s="759"/>
      <c r="I499" s="4" t="s">
        <v>4585</v>
      </c>
      <c r="J499" s="4" t="s">
        <v>4596</v>
      </c>
    </row>
    <row r="500" spans="1:10" x14ac:dyDescent="0.15">
      <c r="A500" s="1">
        <v>206</v>
      </c>
      <c r="B500" s="664" t="s">
        <v>4599</v>
      </c>
      <c r="C500" s="4" t="s">
        <v>4312</v>
      </c>
      <c r="D500" s="4" t="s">
        <v>4303</v>
      </c>
      <c r="E500" s="665" t="s">
        <v>4297</v>
      </c>
      <c r="F500" s="704">
        <v>10</v>
      </c>
      <c r="G500" s="1">
        <v>0</v>
      </c>
      <c r="H500" s="1"/>
      <c r="I500" s="4" t="s">
        <v>4585</v>
      </c>
      <c r="J500" s="1"/>
    </row>
    <row r="501" spans="1:10" x14ac:dyDescent="0.15">
      <c r="A501" s="759">
        <v>51</v>
      </c>
      <c r="B501" s="667" t="s">
        <v>4380</v>
      </c>
      <c r="C501" s="4" t="s">
        <v>541</v>
      </c>
      <c r="D501" s="759"/>
      <c r="E501" s="665" t="s">
        <v>541</v>
      </c>
      <c r="F501" s="1">
        <v>5</v>
      </c>
      <c r="G501" s="1">
        <v>1</v>
      </c>
      <c r="H501" s="4" t="s">
        <v>4304</v>
      </c>
      <c r="I501" s="1"/>
      <c r="J501" s="1"/>
    </row>
    <row r="502" spans="1:10" x14ac:dyDescent="0.15">
      <c r="A502" s="759">
        <v>137</v>
      </c>
      <c r="B502" s="667" t="s">
        <v>4492</v>
      </c>
      <c r="C502" s="4" t="s">
        <v>541</v>
      </c>
      <c r="D502" s="759"/>
      <c r="E502" s="665" t="s">
        <v>541</v>
      </c>
      <c r="F502" s="1">
        <v>5</v>
      </c>
      <c r="G502" s="1">
        <v>1</v>
      </c>
      <c r="H502" s="4" t="s">
        <v>4304</v>
      </c>
      <c r="I502" s="1"/>
      <c r="J502" s="1"/>
    </row>
    <row r="503" spans="1:10" x14ac:dyDescent="0.15">
      <c r="A503" s="1">
        <v>149</v>
      </c>
      <c r="B503" s="667" t="s">
        <v>4512</v>
      </c>
      <c r="C503" s="4" t="s">
        <v>541</v>
      </c>
      <c r="D503" s="4" t="s">
        <v>4513</v>
      </c>
      <c r="E503" s="665" t="s">
        <v>541</v>
      </c>
      <c r="F503" s="1">
        <v>5</v>
      </c>
      <c r="G503" s="1">
        <v>1</v>
      </c>
      <c r="H503" s="4" t="s">
        <v>4304</v>
      </c>
      <c r="I503" s="759"/>
      <c r="J503" s="1"/>
    </row>
    <row r="504" spans="1:10" x14ac:dyDescent="0.15">
      <c r="A504" s="1">
        <v>187</v>
      </c>
      <c r="B504" s="667" t="s">
        <v>4569</v>
      </c>
      <c r="C504" s="4" t="s">
        <v>541</v>
      </c>
      <c r="D504" s="4" t="s">
        <v>4570</v>
      </c>
      <c r="E504" s="665" t="s">
        <v>541</v>
      </c>
      <c r="F504" s="1">
        <v>5</v>
      </c>
      <c r="G504" s="1">
        <v>1</v>
      </c>
      <c r="H504" s="4" t="s">
        <v>4304</v>
      </c>
      <c r="I504" s="759"/>
      <c r="J504" s="1"/>
    </row>
    <row r="505" spans="1:10" x14ac:dyDescent="0.15">
      <c r="A505" s="1">
        <v>503</v>
      </c>
      <c r="B505" s="759"/>
      <c r="C505" s="759"/>
      <c r="D505" s="759"/>
      <c r="E505" s="591"/>
      <c r="F505" s="1">
        <v>6538</v>
      </c>
      <c r="G505" s="1">
        <v>352</v>
      </c>
      <c r="H505" s="1"/>
      <c r="I505" s="1"/>
      <c r="J505" s="1"/>
    </row>
    <row r="506" spans="1:10" x14ac:dyDescent="0.15">
      <c r="A506" s="1"/>
      <c r="B506" s="665"/>
      <c r="C506" s="4"/>
      <c r="D506" s="4"/>
      <c r="E506" s="665"/>
      <c r="F506" s="1"/>
      <c r="G506" s="1"/>
      <c r="H506" s="4"/>
      <c r="I506" s="1"/>
      <c r="J506" s="1"/>
    </row>
    <row r="507" spans="1:10" x14ac:dyDescent="0.15">
      <c r="A507" s="4" t="s">
        <v>4669</v>
      </c>
      <c r="B507" s="665"/>
      <c r="C507" s="4"/>
      <c r="D507" s="4"/>
      <c r="E507" s="665"/>
      <c r="F507" s="1"/>
      <c r="G507" s="1"/>
      <c r="H507" s="4"/>
      <c r="I507" s="1"/>
      <c r="J507" s="1"/>
    </row>
    <row r="508" spans="1:10" x14ac:dyDescent="0.15">
      <c r="A508" s="1"/>
      <c r="B508" s="665" t="s">
        <v>4670</v>
      </c>
      <c r="C508" s="4"/>
      <c r="D508" s="4"/>
      <c r="E508" s="665"/>
      <c r="F508" s="1"/>
      <c r="G508" s="1"/>
      <c r="H508" s="4"/>
      <c r="I508" s="1" t="s">
        <v>4671</v>
      </c>
      <c r="J508" s="1"/>
    </row>
    <row r="509" spans="1:10" x14ac:dyDescent="0.15">
      <c r="A509" s="1"/>
      <c r="B509" s="665" t="s">
        <v>3249</v>
      </c>
      <c r="C509" s="4"/>
      <c r="D509" s="4"/>
      <c r="E509" s="665"/>
      <c r="F509" s="1">
        <v>10</v>
      </c>
      <c r="G509" s="1"/>
      <c r="H509" s="4"/>
      <c r="I509" s="1"/>
      <c r="J509" s="1"/>
    </row>
    <row r="510" spans="1:10" x14ac:dyDescent="0.15">
      <c r="A510" s="1"/>
      <c r="B510" s="665" t="s">
        <v>4672</v>
      </c>
      <c r="C510" s="4"/>
      <c r="D510" s="4"/>
      <c r="E510" s="665"/>
      <c r="F510" s="1"/>
      <c r="G510" s="1"/>
      <c r="H510" s="4"/>
      <c r="I510" s="1" t="s">
        <v>4673</v>
      </c>
      <c r="J510" s="1"/>
    </row>
    <row r="511" spans="1:10" x14ac:dyDescent="0.15">
      <c r="A511" s="1"/>
      <c r="B511" s="665" t="s">
        <v>904</v>
      </c>
      <c r="C511" s="4"/>
      <c r="D511" s="4"/>
      <c r="E511" s="665"/>
      <c r="F511" s="1"/>
      <c r="G511" s="1"/>
      <c r="H511" s="4"/>
      <c r="I511" s="1" t="s">
        <v>4674</v>
      </c>
      <c r="J511" s="1"/>
    </row>
    <row r="512" spans="1:10" x14ac:dyDescent="0.15">
      <c r="A512" s="1"/>
      <c r="B512" s="665" t="s">
        <v>916</v>
      </c>
      <c r="C512" s="4"/>
      <c r="D512" s="4"/>
      <c r="E512" s="665"/>
      <c r="F512" s="1"/>
      <c r="G512" s="1"/>
      <c r="H512" s="4"/>
      <c r="I512" s="1" t="s">
        <v>4673</v>
      </c>
      <c r="J512" s="1"/>
    </row>
    <row r="513" spans="1:10" x14ac:dyDescent="0.15">
      <c r="A513" s="1"/>
      <c r="B513" s="665" t="s">
        <v>2743</v>
      </c>
      <c r="C513" s="4"/>
      <c r="D513" s="4"/>
      <c r="E513" s="665"/>
      <c r="F513" s="1"/>
      <c r="G513" s="1"/>
      <c r="H513" s="4"/>
      <c r="I513" s="1" t="s">
        <v>4675</v>
      </c>
      <c r="J513" s="1"/>
    </row>
    <row r="514" spans="1:10" x14ac:dyDescent="0.15">
      <c r="A514" s="1"/>
      <c r="B514" s="665" t="s">
        <v>4676</v>
      </c>
      <c r="C514" s="4"/>
      <c r="D514" s="4"/>
      <c r="E514" s="665"/>
      <c r="F514" s="1"/>
      <c r="G514" s="1"/>
      <c r="H514" s="4"/>
      <c r="I514" s="1" t="s">
        <v>4675</v>
      </c>
      <c r="J514" s="1"/>
    </row>
    <row r="515" spans="1:10" x14ac:dyDescent="0.15">
      <c r="A515" s="1"/>
      <c r="B515" s="665" t="s">
        <v>1955</v>
      </c>
      <c r="C515" s="4"/>
      <c r="D515" s="4"/>
      <c r="E515" s="665"/>
      <c r="F515" s="1"/>
      <c r="G515" s="1"/>
      <c r="H515" s="4"/>
      <c r="I515" s="1" t="s">
        <v>4673</v>
      </c>
      <c r="J515" s="1"/>
    </row>
    <row r="516" spans="1:10" x14ac:dyDescent="0.15">
      <c r="A516" s="1"/>
      <c r="B516" s="665" t="s">
        <v>4677</v>
      </c>
      <c r="C516" s="4"/>
      <c r="D516" s="4"/>
      <c r="E516" s="665"/>
      <c r="F516" s="1"/>
      <c r="G516" s="1"/>
      <c r="H516" s="4"/>
      <c r="I516" s="1" t="s">
        <v>4678</v>
      </c>
      <c r="J516" s="1"/>
    </row>
    <row r="517" spans="1:10" x14ac:dyDescent="0.15">
      <c r="A517" s="1"/>
      <c r="B517" s="665" t="s">
        <v>4679</v>
      </c>
      <c r="C517" s="4"/>
      <c r="D517" s="4"/>
      <c r="E517" s="665"/>
      <c r="F517" s="1"/>
      <c r="G517" s="1"/>
      <c r="H517" s="4"/>
      <c r="I517" s="1" t="s">
        <v>4675</v>
      </c>
      <c r="J517" s="1"/>
    </row>
    <row r="518" spans="1:10" x14ac:dyDescent="0.15">
      <c r="A518" s="1"/>
      <c r="B518" s="665" t="s">
        <v>4680</v>
      </c>
      <c r="C518" s="4"/>
      <c r="D518" s="4"/>
      <c r="E518" s="665"/>
      <c r="F518" s="1"/>
      <c r="G518" s="1"/>
      <c r="H518" s="4"/>
      <c r="I518" s="1" t="s">
        <v>4681</v>
      </c>
      <c r="J518" s="1"/>
    </row>
    <row r="519" spans="1:10" x14ac:dyDescent="0.15">
      <c r="A519" s="1"/>
      <c r="B519" s="665" t="s">
        <v>4682</v>
      </c>
      <c r="C519" s="4"/>
      <c r="D519" s="4"/>
      <c r="E519" s="665"/>
      <c r="F519" s="1"/>
      <c r="G519" s="1"/>
      <c r="H519" s="4"/>
      <c r="I519" s="1" t="s">
        <v>4683</v>
      </c>
      <c r="J519" s="1"/>
    </row>
    <row r="520" spans="1:10" x14ac:dyDescent="0.15">
      <c r="A520" s="1"/>
      <c r="B520" s="665" t="s">
        <v>4684</v>
      </c>
      <c r="C520" s="4"/>
      <c r="D520" s="4"/>
      <c r="E520" s="665"/>
      <c r="F520" s="1"/>
      <c r="G520" s="1"/>
      <c r="H520" s="4"/>
      <c r="I520" s="1" t="s">
        <v>4675</v>
      </c>
      <c r="J520" s="1"/>
    </row>
    <row r="521" spans="1:10" x14ac:dyDescent="0.15">
      <c r="A521" s="1"/>
      <c r="B521" s="665" t="s">
        <v>1981</v>
      </c>
      <c r="C521" s="4"/>
      <c r="D521" s="4"/>
      <c r="E521" s="665"/>
      <c r="F521" s="1"/>
      <c r="G521" s="1"/>
      <c r="H521" s="4"/>
      <c r="I521" s="1" t="s">
        <v>4675</v>
      </c>
      <c r="J521" s="1"/>
    </row>
    <row r="522" spans="1:10" x14ac:dyDescent="0.15">
      <c r="A522" s="1"/>
      <c r="B522" s="665" t="s">
        <v>2749</v>
      </c>
      <c r="C522" s="4"/>
      <c r="D522" s="4"/>
      <c r="E522" s="665"/>
      <c r="F522" s="1"/>
      <c r="G522" s="1"/>
      <c r="H522" s="4"/>
      <c r="I522" s="1" t="s">
        <v>4683</v>
      </c>
      <c r="J522" s="1"/>
    </row>
    <row r="523" spans="1:10" x14ac:dyDescent="0.15">
      <c r="A523" s="1"/>
      <c r="B523" s="665" t="s">
        <v>1983</v>
      </c>
      <c r="C523" s="4"/>
      <c r="D523" s="4"/>
      <c r="E523" s="665"/>
      <c r="F523" s="1"/>
      <c r="G523" s="1"/>
      <c r="H523" s="4"/>
      <c r="I523" s="1" t="s">
        <v>4685</v>
      </c>
      <c r="J523" s="1"/>
    </row>
    <row r="524" spans="1:10" x14ac:dyDescent="0.15">
      <c r="A524" s="1"/>
      <c r="B524" s="665" t="s">
        <v>584</v>
      </c>
      <c r="C524" s="4"/>
      <c r="D524" s="4"/>
      <c r="E524" s="665"/>
      <c r="F524" s="1"/>
      <c r="G524" s="1"/>
      <c r="H524" s="4"/>
      <c r="I524" s="1" t="s">
        <v>4675</v>
      </c>
      <c r="J524" s="1"/>
    </row>
    <row r="525" spans="1:10" x14ac:dyDescent="0.15">
      <c r="A525" s="1"/>
      <c r="B525" s="665" t="s">
        <v>4686</v>
      </c>
      <c r="C525" s="4"/>
      <c r="D525" s="4"/>
      <c r="E525" s="665"/>
      <c r="F525" s="1"/>
      <c r="G525" s="1"/>
      <c r="H525" s="4"/>
      <c r="I525" s="1" t="s">
        <v>4673</v>
      </c>
      <c r="J525" s="1"/>
    </row>
    <row r="526" spans="1:10" x14ac:dyDescent="0.15">
      <c r="A526" s="1"/>
      <c r="B526" s="665" t="s">
        <v>2737</v>
      </c>
      <c r="C526" s="4"/>
      <c r="D526" s="4"/>
      <c r="E526" s="665"/>
      <c r="F526" s="1"/>
      <c r="G526" s="1"/>
      <c r="H526" s="4"/>
      <c r="I526" s="1" t="s">
        <v>4673</v>
      </c>
      <c r="J526" s="1"/>
    </row>
    <row r="527" spans="1:10" x14ac:dyDescent="0.15">
      <c r="A527" s="1"/>
      <c r="B527" s="665" t="s">
        <v>2788</v>
      </c>
      <c r="C527" s="4"/>
      <c r="D527" s="4"/>
      <c r="E527" s="665"/>
      <c r="F527" s="1"/>
      <c r="G527" s="1"/>
      <c r="H527" s="4"/>
      <c r="I527" s="1" t="s">
        <v>4675</v>
      </c>
      <c r="J527" s="1"/>
    </row>
    <row r="528" spans="1:10" x14ac:dyDescent="0.15">
      <c r="A528" s="1"/>
      <c r="B528" s="665" t="s">
        <v>4687</v>
      </c>
      <c r="C528" s="4"/>
      <c r="D528" s="4"/>
      <c r="E528" s="665"/>
      <c r="F528" s="1"/>
      <c r="G528" s="1"/>
      <c r="H528" s="4"/>
      <c r="I528" s="1" t="s">
        <v>4688</v>
      </c>
      <c r="J528" s="1"/>
    </row>
    <row r="529" spans="1:18" x14ac:dyDescent="0.15">
      <c r="A529" s="1"/>
      <c r="B529" s="665"/>
      <c r="C529" s="4"/>
      <c r="D529" s="4"/>
      <c r="E529" s="665"/>
      <c r="F529" s="1"/>
      <c r="G529" s="1"/>
      <c r="H529" s="4"/>
      <c r="I529" s="1"/>
      <c r="J529" s="1"/>
    </row>
    <row r="530" spans="1:18" x14ac:dyDescent="0.15">
      <c r="A530" s="1"/>
      <c r="B530" s="665" t="s">
        <v>4689</v>
      </c>
      <c r="C530" s="4"/>
      <c r="D530" s="4"/>
      <c r="E530" s="665"/>
      <c r="F530" s="1"/>
      <c r="G530" s="1"/>
      <c r="H530" s="4"/>
      <c r="I530" s="1"/>
      <c r="J530" s="1"/>
    </row>
    <row r="531" spans="1:18" x14ac:dyDescent="0.15">
      <c r="A531" s="751"/>
      <c r="B531" s="665"/>
      <c r="C531" s="4"/>
      <c r="D531" s="4"/>
      <c r="E531" s="665"/>
      <c r="F531" s="751"/>
      <c r="G531" s="751"/>
      <c r="H531" s="4"/>
      <c r="I531" s="751"/>
      <c r="J531" s="751"/>
    </row>
    <row r="532" spans="1:18" x14ac:dyDescent="0.15">
      <c r="A532" s="751"/>
      <c r="B532" s="665" t="s">
        <v>6445</v>
      </c>
      <c r="C532" s="4"/>
      <c r="D532" s="4"/>
      <c r="E532" s="665"/>
      <c r="F532" s="751"/>
      <c r="G532" s="751"/>
      <c r="H532" s="4"/>
      <c r="I532" s="751"/>
      <c r="J532" s="751"/>
      <c r="K532" s="754" t="s">
        <v>6446</v>
      </c>
      <c r="L532" s="755" t="s">
        <v>6435</v>
      </c>
      <c r="M532" s="755" t="s">
        <v>6443</v>
      </c>
      <c r="N532" s="97">
        <v>10</v>
      </c>
      <c r="O532" s="754" t="s">
        <v>6506</v>
      </c>
      <c r="P532" s="755" t="s">
        <v>6507</v>
      </c>
      <c r="Q532" s="755" t="s">
        <v>6443</v>
      </c>
      <c r="R532" s="97">
        <v>10</v>
      </c>
    </row>
    <row r="533" spans="1:18" x14ac:dyDescent="0.15">
      <c r="A533" s="751"/>
      <c r="B533" s="665" t="s">
        <v>6449</v>
      </c>
      <c r="C533" s="4"/>
      <c r="D533" s="4"/>
      <c r="E533" s="665"/>
      <c r="F533" s="751"/>
      <c r="G533" s="751"/>
      <c r="H533" s="4"/>
      <c r="I533" s="751"/>
      <c r="J533" s="751"/>
      <c r="K533" s="754" t="s">
        <v>6450</v>
      </c>
      <c r="L533" s="755" t="s">
        <v>6435</v>
      </c>
      <c r="M533" s="755" t="s">
        <v>6459</v>
      </c>
      <c r="N533" s="97">
        <v>10</v>
      </c>
    </row>
    <row r="534" spans="1:18" x14ac:dyDescent="0.15">
      <c r="A534" s="751"/>
      <c r="B534" s="665" t="s">
        <v>6451</v>
      </c>
      <c r="C534" s="4"/>
      <c r="D534" s="4"/>
      <c r="E534" s="665"/>
      <c r="F534" s="751"/>
      <c r="G534" s="751"/>
      <c r="H534" s="4"/>
      <c r="I534" s="751"/>
      <c r="J534" s="751"/>
      <c r="K534" s="754" t="s">
        <v>6452</v>
      </c>
      <c r="L534" s="755" t="s">
        <v>6453</v>
      </c>
      <c r="M534" s="755" t="s">
        <v>6443</v>
      </c>
      <c r="N534" s="97">
        <v>50</v>
      </c>
    </row>
    <row r="535" spans="1:18" x14ac:dyDescent="0.15">
      <c r="A535" s="751"/>
      <c r="B535" s="665" t="s">
        <v>6457</v>
      </c>
      <c r="C535" s="4"/>
      <c r="D535" s="4"/>
      <c r="E535" s="665"/>
      <c r="F535" s="751"/>
      <c r="G535" s="751"/>
      <c r="H535" s="4"/>
      <c r="I535" s="751"/>
      <c r="J535" s="751"/>
      <c r="K535" s="754" t="s">
        <v>6458</v>
      </c>
      <c r="L535" s="755" t="s">
        <v>6435</v>
      </c>
      <c r="M535" s="755" t="s">
        <v>6436</v>
      </c>
      <c r="N535" s="97">
        <v>10</v>
      </c>
    </row>
    <row r="536" spans="1:18" x14ac:dyDescent="0.15">
      <c r="A536" s="751"/>
      <c r="B536" s="665" t="s">
        <v>6463</v>
      </c>
      <c r="C536" s="4"/>
      <c r="D536" s="4"/>
      <c r="E536" s="665"/>
      <c r="F536" s="751"/>
      <c r="G536" s="751"/>
      <c r="H536" s="4"/>
      <c r="I536" s="751"/>
      <c r="J536" s="751"/>
      <c r="K536" s="754" t="s">
        <v>6464</v>
      </c>
      <c r="L536" s="755" t="s">
        <v>6440</v>
      </c>
      <c r="M536" s="755" t="s">
        <v>6436</v>
      </c>
      <c r="N536" s="97">
        <v>10</v>
      </c>
    </row>
    <row r="537" spans="1:18" x14ac:dyDescent="0.15">
      <c r="A537" s="1"/>
      <c r="B537" s="665" t="s">
        <v>6467</v>
      </c>
      <c r="C537" s="4"/>
      <c r="D537" s="4"/>
      <c r="E537" s="665"/>
      <c r="F537" s="1"/>
      <c r="G537" s="1"/>
      <c r="H537" s="4"/>
      <c r="I537" s="1"/>
      <c r="J537" s="1"/>
      <c r="K537" s="754" t="s">
        <v>6468</v>
      </c>
      <c r="L537" s="755" t="s">
        <v>6438</v>
      </c>
      <c r="M537" s="755" t="s">
        <v>6436</v>
      </c>
      <c r="N537" s="97">
        <v>10</v>
      </c>
    </row>
    <row r="538" spans="1:18" x14ac:dyDescent="0.15">
      <c r="A538" s="756"/>
      <c r="B538" s="665" t="s">
        <v>6486</v>
      </c>
      <c r="C538" s="4"/>
      <c r="D538" s="4"/>
      <c r="E538" s="665"/>
      <c r="F538" s="756"/>
      <c r="G538" s="756"/>
      <c r="H538" s="4"/>
      <c r="I538" s="756"/>
      <c r="J538" s="756"/>
      <c r="K538" s="754" t="s">
        <v>6479</v>
      </c>
      <c r="L538" s="755" t="s">
        <v>6440</v>
      </c>
      <c r="M538" s="755" t="s">
        <v>6436</v>
      </c>
      <c r="N538" s="97">
        <v>10</v>
      </c>
      <c r="O538" s="754" t="s">
        <v>6487</v>
      </c>
      <c r="P538" s="753" t="s">
        <v>6488</v>
      </c>
    </row>
    <row r="539" spans="1:18" x14ac:dyDescent="0.15">
      <c r="A539" s="752"/>
      <c r="B539" s="665" t="s">
        <v>6474</v>
      </c>
      <c r="C539" s="4"/>
      <c r="D539" s="4"/>
      <c r="E539" s="665"/>
      <c r="F539" s="752"/>
      <c r="G539" s="752"/>
      <c r="H539" s="4"/>
      <c r="I539" s="752"/>
      <c r="J539" s="752"/>
      <c r="K539" s="757" t="s">
        <v>6475</v>
      </c>
      <c r="L539" s="755" t="s">
        <v>6476</v>
      </c>
      <c r="M539" s="755" t="s">
        <v>6443</v>
      </c>
      <c r="N539" s="97">
        <v>10</v>
      </c>
      <c r="O539" s="754" t="s">
        <v>6477</v>
      </c>
      <c r="P539" s="753" t="s">
        <v>6478</v>
      </c>
    </row>
    <row r="540" spans="1:18" x14ac:dyDescent="0.15">
      <c r="A540" s="752"/>
      <c r="B540" s="665"/>
      <c r="C540" s="4"/>
      <c r="D540" s="4"/>
      <c r="E540" s="665"/>
      <c r="F540" s="752"/>
      <c r="G540" s="752"/>
      <c r="H540" s="4"/>
      <c r="I540" s="752"/>
      <c r="J540" s="752"/>
      <c r="K540" s="754"/>
      <c r="L540" s="755"/>
      <c r="M540" s="755"/>
    </row>
    <row r="541" spans="1:18" x14ac:dyDescent="0.15">
      <c r="A541" s="752"/>
      <c r="B541" s="665"/>
      <c r="C541" s="4"/>
      <c r="D541" s="4"/>
      <c r="E541" s="665"/>
      <c r="F541" s="752"/>
      <c r="G541" s="752"/>
      <c r="H541" s="4"/>
      <c r="I541" s="752"/>
      <c r="J541" s="752"/>
      <c r="K541" s="754"/>
      <c r="L541" s="755"/>
      <c r="M541" s="755"/>
    </row>
    <row r="542" spans="1:18" x14ac:dyDescent="0.15">
      <c r="A542" s="752"/>
      <c r="B542" s="665"/>
      <c r="C542" s="4"/>
      <c r="D542" s="4"/>
      <c r="E542" s="665"/>
      <c r="F542" s="752"/>
      <c r="G542" s="752"/>
      <c r="H542" s="4"/>
      <c r="I542" s="752"/>
      <c r="J542" s="752"/>
      <c r="K542" s="754"/>
      <c r="L542" s="755"/>
      <c r="M542" s="755"/>
    </row>
    <row r="543" spans="1:18" x14ac:dyDescent="0.15">
      <c r="A543" s="752"/>
      <c r="B543" s="665"/>
      <c r="C543" s="4"/>
      <c r="D543" s="4"/>
      <c r="E543" s="665"/>
      <c r="F543" s="752"/>
      <c r="G543" s="752"/>
      <c r="H543" s="4"/>
      <c r="I543" s="752"/>
      <c r="J543" s="752"/>
      <c r="K543" s="754"/>
      <c r="L543" s="755"/>
      <c r="M543" s="755"/>
    </row>
    <row r="544" spans="1:18" x14ac:dyDescent="0.15">
      <c r="A544" s="752"/>
      <c r="B544" s="665"/>
      <c r="C544" s="4"/>
      <c r="D544" s="4"/>
      <c r="E544" s="665"/>
      <c r="F544" s="752"/>
      <c r="G544" s="752"/>
      <c r="H544" s="4"/>
      <c r="I544" s="752"/>
      <c r="J544" s="752"/>
      <c r="K544" s="754"/>
      <c r="L544" s="755"/>
      <c r="M544" s="755"/>
    </row>
    <row r="545" spans="1:13" x14ac:dyDescent="0.15">
      <c r="A545" s="752"/>
      <c r="B545" s="665"/>
      <c r="C545" s="4"/>
      <c r="D545" s="4"/>
      <c r="E545" s="665"/>
      <c r="F545" s="752"/>
      <c r="G545" s="752"/>
      <c r="H545" s="4"/>
      <c r="I545" s="752"/>
      <c r="J545" s="752"/>
      <c r="K545" s="754"/>
      <c r="L545" s="755"/>
      <c r="M545" s="755"/>
    </row>
    <row r="546" spans="1:13" x14ac:dyDescent="0.15">
      <c r="A546" s="752"/>
      <c r="B546" s="665"/>
      <c r="C546" s="4"/>
      <c r="D546" s="4"/>
      <c r="E546" s="665"/>
      <c r="F546" s="752"/>
      <c r="G546" s="752"/>
      <c r="H546" s="4"/>
      <c r="I546" s="752"/>
      <c r="J546" s="752"/>
      <c r="K546" s="754"/>
      <c r="L546" s="755"/>
      <c r="M546" s="755"/>
    </row>
    <row r="547" spans="1:13" x14ac:dyDescent="0.15">
      <c r="A547" s="752"/>
      <c r="B547" s="665"/>
      <c r="C547" s="4"/>
      <c r="D547" s="4"/>
      <c r="E547" s="665"/>
      <c r="F547" s="752"/>
      <c r="G547" s="752"/>
      <c r="H547" s="4"/>
      <c r="I547" s="752"/>
      <c r="J547" s="752"/>
      <c r="K547" s="754"/>
      <c r="L547" s="755"/>
      <c r="M547" s="755"/>
    </row>
    <row r="548" spans="1:13" x14ac:dyDescent="0.15">
      <c r="A548" s="752"/>
      <c r="B548" s="665"/>
      <c r="C548" s="4"/>
      <c r="D548" s="4"/>
      <c r="E548" s="665"/>
      <c r="F548" s="752"/>
      <c r="G548" s="752"/>
      <c r="H548" s="4"/>
      <c r="I548" s="752"/>
      <c r="J548" s="752"/>
      <c r="K548" s="754"/>
      <c r="L548" s="755"/>
      <c r="M548" s="755"/>
    </row>
    <row r="549" spans="1:13" x14ac:dyDescent="0.15">
      <c r="A549" s="752"/>
      <c r="B549" s="665"/>
      <c r="C549" s="4"/>
      <c r="D549" s="4"/>
      <c r="E549" s="665"/>
      <c r="F549" s="752"/>
      <c r="G549" s="752"/>
      <c r="H549" s="4"/>
      <c r="I549" s="752"/>
      <c r="J549" s="752"/>
      <c r="K549" s="754"/>
      <c r="L549" s="755"/>
      <c r="M549" s="755"/>
    </row>
    <row r="550" spans="1:13" x14ac:dyDescent="0.15">
      <c r="A550" s="752"/>
      <c r="B550" s="665"/>
      <c r="C550" s="4"/>
      <c r="D550" s="4"/>
      <c r="E550" s="665"/>
      <c r="F550" s="752"/>
      <c r="G550" s="752"/>
      <c r="H550" s="4"/>
      <c r="I550" s="752"/>
      <c r="J550" s="752"/>
      <c r="K550" s="754"/>
      <c r="L550" s="755"/>
      <c r="M550" s="755"/>
    </row>
    <row r="551" spans="1:13" x14ac:dyDescent="0.15">
      <c r="A551" s="752"/>
      <c r="B551" s="665"/>
      <c r="C551" s="4"/>
      <c r="D551" s="4"/>
      <c r="E551" s="665"/>
      <c r="F551" s="752"/>
      <c r="G551" s="752"/>
      <c r="H551" s="4"/>
      <c r="I551" s="752"/>
      <c r="J551" s="752"/>
      <c r="K551" s="754"/>
      <c r="L551" s="755"/>
      <c r="M551" s="755"/>
    </row>
    <row r="552" spans="1:13" x14ac:dyDescent="0.15">
      <c r="A552" s="752"/>
      <c r="B552" s="665"/>
      <c r="C552" s="4"/>
      <c r="D552" s="4"/>
      <c r="E552" s="665"/>
      <c r="F552" s="752"/>
      <c r="G552" s="752"/>
      <c r="H552" s="4"/>
      <c r="I552" s="752"/>
      <c r="J552" s="752"/>
      <c r="K552" s="754"/>
      <c r="L552" s="755"/>
      <c r="M552" s="755"/>
    </row>
    <row r="553" spans="1:13" x14ac:dyDescent="0.15">
      <c r="A553" s="1"/>
      <c r="B553" s="665"/>
      <c r="C553" s="4"/>
      <c r="D553" s="4"/>
      <c r="E553" s="665"/>
      <c r="F553" s="1"/>
      <c r="G553" s="1"/>
      <c r="H553" s="4"/>
      <c r="I553" s="1"/>
      <c r="J553" s="1"/>
    </row>
    <row r="554" spans="1:13" x14ac:dyDescent="0.15">
      <c r="A554" s="1"/>
      <c r="B554" s="1"/>
      <c r="C554" s="4"/>
      <c r="D554" s="4"/>
      <c r="E554" s="589"/>
      <c r="F554" s="1"/>
      <c r="G554" s="1"/>
      <c r="H554" s="1"/>
      <c r="I554" s="1"/>
      <c r="J554" s="1"/>
    </row>
    <row r="555" spans="1:13" x14ac:dyDescent="0.15">
      <c r="A555" s="1"/>
      <c r="B555" s="665"/>
      <c r="C555" s="4"/>
      <c r="D555" s="1"/>
      <c r="E555" s="665"/>
      <c r="F555" s="1"/>
      <c r="G555" s="1"/>
      <c r="H555" s="1"/>
      <c r="I555" s="671" t="s">
        <v>4690</v>
      </c>
      <c r="J555" s="748"/>
    </row>
    <row r="556" spans="1:13" x14ac:dyDescent="0.15">
      <c r="A556" s="1"/>
      <c r="B556" s="1"/>
      <c r="C556" s="1"/>
      <c r="D556" s="1"/>
      <c r="E556" s="664" t="s">
        <v>4297</v>
      </c>
      <c r="F556" s="2">
        <v>5286</v>
      </c>
      <c r="G556" s="2">
        <v>163</v>
      </c>
      <c r="H556" s="2"/>
      <c r="I556" s="1">
        <v>81</v>
      </c>
      <c r="J556" s="589"/>
    </row>
    <row r="557" spans="1:13" x14ac:dyDescent="0.15">
      <c r="A557" s="1"/>
      <c r="B557" s="1"/>
      <c r="C557" s="1"/>
      <c r="D557" s="1"/>
      <c r="E557" s="664" t="s">
        <v>4365</v>
      </c>
      <c r="F557" s="2">
        <v>1232</v>
      </c>
      <c r="G557" s="2">
        <v>185</v>
      </c>
      <c r="H557" s="2"/>
      <c r="I557" s="1">
        <v>19</v>
      </c>
      <c r="J557" s="749"/>
    </row>
    <row r="558" spans="1:13" x14ac:dyDescent="0.15">
      <c r="A558" s="1"/>
      <c r="B558" s="1"/>
      <c r="C558" s="1"/>
      <c r="D558" s="1"/>
      <c r="E558" s="664" t="s">
        <v>541</v>
      </c>
      <c r="F558" s="2">
        <v>20</v>
      </c>
      <c r="G558" s="2">
        <v>4</v>
      </c>
      <c r="H558" s="2"/>
      <c r="I558" s="1"/>
      <c r="J558" s="589"/>
    </row>
    <row r="559" spans="1:13" x14ac:dyDescent="0.15">
      <c r="A559" s="1"/>
      <c r="B559" s="1"/>
      <c r="C559" s="1"/>
      <c r="D559" s="1"/>
      <c r="E559" s="2"/>
      <c r="F559" s="2">
        <v>6538</v>
      </c>
      <c r="G559" s="2">
        <v>352</v>
      </c>
      <c r="H559" s="2"/>
      <c r="I559" s="1">
        <v>100</v>
      </c>
      <c r="J559" s="1"/>
    </row>
    <row r="562" spans="4:13" x14ac:dyDescent="0.15">
      <c r="D562" s="4" t="s">
        <v>4691</v>
      </c>
      <c r="E562" s="1"/>
      <c r="F562" s="668">
        <v>61083550</v>
      </c>
      <c r="G562" s="1"/>
      <c r="H562" s="1"/>
      <c r="I562" s="678" t="s">
        <v>4692</v>
      </c>
      <c r="J562" s="679"/>
      <c r="K562" s="679"/>
      <c r="L562" s="679"/>
      <c r="M562" s="679"/>
    </row>
    <row r="563" spans="4:13" x14ac:dyDescent="0.15">
      <c r="D563" s="4" t="s">
        <v>4693</v>
      </c>
      <c r="E563" s="1"/>
      <c r="F563" s="1">
        <v>560</v>
      </c>
      <c r="G563" s="1"/>
      <c r="H563" s="1"/>
      <c r="I563" s="679"/>
      <c r="J563" s="679"/>
      <c r="K563" s="679"/>
      <c r="L563" s="679"/>
      <c r="M563" s="679"/>
    </row>
    <row r="564" spans="4:13" x14ac:dyDescent="0.15">
      <c r="D564" s="4" t="s">
        <v>4694</v>
      </c>
      <c r="E564" s="1"/>
      <c r="F564" s="670">
        <v>109077.767857143</v>
      </c>
      <c r="G564" s="668"/>
      <c r="H564" s="668"/>
      <c r="I564" s="680"/>
      <c r="J564" s="679"/>
      <c r="K564" s="679"/>
      <c r="L564" s="679"/>
      <c r="M564" s="679"/>
    </row>
    <row r="565" spans="4:13" ht="13.5" x14ac:dyDescent="0.15">
      <c r="D565" s="4" t="s">
        <v>4695</v>
      </c>
      <c r="E565" s="1"/>
      <c r="F565" s="730">
        <v>88133.571428571406</v>
      </c>
      <c r="G565" s="668"/>
      <c r="H565" s="668"/>
      <c r="I565" s="679"/>
      <c r="J565" s="731"/>
      <c r="K565" s="679"/>
      <c r="L565" s="679"/>
      <c r="M565" s="679"/>
    </row>
    <row r="566" spans="4:13" x14ac:dyDescent="0.15">
      <c r="D566" s="1"/>
      <c r="E566" s="1"/>
      <c r="F566" s="668"/>
      <c r="G566" s="668"/>
      <c r="H566" s="668"/>
      <c r="I566" s="679" t="s">
        <v>4696</v>
      </c>
      <c r="J566" s="731">
        <v>12320000</v>
      </c>
      <c r="K566" s="732"/>
      <c r="L566" s="679"/>
      <c r="M566" s="679"/>
    </row>
    <row r="567" spans="4:13" x14ac:dyDescent="0.15">
      <c r="D567" s="4" t="s">
        <v>4697</v>
      </c>
      <c r="E567" s="1"/>
      <c r="F567" s="668">
        <v>49354800</v>
      </c>
      <c r="G567" s="668" t="s">
        <v>4698</v>
      </c>
      <c r="H567" s="668"/>
      <c r="I567" s="679" t="s">
        <v>4699</v>
      </c>
      <c r="J567" s="731">
        <f>88134*122</f>
        <v>10752348</v>
      </c>
      <c r="K567" s="679" t="s">
        <v>4700</v>
      </c>
      <c r="L567" s="679"/>
      <c r="M567" s="679"/>
    </row>
    <row r="568" spans="4:13" x14ac:dyDescent="0.15">
      <c r="D568" s="1"/>
      <c r="E568" s="1"/>
      <c r="F568" s="675">
        <v>33067716</v>
      </c>
      <c r="G568" s="668"/>
      <c r="H568" s="668"/>
      <c r="I568" s="678" t="s">
        <v>4701</v>
      </c>
      <c r="J568" s="731">
        <f>5864375*0.19</f>
        <v>1114231.25</v>
      </c>
      <c r="K568" s="679" t="s">
        <v>4702</v>
      </c>
      <c r="L568" s="679"/>
      <c r="M568" s="679"/>
    </row>
    <row r="569" spans="4:13" ht="14.25" x14ac:dyDescent="0.15">
      <c r="D569" s="1" t="s">
        <v>4703</v>
      </c>
      <c r="E569" s="1"/>
      <c r="F569" s="668">
        <v>11728750</v>
      </c>
      <c r="G569" s="668" t="s">
        <v>4704</v>
      </c>
      <c r="H569" s="668"/>
      <c r="I569" s="678" t="s">
        <v>4705</v>
      </c>
      <c r="J569" s="733">
        <f>SUM(J567:J568)</f>
        <v>11866579.25</v>
      </c>
      <c r="K569" s="679"/>
      <c r="L569" s="679"/>
      <c r="M569" s="679"/>
    </row>
    <row r="570" spans="4:13" x14ac:dyDescent="0.15">
      <c r="D570" s="669">
        <v>0.5</v>
      </c>
      <c r="E570" s="1"/>
      <c r="F570" s="675">
        <v>5864375</v>
      </c>
      <c r="G570" s="668"/>
      <c r="H570" s="668"/>
      <c r="I570" s="734" t="s">
        <v>4706</v>
      </c>
      <c r="J570" s="735">
        <f>J566-J569</f>
        <v>453420.75</v>
      </c>
      <c r="K570" s="736"/>
      <c r="L570" s="736"/>
      <c r="M570" s="736"/>
    </row>
    <row r="571" spans="4:13" x14ac:dyDescent="0.15">
      <c r="D571" s="1"/>
      <c r="E571" s="1"/>
      <c r="F571" s="668"/>
      <c r="G571" s="668"/>
      <c r="H571" s="668"/>
      <c r="I571" s="736" t="s">
        <v>4707</v>
      </c>
      <c r="J571" s="735">
        <v>5000000</v>
      </c>
      <c r="K571" s="736"/>
      <c r="L571" s="736"/>
      <c r="M571" s="736"/>
    </row>
    <row r="572" spans="4:13" ht="13.5" x14ac:dyDescent="0.15">
      <c r="D572" s="4" t="s">
        <v>4708</v>
      </c>
      <c r="E572" s="1"/>
      <c r="F572" s="676">
        <v>38932091</v>
      </c>
      <c r="G572" s="668"/>
      <c r="H572" s="668"/>
      <c r="I572" s="734" t="s">
        <v>4709</v>
      </c>
      <c r="J572" s="738">
        <f>SUM(J570:J571)</f>
        <v>5453420.75</v>
      </c>
      <c r="K572" s="736"/>
      <c r="L572" s="736"/>
      <c r="M572" s="736"/>
    </row>
    <row r="573" spans="4:13" ht="13.5" x14ac:dyDescent="0.15">
      <c r="D573" s="1"/>
      <c r="E573" s="1"/>
      <c r="F573" s="668">
        <v>5000000</v>
      </c>
      <c r="G573" s="672" t="s">
        <v>4710</v>
      </c>
      <c r="H573" s="668"/>
      <c r="I573" s="739" t="s">
        <v>4711</v>
      </c>
      <c r="J573" s="740">
        <v>1800000</v>
      </c>
      <c r="K573" s="679"/>
      <c r="L573" s="679"/>
      <c r="M573" s="679"/>
    </row>
    <row r="574" spans="4:13" ht="14.25" x14ac:dyDescent="0.15">
      <c r="D574" s="1"/>
      <c r="E574" s="1"/>
      <c r="F574" s="737">
        <v>33932091</v>
      </c>
      <c r="G574" s="672" t="s">
        <v>4712</v>
      </c>
      <c r="H574" s="668"/>
      <c r="I574" s="741" t="s">
        <v>4713</v>
      </c>
      <c r="J574" s="742">
        <v>3653473.0357142901</v>
      </c>
      <c r="K574" s="743"/>
      <c r="L574" s="743"/>
      <c r="M574" s="743"/>
    </row>
    <row r="575" spans="4:13" x14ac:dyDescent="0.15">
      <c r="D575" s="1"/>
      <c r="E575" s="1"/>
      <c r="F575" s="668"/>
      <c r="G575" s="673" t="s">
        <v>4714</v>
      </c>
      <c r="H575" s="668"/>
      <c r="I575" s="731"/>
      <c r="J575" s="681"/>
      <c r="K575" s="679"/>
      <c r="L575" s="679"/>
      <c r="M575" s="679"/>
    </row>
    <row r="576" spans="4:13" x14ac:dyDescent="0.15">
      <c r="D576" s="4" t="s">
        <v>4715</v>
      </c>
      <c r="E576" s="665" t="s">
        <v>4297</v>
      </c>
      <c r="F576" s="668">
        <v>53060000</v>
      </c>
      <c r="G576" s="668">
        <v>81.156316916488194</v>
      </c>
      <c r="H576" s="668"/>
      <c r="I576" s="668"/>
      <c r="J576" s="1"/>
      <c r="K576" s="1"/>
      <c r="L576" s="1"/>
      <c r="M576" s="751"/>
    </row>
    <row r="577" spans="4:13" x14ac:dyDescent="0.15">
      <c r="D577" s="1"/>
      <c r="E577" s="665" t="s">
        <v>4365</v>
      </c>
      <c r="F577" s="668">
        <v>12320000</v>
      </c>
      <c r="G577" s="668">
        <v>19</v>
      </c>
      <c r="H577" s="668"/>
      <c r="I577" s="744" t="s">
        <v>4716</v>
      </c>
      <c r="J577" s="1"/>
      <c r="K577" s="1"/>
      <c r="L577" s="1"/>
      <c r="M577" s="751"/>
    </row>
    <row r="578" spans="4:13" x14ac:dyDescent="0.15">
      <c r="D578" s="1"/>
      <c r="E578" s="1"/>
      <c r="F578" s="668">
        <v>65380000</v>
      </c>
      <c r="G578" s="668">
        <v>100</v>
      </c>
      <c r="H578" s="668"/>
      <c r="I578" s="668"/>
      <c r="J578" s="1"/>
      <c r="K578" s="1"/>
      <c r="L578" s="1"/>
      <c r="M578" s="751"/>
    </row>
    <row r="579" spans="4:13" x14ac:dyDescent="0.15">
      <c r="D579" s="1"/>
      <c r="E579" s="1"/>
      <c r="F579" s="668"/>
      <c r="G579" s="668"/>
      <c r="H579" s="668"/>
      <c r="I579" s="745" t="s">
        <v>4717</v>
      </c>
      <c r="J579" s="670">
        <v>1000000</v>
      </c>
      <c r="K579" s="1"/>
      <c r="L579" s="1"/>
      <c r="M579" s="751"/>
    </row>
    <row r="580" spans="4:13" x14ac:dyDescent="0.15">
      <c r="D580" s="4"/>
      <c r="E580" s="665"/>
      <c r="F580" s="668"/>
      <c r="G580" s="668"/>
      <c r="H580" s="668"/>
      <c r="I580" s="744" t="s">
        <v>4718</v>
      </c>
      <c r="J580" s="670">
        <v>200000</v>
      </c>
      <c r="K580" s="1"/>
      <c r="L580" s="1"/>
      <c r="M580" s="751"/>
    </row>
    <row r="581" spans="4:13" x14ac:dyDescent="0.15">
      <c r="D581" s="1"/>
      <c r="E581" s="665"/>
      <c r="F581" s="668"/>
      <c r="G581" s="668"/>
      <c r="H581" s="668"/>
      <c r="I581" s="744" t="s">
        <v>4719</v>
      </c>
      <c r="J581" s="670">
        <v>300000</v>
      </c>
      <c r="K581" s="1"/>
      <c r="L581" s="1"/>
      <c r="M581" s="751"/>
    </row>
    <row r="582" spans="4:13" x14ac:dyDescent="0.15">
      <c r="D582" s="1"/>
      <c r="E582" s="1"/>
      <c r="F582" s="668"/>
      <c r="G582" s="668"/>
      <c r="H582" s="668"/>
      <c r="I582" s="745" t="s">
        <v>4720</v>
      </c>
      <c r="J582" s="670">
        <v>300000</v>
      </c>
      <c r="K582" s="1"/>
      <c r="L582" s="1"/>
      <c r="M582" s="751"/>
    </row>
    <row r="583" spans="4:13" x14ac:dyDescent="0.15">
      <c r="D583" s="1"/>
      <c r="E583" s="1"/>
      <c r="F583" s="668"/>
      <c r="G583" s="668"/>
      <c r="H583" s="668"/>
      <c r="I583" s="744"/>
      <c r="J583" s="746">
        <v>1800000</v>
      </c>
      <c r="K583" s="1"/>
      <c r="L583" s="1"/>
      <c r="M583" s="751"/>
    </row>
    <row r="584" spans="4:13" x14ac:dyDescent="0.15">
      <c r="D584" s="1"/>
      <c r="E584" s="1"/>
      <c r="F584" s="668"/>
      <c r="G584" s="668"/>
      <c r="H584" s="668"/>
      <c r="I584" s="745" t="s">
        <v>4585</v>
      </c>
      <c r="J584" s="670">
        <v>2800000</v>
      </c>
      <c r="K584" s="1"/>
      <c r="L584" s="1"/>
      <c r="M584" s="751"/>
    </row>
    <row r="585" spans="4:13" x14ac:dyDescent="0.15">
      <c r="D585" s="4"/>
      <c r="E585" s="1"/>
      <c r="F585" s="668"/>
      <c r="G585" s="668"/>
      <c r="H585" s="668"/>
      <c r="I585" s="745" t="s">
        <v>541</v>
      </c>
      <c r="J585" s="670">
        <v>920000</v>
      </c>
      <c r="K585" s="1"/>
      <c r="L585" s="1"/>
      <c r="M585" s="751"/>
    </row>
    <row r="586" spans="4:13" x14ac:dyDescent="0.15">
      <c r="D586" s="4"/>
      <c r="E586" s="674"/>
      <c r="F586" s="668"/>
      <c r="G586" s="668"/>
      <c r="H586" s="668"/>
      <c r="I586" s="745" t="s">
        <v>4297</v>
      </c>
      <c r="J586" s="670">
        <v>5000000</v>
      </c>
      <c r="K586" s="1"/>
      <c r="L586" s="1"/>
      <c r="M586" s="751"/>
    </row>
    <row r="587" spans="4:13" x14ac:dyDescent="0.15">
      <c r="D587" s="1"/>
      <c r="E587" s="1"/>
      <c r="F587" s="668"/>
      <c r="G587" s="668"/>
      <c r="H587" s="668"/>
      <c r="I587" s="745" t="s">
        <v>4721</v>
      </c>
      <c r="J587" s="670">
        <v>1800000</v>
      </c>
      <c r="K587" s="1"/>
      <c r="L587" s="1"/>
      <c r="M587" s="751"/>
    </row>
    <row r="588" spans="4:13" x14ac:dyDescent="0.15">
      <c r="D588" s="1"/>
      <c r="E588" s="1"/>
      <c r="F588" s="668"/>
      <c r="G588" s="668" t="s">
        <v>3396</v>
      </c>
      <c r="H588" s="668" t="s">
        <v>3396</v>
      </c>
      <c r="I588" s="744"/>
      <c r="J588" s="746">
        <v>10520000</v>
      </c>
      <c r="K588" s="1"/>
      <c r="L588" s="1"/>
      <c r="M588" s="751"/>
    </row>
    <row r="589" spans="4:13" x14ac:dyDescent="0.15">
      <c r="D589" s="1"/>
      <c r="E589" s="1"/>
      <c r="F589" s="668"/>
      <c r="G589" s="668"/>
      <c r="H589" s="668"/>
      <c r="I589" s="668"/>
      <c r="J589" s="670"/>
      <c r="K589" s="1"/>
      <c r="L589" s="1"/>
      <c r="M589" s="751"/>
    </row>
    <row r="590" spans="4:13" x14ac:dyDescent="0.15">
      <c r="D590" s="1"/>
      <c r="E590" s="1"/>
      <c r="F590" s="668"/>
      <c r="G590" s="668"/>
      <c r="H590" s="668"/>
      <c r="I590" s="744" t="s">
        <v>4722</v>
      </c>
      <c r="J590" s="746">
        <v>49581480</v>
      </c>
      <c r="K590" s="1"/>
    </row>
    <row r="591" spans="4:13" x14ac:dyDescent="0.15">
      <c r="D591" s="1"/>
      <c r="E591" s="1"/>
      <c r="F591" s="668"/>
      <c r="G591" s="668"/>
      <c r="H591" s="668"/>
      <c r="I591" s="668" t="s">
        <v>4723</v>
      </c>
      <c r="J591" s="670"/>
      <c r="K591" s="1"/>
    </row>
    <row r="592" spans="4:13" x14ac:dyDescent="0.15">
      <c r="F592" s="668"/>
      <c r="G592" s="668"/>
      <c r="H592" s="668"/>
      <c r="I592" s="668"/>
      <c r="J592" s="1"/>
      <c r="K592" s="1"/>
    </row>
    <row r="593" spans="6:11" x14ac:dyDescent="0.15">
      <c r="F593" s="668"/>
      <c r="G593" s="668"/>
      <c r="H593" s="668"/>
      <c r="I593" s="668"/>
      <c r="J593" s="670">
        <v>65380000</v>
      </c>
      <c r="K593" s="1"/>
    </row>
    <row r="594" spans="6:11" x14ac:dyDescent="0.15">
      <c r="F594" s="668"/>
      <c r="G594" s="668"/>
      <c r="H594" s="668"/>
      <c r="I594" s="668"/>
      <c r="J594" s="670">
        <v>-10520000</v>
      </c>
      <c r="K594" s="1"/>
    </row>
    <row r="595" spans="6:11" x14ac:dyDescent="0.15">
      <c r="F595" s="668"/>
      <c r="G595" s="668"/>
      <c r="H595" s="668"/>
      <c r="I595" s="1"/>
      <c r="J595" s="670">
        <v>-1800000</v>
      </c>
      <c r="K595" s="1"/>
    </row>
    <row r="596" spans="6:11" x14ac:dyDescent="0.15">
      <c r="F596" s="668"/>
      <c r="G596" s="668"/>
      <c r="H596" s="668"/>
      <c r="I596" s="1"/>
      <c r="J596" s="670">
        <v>53060000</v>
      </c>
      <c r="K596" s="1"/>
    </row>
    <row r="597" spans="6:11" x14ac:dyDescent="0.15">
      <c r="F597" s="1"/>
      <c r="G597" s="1"/>
      <c r="H597" s="1"/>
      <c r="I597" s="1"/>
      <c r="J597" s="746">
        <v>49581480</v>
      </c>
      <c r="K597" s="4" t="s">
        <v>4724</v>
      </c>
    </row>
    <row r="598" spans="6:11" x14ac:dyDescent="0.15">
      <c r="F598" s="1"/>
      <c r="G598" s="1"/>
      <c r="H598" s="1"/>
      <c r="I598" s="1"/>
      <c r="J598" s="747">
        <v>3478520</v>
      </c>
      <c r="K598" s="1" t="s">
        <v>4083</v>
      </c>
    </row>
    <row r="599" spans="6:11" x14ac:dyDescent="0.15">
      <c r="F599" s="1"/>
      <c r="G599" s="1"/>
      <c r="H599" s="1"/>
    </row>
    <row r="600" spans="6:11" x14ac:dyDescent="0.15">
      <c r="F600" s="1"/>
      <c r="G600" s="1"/>
      <c r="H600" s="1"/>
      <c r="I600" s="1"/>
      <c r="J600" s="670">
        <v>5000000</v>
      </c>
      <c r="K600" s="4" t="s">
        <v>4725</v>
      </c>
    </row>
    <row r="602" spans="6:11" x14ac:dyDescent="0.15">
      <c r="F602" s="1"/>
      <c r="G602" s="1"/>
      <c r="H602" s="1"/>
    </row>
  </sheetData>
  <sortState xmlns:xlrd2="http://schemas.microsoft.com/office/spreadsheetml/2017/richdata2" ref="A1:Q505">
    <sortCondition ref="C1:C505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412"/>
  <sheetViews>
    <sheetView topLeftCell="J19" workbookViewId="0">
      <selection activeCell="N41" sqref="N41"/>
    </sheetView>
  </sheetViews>
  <sheetFormatPr defaultRowHeight="14.25" x14ac:dyDescent="0.15"/>
  <cols>
    <col min="2" max="2" width="16.01953125" style="698" customWidth="1"/>
    <col min="4" max="4" width="16.95703125" style="685" customWidth="1"/>
    <col min="5" max="5" width="16.01953125" customWidth="1"/>
    <col min="6" max="6" width="19.99609375" customWidth="1"/>
    <col min="8" max="8" width="21.046875" customWidth="1"/>
    <col min="9" max="9" width="25.0234375" customWidth="1"/>
    <col min="10" max="10" width="12.98046875" customWidth="1"/>
    <col min="11" max="11" width="32.04296875" customWidth="1"/>
    <col min="12" max="13" width="14.03125" customWidth="1"/>
    <col min="14" max="14" width="32.04296875" customWidth="1"/>
    <col min="16" max="16" width="25.9609375" customWidth="1"/>
  </cols>
  <sheetData>
    <row r="1" spans="2:16" x14ac:dyDescent="0.15">
      <c r="I1" s="1"/>
      <c r="K1" s="1"/>
      <c r="N1" s="1"/>
    </row>
    <row r="2" spans="2:16" ht="15" x14ac:dyDescent="0.15">
      <c r="B2" s="700" t="s">
        <v>4726</v>
      </c>
      <c r="D2" s="701" t="s">
        <v>4727</v>
      </c>
      <c r="E2" s="702" t="s">
        <v>3236</v>
      </c>
      <c r="F2" s="701" t="s">
        <v>3591</v>
      </c>
      <c r="H2" s="708" t="s">
        <v>4303</v>
      </c>
      <c r="I2" s="708"/>
      <c r="J2" s="708" t="s">
        <v>3223</v>
      </c>
      <c r="K2" s="708"/>
      <c r="L2" s="708" t="s">
        <v>4728</v>
      </c>
      <c r="M2" s="708" t="s">
        <v>3227</v>
      </c>
      <c r="N2" s="708"/>
      <c r="O2" s="708" t="s">
        <v>4729</v>
      </c>
      <c r="P2" s="685"/>
    </row>
    <row r="3" spans="2:16" ht="15" x14ac:dyDescent="0.15">
      <c r="B3" s="390" t="s">
        <v>3244</v>
      </c>
      <c r="D3" s="705" t="s">
        <v>4355</v>
      </c>
      <c r="E3" s="706" t="s">
        <v>4730</v>
      </c>
      <c r="F3" s="1"/>
      <c r="H3" s="709" t="s">
        <v>2023</v>
      </c>
      <c r="I3" s="709"/>
      <c r="J3" s="709" t="s">
        <v>3254</v>
      </c>
      <c r="K3" s="709"/>
      <c r="L3" s="709" t="s">
        <v>2825</v>
      </c>
      <c r="M3" s="709" t="s">
        <v>1450</v>
      </c>
      <c r="N3" s="709"/>
      <c r="O3" s="709" t="s">
        <v>3284</v>
      </c>
      <c r="P3" s="685"/>
    </row>
    <row r="4" spans="2:16" ht="15" x14ac:dyDescent="0.15">
      <c r="B4" s="390" t="s">
        <v>2504</v>
      </c>
      <c r="D4" s="699" t="s">
        <v>4603</v>
      </c>
      <c r="E4" s="1" t="s">
        <v>4083</v>
      </c>
      <c r="F4" s="1"/>
      <c r="H4" s="709" t="s">
        <v>433</v>
      </c>
      <c r="I4" s="709"/>
      <c r="J4" s="709" t="s">
        <v>1735</v>
      </c>
      <c r="K4" s="709"/>
      <c r="L4" s="709" t="s">
        <v>3353</v>
      </c>
      <c r="M4" s="709" t="s">
        <v>1526</v>
      </c>
      <c r="N4" s="709"/>
      <c r="O4" s="709" t="s">
        <v>441</v>
      </c>
      <c r="P4" s="685"/>
    </row>
    <row r="5" spans="2:16" ht="15" x14ac:dyDescent="0.15">
      <c r="B5" s="686" t="s">
        <v>2013</v>
      </c>
      <c r="D5" s="265" t="s">
        <v>3401</v>
      </c>
      <c r="E5" s="1"/>
      <c r="F5" s="1" t="s">
        <v>4730</v>
      </c>
      <c r="H5" s="709" t="s">
        <v>4390</v>
      </c>
      <c r="I5" s="709"/>
      <c r="J5" s="709" t="s">
        <v>3416</v>
      </c>
      <c r="K5" s="709"/>
      <c r="L5" s="709" t="s">
        <v>2882</v>
      </c>
      <c r="M5" s="709" t="s">
        <v>3446</v>
      </c>
      <c r="N5" s="709"/>
      <c r="O5" s="709" t="s">
        <v>444</v>
      </c>
      <c r="P5" s="685"/>
    </row>
    <row r="6" spans="2:16" ht="15" x14ac:dyDescent="0.15">
      <c r="B6" s="686" t="s">
        <v>2015</v>
      </c>
      <c r="D6" s="699" t="s">
        <v>3549</v>
      </c>
      <c r="E6" s="1" t="s">
        <v>4083</v>
      </c>
      <c r="F6" s="1"/>
      <c r="H6" s="709" t="s">
        <v>1857</v>
      </c>
      <c r="I6" s="709"/>
      <c r="J6" s="709" t="s">
        <v>3314</v>
      </c>
      <c r="K6" s="709"/>
      <c r="L6" s="709" t="s">
        <v>4322</v>
      </c>
      <c r="M6" s="710"/>
      <c r="N6" s="710"/>
      <c r="O6" s="709" t="s">
        <v>3446</v>
      </c>
      <c r="P6" s="685"/>
    </row>
    <row r="7" spans="2:16" ht="15" x14ac:dyDescent="0.15">
      <c r="B7" s="390" t="s">
        <v>3401</v>
      </c>
      <c r="D7" s="703" t="s">
        <v>2825</v>
      </c>
      <c r="E7" s="704"/>
      <c r="F7" s="704"/>
      <c r="H7" s="709" t="s">
        <v>2944</v>
      </c>
      <c r="I7" s="709"/>
      <c r="J7" s="709" t="s">
        <v>1737</v>
      </c>
      <c r="K7" s="709"/>
      <c r="L7" s="709" t="s">
        <v>2893</v>
      </c>
      <c r="M7" s="710"/>
      <c r="N7" s="710"/>
      <c r="O7" s="709" t="s">
        <v>3372</v>
      </c>
      <c r="P7" s="685"/>
    </row>
    <row r="8" spans="2:16" ht="15" x14ac:dyDescent="0.15">
      <c r="B8" s="686" t="s">
        <v>2825</v>
      </c>
      <c r="D8" s="265" t="s">
        <v>3410</v>
      </c>
      <c r="E8" s="1"/>
      <c r="F8" s="1" t="s">
        <v>4730</v>
      </c>
      <c r="H8" s="709" t="s">
        <v>3879</v>
      </c>
      <c r="I8" s="709"/>
      <c r="J8" s="709" t="s">
        <v>1739</v>
      </c>
      <c r="K8" s="709"/>
      <c r="L8" s="709" t="s">
        <v>3365</v>
      </c>
      <c r="M8" s="710"/>
      <c r="N8" s="710"/>
      <c r="O8" s="709" t="s">
        <v>3261</v>
      </c>
      <c r="P8" s="685"/>
    </row>
    <row r="9" spans="2:16" ht="15" x14ac:dyDescent="0.15">
      <c r="B9" s="687" t="s">
        <v>3371</v>
      </c>
      <c r="D9" s="703" t="s">
        <v>3254</v>
      </c>
      <c r="E9" s="704"/>
      <c r="F9" s="704" t="s">
        <v>4730</v>
      </c>
      <c r="H9" s="709" t="s">
        <v>2221</v>
      </c>
      <c r="I9" s="709"/>
      <c r="J9" s="709" t="s">
        <v>3378</v>
      </c>
      <c r="K9" s="709"/>
      <c r="L9" s="709" t="s">
        <v>2472</v>
      </c>
      <c r="M9" s="710"/>
      <c r="N9" s="710"/>
      <c r="O9" s="709" t="s">
        <v>3390</v>
      </c>
      <c r="P9" s="685"/>
    </row>
    <row r="10" spans="2:16" ht="15" x14ac:dyDescent="0.15">
      <c r="B10" s="688" t="s">
        <v>3468</v>
      </c>
      <c r="D10" s="703" t="s">
        <v>1735</v>
      </c>
      <c r="E10" s="704"/>
      <c r="F10" s="704" t="s">
        <v>4730</v>
      </c>
      <c r="H10" s="709" t="s">
        <v>4591</v>
      </c>
      <c r="I10" s="709"/>
      <c r="J10" s="709" t="s">
        <v>3288</v>
      </c>
      <c r="K10" s="709"/>
      <c r="L10" s="709" t="s">
        <v>55</v>
      </c>
      <c r="M10" s="710"/>
      <c r="N10" s="710"/>
      <c r="O10" s="709" t="s">
        <v>1152</v>
      </c>
      <c r="P10" s="685"/>
    </row>
    <row r="11" spans="2:16" ht="15" x14ac:dyDescent="0.15">
      <c r="B11" s="686" t="s">
        <v>2017</v>
      </c>
      <c r="D11" s="265" t="s">
        <v>652</v>
      </c>
      <c r="E11" s="1"/>
      <c r="F11" s="1" t="s">
        <v>4730</v>
      </c>
      <c r="H11" s="709" t="s">
        <v>4368</v>
      </c>
      <c r="I11" s="709"/>
      <c r="J11" s="709" t="s">
        <v>3304</v>
      </c>
      <c r="K11" s="709"/>
      <c r="L11" s="710"/>
      <c r="M11" s="710"/>
      <c r="N11" s="710"/>
      <c r="O11" s="709" t="s">
        <v>3336</v>
      </c>
      <c r="P11" s="685"/>
    </row>
    <row r="12" spans="2:16" ht="15" x14ac:dyDescent="0.15">
      <c r="B12" s="390" t="s">
        <v>3410</v>
      </c>
      <c r="D12" s="703" t="s">
        <v>2023</v>
      </c>
      <c r="E12" s="704"/>
      <c r="F12" s="704" t="s">
        <v>4730</v>
      </c>
      <c r="H12" s="709" t="s">
        <v>2593</v>
      </c>
      <c r="I12" s="709"/>
      <c r="J12" s="709" t="s">
        <v>3486</v>
      </c>
      <c r="K12" s="709"/>
      <c r="L12" s="710"/>
      <c r="M12" s="710"/>
      <c r="N12" s="710"/>
      <c r="O12" s="709" t="s">
        <v>1546</v>
      </c>
      <c r="P12" s="685"/>
    </row>
    <row r="13" spans="2:16" ht="15" x14ac:dyDescent="0.15">
      <c r="B13" s="688" t="s">
        <v>3254</v>
      </c>
      <c r="D13" s="265" t="s">
        <v>1421</v>
      </c>
      <c r="E13" s="1"/>
      <c r="F13" s="1" t="s">
        <v>4730</v>
      </c>
      <c r="H13" s="709" t="s">
        <v>2278</v>
      </c>
      <c r="I13" s="709"/>
      <c r="J13" s="710"/>
      <c r="K13" s="710"/>
      <c r="L13" s="710"/>
      <c r="M13" s="710"/>
      <c r="N13" s="710"/>
      <c r="O13" s="709" t="s">
        <v>3367</v>
      </c>
      <c r="P13" s="685"/>
    </row>
    <row r="14" spans="2:16" ht="15" x14ac:dyDescent="0.15">
      <c r="B14" s="688" t="s">
        <v>1735</v>
      </c>
      <c r="D14" s="703" t="s">
        <v>4661</v>
      </c>
      <c r="E14" s="704" t="s">
        <v>4730</v>
      </c>
      <c r="F14" s="704"/>
      <c r="H14" s="709" t="s">
        <v>3352</v>
      </c>
      <c r="I14" s="709"/>
      <c r="J14" s="710"/>
      <c r="K14" s="710"/>
      <c r="L14" s="710"/>
      <c r="M14" s="710"/>
      <c r="N14" s="710"/>
      <c r="O14" s="709" t="s">
        <v>4448</v>
      </c>
      <c r="P14" s="685"/>
    </row>
    <row r="15" spans="2:16" ht="15" x14ac:dyDescent="0.15">
      <c r="B15" s="390" t="s">
        <v>1421</v>
      </c>
      <c r="D15" s="699" t="s">
        <v>3266</v>
      </c>
      <c r="E15" s="1" t="s">
        <v>4083</v>
      </c>
      <c r="F15" s="1"/>
      <c r="H15" s="709" t="s">
        <v>2344</v>
      </c>
      <c r="I15" s="709"/>
      <c r="J15" s="710"/>
      <c r="K15" s="710"/>
      <c r="L15" s="710"/>
      <c r="M15" s="710"/>
      <c r="N15" s="710"/>
      <c r="O15" s="709" t="s">
        <v>3272</v>
      </c>
      <c r="P15" s="685"/>
    </row>
    <row r="16" spans="2:16" ht="15" x14ac:dyDescent="0.15">
      <c r="B16" s="686" t="s">
        <v>2025</v>
      </c>
      <c r="D16" s="705" t="s">
        <v>2511</v>
      </c>
      <c r="E16" s="706" t="s">
        <v>4730</v>
      </c>
      <c r="F16" s="1"/>
      <c r="H16" s="709" t="s">
        <v>45</v>
      </c>
      <c r="I16" s="709"/>
      <c r="J16" s="710"/>
      <c r="K16" s="710"/>
      <c r="L16" s="710"/>
      <c r="M16" s="710"/>
      <c r="N16" s="710"/>
      <c r="O16" s="709" t="s">
        <v>511</v>
      </c>
      <c r="P16" s="685"/>
    </row>
    <row r="17" spans="2:16" ht="15" x14ac:dyDescent="0.15">
      <c r="B17" s="686" t="s">
        <v>2027</v>
      </c>
      <c r="D17" s="699" t="s">
        <v>3547</v>
      </c>
      <c r="E17" s="1" t="s">
        <v>4083</v>
      </c>
      <c r="F17" s="1"/>
      <c r="H17" s="709" t="s">
        <v>3578</v>
      </c>
      <c r="I17" s="709"/>
      <c r="J17" s="710"/>
      <c r="K17" s="710"/>
      <c r="L17" s="710"/>
      <c r="M17" s="710"/>
      <c r="N17" s="710"/>
      <c r="O17" s="709" t="s">
        <v>4407</v>
      </c>
      <c r="P17" s="685"/>
    </row>
    <row r="18" spans="2:16" ht="15" x14ac:dyDescent="0.15">
      <c r="B18" s="686" t="s">
        <v>3277</v>
      </c>
      <c r="D18" s="705" t="s">
        <v>4395</v>
      </c>
      <c r="E18" s="706" t="s">
        <v>4730</v>
      </c>
      <c r="F18" s="1"/>
      <c r="H18" s="709" t="s">
        <v>2418</v>
      </c>
      <c r="I18" s="709"/>
      <c r="J18" s="710"/>
      <c r="K18" s="710"/>
      <c r="L18" s="710"/>
      <c r="M18" s="710"/>
      <c r="N18" s="710"/>
      <c r="O18" s="709" t="s">
        <v>1200</v>
      </c>
      <c r="P18" s="685"/>
    </row>
    <row r="19" spans="2:16" ht="15" x14ac:dyDescent="0.15">
      <c r="B19" s="687" t="s">
        <v>3284</v>
      </c>
      <c r="D19" s="703" t="s">
        <v>3284</v>
      </c>
      <c r="E19" s="704" t="s">
        <v>4730</v>
      </c>
      <c r="F19" s="704"/>
      <c r="H19" s="710"/>
      <c r="I19" s="710"/>
      <c r="J19" s="713" t="s">
        <v>4731</v>
      </c>
      <c r="K19" s="713"/>
      <c r="L19" s="710"/>
      <c r="M19" s="710"/>
      <c r="N19" s="710"/>
      <c r="O19" s="710"/>
      <c r="P19" s="685"/>
    </row>
    <row r="20" spans="2:16" ht="15" x14ac:dyDescent="0.15">
      <c r="B20" s="687" t="s">
        <v>4214</v>
      </c>
      <c r="D20" s="699" t="s">
        <v>4519</v>
      </c>
      <c r="E20" s="1" t="s">
        <v>4083</v>
      </c>
      <c r="F20" s="1"/>
    </row>
    <row r="21" spans="2:16" ht="15" x14ac:dyDescent="0.15">
      <c r="B21" s="687"/>
      <c r="D21" s="265" t="s">
        <v>3861</v>
      </c>
      <c r="F21" s="1" t="s">
        <v>4730</v>
      </c>
      <c r="I21" s="1"/>
      <c r="K21" s="1"/>
      <c r="N21" s="1"/>
      <c r="P21" s="720"/>
    </row>
    <row r="22" spans="2:16" ht="15" x14ac:dyDescent="0.15">
      <c r="B22" s="686" t="s">
        <v>2038</v>
      </c>
      <c r="D22" s="265" t="s">
        <v>2038</v>
      </c>
      <c r="E22" s="1"/>
      <c r="F22" s="1" t="s">
        <v>4730</v>
      </c>
      <c r="H22" s="701" t="s">
        <v>4303</v>
      </c>
      <c r="I22" s="701"/>
      <c r="J22" s="701" t="s">
        <v>4732</v>
      </c>
      <c r="K22" s="701"/>
      <c r="L22" s="701" t="s">
        <v>4728</v>
      </c>
      <c r="M22" s="701" t="s">
        <v>4296</v>
      </c>
      <c r="N22" s="701"/>
      <c r="O22" s="701" t="s">
        <v>4733</v>
      </c>
      <c r="P22" s="721"/>
    </row>
    <row r="23" spans="2:16" ht="15" x14ac:dyDescent="0.15">
      <c r="B23" s="686" t="s">
        <v>2043</v>
      </c>
      <c r="D23" s="265" t="s">
        <v>2043</v>
      </c>
      <c r="E23" s="1"/>
      <c r="F23" s="1" t="s">
        <v>4730</v>
      </c>
      <c r="H23" s="711" t="s">
        <v>2593</v>
      </c>
      <c r="I23" s="715" t="s">
        <v>4734</v>
      </c>
      <c r="J23" s="711" t="s">
        <v>455</v>
      </c>
      <c r="K23" s="523" t="s">
        <v>4735</v>
      </c>
      <c r="L23" s="711" t="s">
        <v>2905</v>
      </c>
      <c r="M23" s="265" t="s">
        <v>386</v>
      </c>
      <c r="N23" s="715" t="s">
        <v>387</v>
      </c>
      <c r="O23" s="711"/>
      <c r="P23" s="721"/>
    </row>
    <row r="24" spans="2:16" ht="15" x14ac:dyDescent="0.15">
      <c r="B24" s="687" t="s">
        <v>3293</v>
      </c>
      <c r="D24" s="705" t="s">
        <v>3293</v>
      </c>
      <c r="E24" s="706"/>
      <c r="F24" s="1" t="s">
        <v>4730</v>
      </c>
      <c r="H24" s="711" t="s">
        <v>3386</v>
      </c>
      <c r="I24" s="715" t="s">
        <v>4736</v>
      </c>
      <c r="J24" s="711" t="s">
        <v>1622</v>
      </c>
      <c r="K24" s="718" t="s">
        <v>1624</v>
      </c>
      <c r="L24" s="712"/>
      <c r="M24" s="265" t="s">
        <v>3379</v>
      </c>
      <c r="N24" s="1" t="s">
        <v>177</v>
      </c>
      <c r="O24" s="711" t="s">
        <v>3564</v>
      </c>
      <c r="P24" s="722" t="s">
        <v>4737</v>
      </c>
    </row>
    <row r="25" spans="2:16" ht="15" x14ac:dyDescent="0.15">
      <c r="B25" s="689" t="s">
        <v>3435</v>
      </c>
      <c r="D25" s="705" t="s">
        <v>3564</v>
      </c>
      <c r="E25" s="706" t="s">
        <v>4730</v>
      </c>
      <c r="F25" s="1"/>
      <c r="H25" s="711" t="s">
        <v>3396</v>
      </c>
      <c r="I25" s="711"/>
      <c r="J25" s="711" t="s">
        <v>3308</v>
      </c>
      <c r="K25" s="711"/>
      <c r="L25" s="712"/>
      <c r="M25" s="265" t="s">
        <v>3256</v>
      </c>
      <c r="N25" s="717" t="s">
        <v>185</v>
      </c>
      <c r="O25" s="711" t="s">
        <v>4405</v>
      </c>
      <c r="P25" s="723" t="s">
        <v>4738</v>
      </c>
    </row>
    <row r="26" spans="2:16" ht="15" x14ac:dyDescent="0.15">
      <c r="B26" s="687" t="s">
        <v>3408</v>
      </c>
      <c r="D26" s="705" t="s">
        <v>3386</v>
      </c>
      <c r="E26" s="706" t="s">
        <v>4730</v>
      </c>
      <c r="F26" s="1"/>
      <c r="H26" s="711" t="s">
        <v>2112</v>
      </c>
      <c r="I26" s="715" t="s">
        <v>4739</v>
      </c>
      <c r="J26" s="711" t="s">
        <v>1650</v>
      </c>
      <c r="K26" s="523" t="s">
        <v>4740</v>
      </c>
      <c r="L26" s="712"/>
      <c r="M26" s="265" t="s">
        <v>3497</v>
      </c>
      <c r="N26" s="1" t="s">
        <v>259</v>
      </c>
      <c r="O26" s="711" t="s">
        <v>1540</v>
      </c>
      <c r="P26" s="721"/>
    </row>
    <row r="27" spans="2:16" ht="15" x14ac:dyDescent="0.15">
      <c r="B27" s="686" t="s">
        <v>3386</v>
      </c>
      <c r="D27" s="265" t="s">
        <v>3324</v>
      </c>
      <c r="E27" s="1"/>
      <c r="F27" s="1" t="s">
        <v>4730</v>
      </c>
      <c r="H27" s="711" t="s">
        <v>2541</v>
      </c>
      <c r="I27" s="1" t="s">
        <v>4741</v>
      </c>
      <c r="J27" s="711" t="s">
        <v>1628</v>
      </c>
      <c r="K27" s="718" t="s">
        <v>4742</v>
      </c>
      <c r="L27" s="712"/>
      <c r="M27" s="703" t="s">
        <v>3257</v>
      </c>
      <c r="N27" s="1" t="s">
        <v>4743</v>
      </c>
      <c r="O27" s="711" t="s">
        <v>4254</v>
      </c>
      <c r="P27" s="722" t="s">
        <v>4255</v>
      </c>
    </row>
    <row r="28" spans="2:16" ht="15" x14ac:dyDescent="0.15">
      <c r="B28" s="690" t="s">
        <v>3259</v>
      </c>
      <c r="D28" s="265" t="s">
        <v>3311</v>
      </c>
      <c r="E28" s="1"/>
      <c r="F28" s="1" t="s">
        <v>4730</v>
      </c>
      <c r="H28" s="711" t="s">
        <v>2551</v>
      </c>
      <c r="I28" s="1" t="s">
        <v>4744</v>
      </c>
      <c r="J28" s="711" t="s">
        <v>1613</v>
      </c>
      <c r="K28" s="718" t="s">
        <v>1615</v>
      </c>
      <c r="L28" s="712"/>
      <c r="M28" s="265" t="s">
        <v>3289</v>
      </c>
      <c r="N28" s="716" t="s">
        <v>727</v>
      </c>
      <c r="O28" s="711" t="s">
        <v>59</v>
      </c>
      <c r="P28" s="721" t="s">
        <v>60</v>
      </c>
    </row>
    <row r="29" spans="2:16" ht="15" x14ac:dyDescent="0.15">
      <c r="B29" s="597" t="s">
        <v>3861</v>
      </c>
      <c r="D29" s="265" t="s">
        <v>3404</v>
      </c>
      <c r="E29" s="1"/>
      <c r="F29" s="1" t="s">
        <v>4730</v>
      </c>
      <c r="H29" s="711" t="s">
        <v>1923</v>
      </c>
      <c r="I29" s="715" t="s">
        <v>4745</v>
      </c>
      <c r="J29" s="712"/>
      <c r="K29" s="712"/>
      <c r="L29" s="712"/>
      <c r="M29" s="265" t="s">
        <v>3316</v>
      </c>
      <c r="N29" s="715" t="s">
        <v>256</v>
      </c>
      <c r="O29" s="711" t="s">
        <v>4374</v>
      </c>
      <c r="P29" s="729" t="s">
        <v>4746</v>
      </c>
    </row>
    <row r="30" spans="2:16" ht="15" x14ac:dyDescent="0.15">
      <c r="B30" s="686" t="s">
        <v>3324</v>
      </c>
      <c r="D30" s="265" t="s">
        <v>3448</v>
      </c>
      <c r="E30" s="1"/>
      <c r="F30" s="1" t="s">
        <v>4730</v>
      </c>
      <c r="H30" s="711" t="s">
        <v>2405</v>
      </c>
      <c r="I30" s="715" t="s">
        <v>2406</v>
      </c>
      <c r="J30" s="712"/>
      <c r="K30" s="712"/>
      <c r="L30" s="712"/>
      <c r="M30" s="265" t="s">
        <v>3246</v>
      </c>
      <c r="N30" s="717" t="s">
        <v>1401</v>
      </c>
      <c r="O30" s="711" t="s">
        <v>3260</v>
      </c>
      <c r="P30" s="722" t="s">
        <v>154</v>
      </c>
    </row>
    <row r="31" spans="2:16" ht="15" x14ac:dyDescent="0.15">
      <c r="B31" s="390" t="s">
        <v>3311</v>
      </c>
      <c r="D31" s="265" t="s">
        <v>3420</v>
      </c>
      <c r="E31" s="1"/>
      <c r="F31" s="1" t="s">
        <v>4730</v>
      </c>
      <c r="H31" s="711" t="s">
        <v>4747</v>
      </c>
      <c r="I31" s="1" t="s">
        <v>4748</v>
      </c>
      <c r="J31" s="712"/>
      <c r="K31" s="712"/>
      <c r="L31" s="712"/>
      <c r="M31" s="703" t="s">
        <v>1292</v>
      </c>
      <c r="N31" s="715" t="s">
        <v>4749</v>
      </c>
      <c r="O31" s="711" t="s">
        <v>3391</v>
      </c>
      <c r="P31" s="722" t="s">
        <v>4750</v>
      </c>
    </row>
    <row r="32" spans="2:16" ht="15" x14ac:dyDescent="0.15">
      <c r="B32" s="390" t="s">
        <v>3404</v>
      </c>
      <c r="D32" s="699" t="s">
        <v>417</v>
      </c>
      <c r="E32" s="1" t="s">
        <v>4083</v>
      </c>
      <c r="F32" s="1"/>
      <c r="H32" s="711" t="s">
        <v>1857</v>
      </c>
      <c r="I32" s="715" t="s">
        <v>4751</v>
      </c>
      <c r="J32" s="712"/>
      <c r="K32" s="712"/>
      <c r="L32" s="712"/>
      <c r="M32" s="265" t="s">
        <v>62</v>
      </c>
      <c r="N32" s="715" t="s">
        <v>231</v>
      </c>
      <c r="O32" s="711" t="s">
        <v>3283</v>
      </c>
      <c r="P32" s="721"/>
    </row>
    <row r="33" spans="2:17" ht="15" x14ac:dyDescent="0.15">
      <c r="B33" s="689" t="s">
        <v>1460</v>
      </c>
      <c r="D33" s="265" t="s">
        <v>4059</v>
      </c>
      <c r="E33" s="1"/>
      <c r="F33" s="1" t="s">
        <v>4730</v>
      </c>
      <c r="H33" s="711" t="s">
        <v>2511</v>
      </c>
      <c r="I33" s="1" t="s">
        <v>4752</v>
      </c>
      <c r="J33" s="712"/>
      <c r="K33" s="712"/>
      <c r="L33" s="712"/>
      <c r="M33" s="265" t="s">
        <v>2865</v>
      </c>
      <c r="N33" s="206" t="s">
        <v>4753</v>
      </c>
      <c r="O33" s="711" t="s">
        <v>3516</v>
      </c>
      <c r="P33" s="722" t="s">
        <v>4754</v>
      </c>
    </row>
    <row r="34" spans="2:17" ht="15" x14ac:dyDescent="0.15">
      <c r="B34" s="390" t="s">
        <v>3448</v>
      </c>
      <c r="D34" s="265" t="s">
        <v>1113</v>
      </c>
      <c r="E34" s="1" t="s">
        <v>4730</v>
      </c>
      <c r="F34" s="1"/>
      <c r="H34" s="712"/>
      <c r="I34" s="712"/>
      <c r="J34" s="712"/>
      <c r="K34" s="712"/>
      <c r="L34" s="712" t="s">
        <v>3396</v>
      </c>
      <c r="M34" s="265" t="s">
        <v>3270</v>
      </c>
      <c r="N34" s="717" t="s">
        <v>706</v>
      </c>
      <c r="O34" s="711" t="s">
        <v>66</v>
      </c>
      <c r="P34" s="722" t="s">
        <v>67</v>
      </c>
      <c r="Q34" s="707" t="s">
        <v>4755</v>
      </c>
    </row>
    <row r="35" spans="2:17" ht="15" x14ac:dyDescent="0.15">
      <c r="B35" s="390" t="s">
        <v>3420</v>
      </c>
      <c r="D35" s="699" t="s">
        <v>4353</v>
      </c>
      <c r="E35" s="1" t="s">
        <v>4083</v>
      </c>
      <c r="F35" s="1"/>
      <c r="H35" s="712"/>
      <c r="I35" s="712"/>
      <c r="J35" s="712"/>
      <c r="K35" s="712"/>
      <c r="L35" s="712"/>
      <c r="M35" s="265" t="s">
        <v>3327</v>
      </c>
      <c r="N35" s="715" t="s">
        <v>195</v>
      </c>
      <c r="O35" s="711" t="s">
        <v>3242</v>
      </c>
      <c r="P35" s="722" t="s">
        <v>193</v>
      </c>
    </row>
    <row r="36" spans="2:17" ht="15" x14ac:dyDescent="0.15">
      <c r="B36" s="686" t="s">
        <v>3312</v>
      </c>
      <c r="D36" s="265" t="s">
        <v>1538</v>
      </c>
      <c r="E36" s="1"/>
      <c r="F36" s="1" t="s">
        <v>4730</v>
      </c>
      <c r="H36" s="712"/>
      <c r="I36" s="712"/>
      <c r="J36" s="712"/>
      <c r="K36" s="712"/>
      <c r="L36" s="712"/>
      <c r="M36" s="265" t="s">
        <v>1302</v>
      </c>
      <c r="N36" s="712"/>
      <c r="O36" s="711" t="s">
        <v>1113</v>
      </c>
      <c r="P36" s="721" t="s">
        <v>1114</v>
      </c>
      <c r="Q36" s="707" t="s">
        <v>4755</v>
      </c>
    </row>
    <row r="37" spans="2:17" ht="15" x14ac:dyDescent="0.15">
      <c r="B37" s="686" t="s">
        <v>4059</v>
      </c>
      <c r="D37" s="265" t="s">
        <v>2057</v>
      </c>
      <c r="E37" s="1"/>
      <c r="F37" s="1" t="s">
        <v>4730</v>
      </c>
      <c r="H37" s="712"/>
      <c r="I37" s="712"/>
      <c r="J37" s="712"/>
      <c r="K37" s="712"/>
      <c r="L37" s="712"/>
      <c r="M37" s="703" t="s">
        <v>511</v>
      </c>
      <c r="N37" s="712"/>
      <c r="O37" s="711" t="s">
        <v>422</v>
      </c>
      <c r="P37" s="722" t="s">
        <v>424</v>
      </c>
    </row>
    <row r="38" spans="2:17" ht="15" x14ac:dyDescent="0.15">
      <c r="B38" s="686" t="s">
        <v>3298</v>
      </c>
      <c r="D38" s="699" t="s">
        <v>4330</v>
      </c>
      <c r="E38" s="1" t="s">
        <v>4083</v>
      </c>
      <c r="F38" s="1"/>
      <c r="H38" s="712"/>
      <c r="I38" s="712"/>
      <c r="J38" s="714" t="s">
        <v>4756</v>
      </c>
      <c r="K38" s="714"/>
      <c r="L38" s="712"/>
      <c r="M38" s="712"/>
      <c r="N38" s="712"/>
      <c r="O38" s="711" t="s">
        <v>3261</v>
      </c>
      <c r="P38" s="722" t="s">
        <v>4757</v>
      </c>
    </row>
    <row r="39" spans="2:17" ht="15" x14ac:dyDescent="0.15">
      <c r="B39" s="687" t="s">
        <v>1113</v>
      </c>
      <c r="D39" s="265" t="s">
        <v>422</v>
      </c>
      <c r="E39" s="1"/>
      <c r="F39" s="1" t="s">
        <v>4730</v>
      </c>
      <c r="H39" s="712"/>
      <c r="I39" s="712"/>
      <c r="J39" s="712"/>
      <c r="K39" s="712"/>
      <c r="L39" s="712"/>
      <c r="M39" s="712"/>
      <c r="N39" s="712"/>
      <c r="O39" s="711" t="s">
        <v>3249</v>
      </c>
      <c r="P39" s="721" t="s">
        <v>4758</v>
      </c>
    </row>
    <row r="40" spans="2:17" ht="15" x14ac:dyDescent="0.15">
      <c r="B40" s="686" t="s">
        <v>1538</v>
      </c>
      <c r="D40" s="265" t="s">
        <v>2063</v>
      </c>
      <c r="E40" s="1"/>
      <c r="F40" s="1" t="s">
        <v>4730</v>
      </c>
      <c r="H40" s="712"/>
      <c r="I40" s="712"/>
      <c r="J40" s="712"/>
      <c r="K40" s="712"/>
      <c r="L40" s="712"/>
      <c r="M40" s="712"/>
      <c r="N40" s="712"/>
      <c r="O40" s="711" t="s">
        <v>3338</v>
      </c>
      <c r="P40" s="721" t="s">
        <v>4759</v>
      </c>
    </row>
    <row r="41" spans="2:17" ht="15" x14ac:dyDescent="0.15">
      <c r="B41" s="686" t="s">
        <v>2057</v>
      </c>
      <c r="D41" s="265" t="s">
        <v>2065</v>
      </c>
      <c r="E41" s="1"/>
      <c r="F41" s="1" t="s">
        <v>4730</v>
      </c>
      <c r="H41" s="712"/>
      <c r="I41" s="712"/>
      <c r="J41" s="712"/>
      <c r="K41" s="712"/>
      <c r="L41" s="712"/>
      <c r="M41" s="712"/>
      <c r="N41" s="712"/>
      <c r="O41" s="711" t="s">
        <v>3284</v>
      </c>
      <c r="P41" s="722" t="s">
        <v>4760</v>
      </c>
    </row>
    <row r="42" spans="2:17" ht="15" x14ac:dyDescent="0.15">
      <c r="B42" s="686" t="s">
        <v>1840</v>
      </c>
      <c r="D42" s="703" t="s">
        <v>3416</v>
      </c>
      <c r="E42" s="704"/>
      <c r="F42" s="704" t="s">
        <v>4730</v>
      </c>
      <c r="H42" s="712"/>
      <c r="I42" s="712"/>
      <c r="J42" s="712"/>
      <c r="K42" s="712"/>
      <c r="L42" s="712"/>
      <c r="M42" s="712"/>
      <c r="N42" s="712"/>
      <c r="O42" s="711" t="s">
        <v>1546</v>
      </c>
      <c r="P42" s="722" t="s">
        <v>4761</v>
      </c>
      <c r="Q42" s="707" t="s">
        <v>4755</v>
      </c>
    </row>
    <row r="43" spans="2:17" ht="15" x14ac:dyDescent="0.15">
      <c r="B43" s="691" t="s">
        <v>422</v>
      </c>
      <c r="D43" s="705" t="s">
        <v>4405</v>
      </c>
      <c r="E43" s="706" t="s">
        <v>4730</v>
      </c>
      <c r="F43" s="1"/>
      <c r="H43" s="712"/>
      <c r="I43" s="712"/>
      <c r="J43" s="712"/>
      <c r="K43" s="712"/>
      <c r="L43" s="712"/>
      <c r="M43" s="712"/>
      <c r="N43" s="712"/>
      <c r="O43" s="711" t="s">
        <v>3336</v>
      </c>
      <c r="P43" s="722" t="s">
        <v>4165</v>
      </c>
      <c r="Q43" s="707" t="s">
        <v>4762</v>
      </c>
    </row>
    <row r="44" spans="2:17" ht="15" x14ac:dyDescent="0.15">
      <c r="B44" s="686" t="s">
        <v>2063</v>
      </c>
      <c r="D44" s="705" t="s">
        <v>1540</v>
      </c>
      <c r="E44" s="706"/>
      <c r="F44" s="1"/>
      <c r="O44" s="705" t="s">
        <v>1152</v>
      </c>
      <c r="P44" s="721" t="s">
        <v>4763</v>
      </c>
      <c r="Q44" s="719"/>
    </row>
    <row r="45" spans="2:17" ht="15" x14ac:dyDescent="0.15">
      <c r="B45" s="686" t="s">
        <v>2065</v>
      </c>
      <c r="D45" s="703" t="s">
        <v>433</v>
      </c>
      <c r="E45" s="704"/>
      <c r="F45" s="704"/>
      <c r="P45" s="721"/>
    </row>
    <row r="46" spans="2:17" ht="15" x14ac:dyDescent="0.15">
      <c r="B46" s="688" t="s">
        <v>3416</v>
      </c>
      <c r="D46" s="265" t="s">
        <v>3351</v>
      </c>
      <c r="E46" s="1"/>
      <c r="F46" s="1" t="s">
        <v>4730</v>
      </c>
      <c r="H46" s="4" t="s">
        <v>4764</v>
      </c>
      <c r="I46" s="4"/>
      <c r="J46" s="1">
        <v>161</v>
      </c>
    </row>
    <row r="47" spans="2:17" ht="15" x14ac:dyDescent="0.15">
      <c r="B47" s="686" t="s">
        <v>2072</v>
      </c>
      <c r="D47" s="265" t="s">
        <v>3285</v>
      </c>
      <c r="E47" s="1"/>
      <c r="F47" s="1"/>
      <c r="H47" s="1" t="s">
        <v>4765</v>
      </c>
      <c r="J47" s="1">
        <v>52</v>
      </c>
    </row>
    <row r="48" spans="2:17" ht="15" x14ac:dyDescent="0.15">
      <c r="B48" s="686" t="s">
        <v>2074</v>
      </c>
      <c r="D48" s="265" t="s">
        <v>4332</v>
      </c>
      <c r="E48" s="1"/>
      <c r="F48" s="1"/>
      <c r="H48" s="4" t="s">
        <v>265</v>
      </c>
      <c r="I48" s="4"/>
      <c r="J48" s="1">
        <v>40</v>
      </c>
    </row>
    <row r="49" spans="2:12" ht="15" x14ac:dyDescent="0.15">
      <c r="B49" s="687" t="s">
        <v>1540</v>
      </c>
      <c r="D49" s="265" t="s">
        <v>2083</v>
      </c>
      <c r="E49" s="1"/>
      <c r="F49" s="1" t="s">
        <v>4730</v>
      </c>
      <c r="H49" s="1" t="s">
        <v>4766</v>
      </c>
      <c r="J49" s="1">
        <v>45</v>
      </c>
    </row>
    <row r="50" spans="2:12" ht="15" x14ac:dyDescent="0.15">
      <c r="B50" s="686" t="s">
        <v>3342</v>
      </c>
      <c r="D50" s="265" t="s">
        <v>3530</v>
      </c>
      <c r="E50" s="1"/>
      <c r="F50" s="1" t="s">
        <v>4730</v>
      </c>
      <c r="J50" s="1">
        <f>SUM(J46:J49)</f>
        <v>298</v>
      </c>
    </row>
    <row r="51" spans="2:12" ht="15" x14ac:dyDescent="0.15">
      <c r="B51" s="688" t="s">
        <v>433</v>
      </c>
      <c r="D51" s="705" t="s">
        <v>1</v>
      </c>
      <c r="E51" s="706" t="s">
        <v>4730</v>
      </c>
      <c r="F51" s="1" t="s">
        <v>4730</v>
      </c>
    </row>
    <row r="52" spans="2:12" ht="15" x14ac:dyDescent="0.15">
      <c r="B52" s="390" t="s">
        <v>3351</v>
      </c>
      <c r="D52" s="699" t="s">
        <v>4507</v>
      </c>
      <c r="E52" s="1" t="s">
        <v>4083</v>
      </c>
      <c r="F52" s="1"/>
      <c r="H52" s="4" t="s">
        <v>4369</v>
      </c>
      <c r="I52" s="4"/>
    </row>
    <row r="53" spans="2:12" ht="15" x14ac:dyDescent="0.15">
      <c r="B53" s="689" t="s">
        <v>1464</v>
      </c>
      <c r="D53" s="699" t="s">
        <v>4340</v>
      </c>
      <c r="E53" s="1" t="s">
        <v>4083</v>
      </c>
      <c r="F53" s="1"/>
      <c r="H53" s="1" t="s">
        <v>4767</v>
      </c>
      <c r="L53" s="4" t="s">
        <v>3254</v>
      </c>
    </row>
    <row r="54" spans="2:12" ht="15" x14ac:dyDescent="0.15">
      <c r="B54" s="390" t="s">
        <v>3377</v>
      </c>
      <c r="D54" s="265" t="s">
        <v>1266</v>
      </c>
      <c r="E54" s="1"/>
      <c r="F54" s="1" t="s">
        <v>4730</v>
      </c>
      <c r="H54" s="1" t="s">
        <v>4768</v>
      </c>
      <c r="L54" s="4" t="s">
        <v>2065</v>
      </c>
    </row>
    <row r="55" spans="2:12" ht="15" x14ac:dyDescent="0.15">
      <c r="B55" s="686" t="s">
        <v>3285</v>
      </c>
      <c r="D55" s="265" t="s">
        <v>2093</v>
      </c>
      <c r="E55" s="1"/>
      <c r="F55" s="1" t="s">
        <v>4730</v>
      </c>
      <c r="H55" s="1" t="s">
        <v>4769</v>
      </c>
      <c r="L55" s="4" t="s">
        <v>4770</v>
      </c>
    </row>
    <row r="56" spans="2:12" ht="15" x14ac:dyDescent="0.15">
      <c r="B56" s="686" t="s">
        <v>2078</v>
      </c>
      <c r="D56" s="705" t="s">
        <v>4254</v>
      </c>
      <c r="E56" s="706"/>
      <c r="H56" s="1" t="s">
        <v>4771</v>
      </c>
      <c r="L56" s="4" t="s">
        <v>422</v>
      </c>
    </row>
    <row r="57" spans="2:12" ht="15" x14ac:dyDescent="0.15">
      <c r="B57" s="687" t="s">
        <v>3271</v>
      </c>
      <c r="D57" s="265" t="s">
        <v>1272</v>
      </c>
      <c r="F57" s="1" t="s">
        <v>4730</v>
      </c>
      <c r="H57" s="1" t="s">
        <v>4772</v>
      </c>
      <c r="L57" s="4" t="s">
        <v>687</v>
      </c>
    </row>
    <row r="58" spans="2:12" ht="15" x14ac:dyDescent="0.15">
      <c r="B58" s="687" t="s">
        <v>1542</v>
      </c>
      <c r="D58" s="265" t="s">
        <v>5</v>
      </c>
      <c r="F58" s="1" t="s">
        <v>4730</v>
      </c>
      <c r="H58" s="4" t="s">
        <v>4773</v>
      </c>
      <c r="I58" s="4"/>
      <c r="L58" s="707" t="s">
        <v>3348</v>
      </c>
    </row>
    <row r="59" spans="2:12" ht="15" x14ac:dyDescent="0.15">
      <c r="B59" s="390" t="s">
        <v>3550</v>
      </c>
      <c r="D59" s="265" t="s">
        <v>3385</v>
      </c>
      <c r="F59" s="1" t="s">
        <v>4730</v>
      </c>
      <c r="H59" s="1" t="s">
        <v>4774</v>
      </c>
      <c r="L59" s="4" t="s">
        <v>3261</v>
      </c>
    </row>
    <row r="60" spans="2:12" ht="15" x14ac:dyDescent="0.15">
      <c r="B60" s="686" t="s">
        <v>2083</v>
      </c>
      <c r="D60" s="703" t="s">
        <v>441</v>
      </c>
      <c r="E60" s="704"/>
      <c r="F60" s="704" t="s">
        <v>4730</v>
      </c>
      <c r="H60" s="1" t="s">
        <v>4775</v>
      </c>
      <c r="L60" s="707" t="s">
        <v>1200</v>
      </c>
    </row>
    <row r="61" spans="2:12" ht="15" x14ac:dyDescent="0.15">
      <c r="B61" s="390" t="s">
        <v>3530</v>
      </c>
      <c r="D61" s="265" t="s">
        <v>2102</v>
      </c>
      <c r="F61" s="1" t="s">
        <v>4730</v>
      </c>
      <c r="H61" s="1" t="s">
        <v>4776</v>
      </c>
      <c r="L61" s="4" t="s">
        <v>1628</v>
      </c>
    </row>
    <row r="62" spans="2:12" ht="15" x14ac:dyDescent="0.15">
      <c r="B62" s="390" t="s">
        <v>3871</v>
      </c>
      <c r="D62" s="265" t="s">
        <v>662</v>
      </c>
      <c r="F62" s="1" t="s">
        <v>4730</v>
      </c>
      <c r="H62" s="1" t="s">
        <v>4615</v>
      </c>
      <c r="L62" s="4" t="s">
        <v>3311</v>
      </c>
    </row>
    <row r="63" spans="2:12" ht="15" x14ac:dyDescent="0.15">
      <c r="B63" s="686" t="s">
        <v>1</v>
      </c>
      <c r="D63" s="703" t="s">
        <v>444</v>
      </c>
      <c r="E63" s="704"/>
      <c r="F63" s="704" t="s">
        <v>4730</v>
      </c>
      <c r="H63" s="1" t="s">
        <v>4777</v>
      </c>
    </row>
    <row r="64" spans="2:12" ht="15" x14ac:dyDescent="0.15">
      <c r="B64" s="686" t="s">
        <v>3319</v>
      </c>
      <c r="D64" s="705" t="s">
        <v>59</v>
      </c>
      <c r="E64" s="706" t="s">
        <v>4730</v>
      </c>
    </row>
    <row r="65" spans="2:11" ht="15" x14ac:dyDescent="0.15">
      <c r="B65" s="686" t="s">
        <v>2088</v>
      </c>
      <c r="D65" s="265" t="s">
        <v>2107</v>
      </c>
      <c r="E65" s="1"/>
      <c r="F65" s="1" t="s">
        <v>4730</v>
      </c>
      <c r="H65" s="708" t="s">
        <v>3223</v>
      </c>
      <c r="I65" s="249"/>
      <c r="J65" s="249"/>
      <c r="K65" s="249"/>
    </row>
    <row r="66" spans="2:11" ht="15" x14ac:dyDescent="0.15">
      <c r="B66" s="390" t="s">
        <v>3428</v>
      </c>
      <c r="D66" s="265" t="s">
        <v>2532</v>
      </c>
      <c r="F66" s="1" t="s">
        <v>4730</v>
      </c>
      <c r="H66" s="709" t="s">
        <v>3254</v>
      </c>
      <c r="I66" s="559" t="s">
        <v>4055</v>
      </c>
      <c r="J66" s="397" t="s">
        <v>4778</v>
      </c>
      <c r="K66" s="249"/>
    </row>
    <row r="67" spans="2:11" ht="15" x14ac:dyDescent="0.15">
      <c r="B67" s="692" t="s">
        <v>1266</v>
      </c>
      <c r="D67" s="705" t="s">
        <v>2112</v>
      </c>
      <c r="E67" s="706" t="s">
        <v>4730</v>
      </c>
      <c r="H67" s="709" t="s">
        <v>1735</v>
      </c>
      <c r="I67" s="559" t="s">
        <v>4055</v>
      </c>
      <c r="J67" s="397" t="s">
        <v>4778</v>
      </c>
      <c r="K67" s="249"/>
    </row>
    <row r="68" spans="2:11" ht="15" x14ac:dyDescent="0.15">
      <c r="B68" s="390" t="s">
        <v>3276</v>
      </c>
      <c r="D68" s="265" t="s">
        <v>3440</v>
      </c>
      <c r="F68" s="1" t="s">
        <v>4730</v>
      </c>
      <c r="H68" s="709" t="s">
        <v>3416</v>
      </c>
      <c r="J68" s="249" t="s">
        <v>4779</v>
      </c>
      <c r="K68" s="249"/>
    </row>
    <row r="69" spans="2:11" x14ac:dyDescent="0.1">
      <c r="B69" s="686" t="s">
        <v>2093</v>
      </c>
      <c r="D69" s="265" t="s">
        <v>3532</v>
      </c>
      <c r="H69" s="709" t="s">
        <v>3314</v>
      </c>
      <c r="I69" s="559" t="s">
        <v>4052</v>
      </c>
      <c r="J69" s="397" t="s">
        <v>4780</v>
      </c>
      <c r="K69" s="249"/>
    </row>
    <row r="70" spans="2:11" ht="15" x14ac:dyDescent="0.15">
      <c r="B70" s="687" t="s">
        <v>4254</v>
      </c>
      <c r="D70" s="265" t="s">
        <v>1613</v>
      </c>
      <c r="E70" s="1" t="s">
        <v>4730</v>
      </c>
      <c r="H70" s="709" t="s">
        <v>1737</v>
      </c>
      <c r="I70" s="559" t="s">
        <v>4055</v>
      </c>
      <c r="J70" s="249" t="s">
        <v>4781</v>
      </c>
      <c r="K70" s="249"/>
    </row>
    <row r="71" spans="2:11" ht="15" x14ac:dyDescent="0.15">
      <c r="B71" s="390" t="s">
        <v>1272</v>
      </c>
      <c r="D71" s="265" t="s">
        <v>2127</v>
      </c>
      <c r="E71" s="1"/>
      <c r="F71" s="1" t="s">
        <v>4730</v>
      </c>
      <c r="H71" s="709" t="s">
        <v>1739</v>
      </c>
      <c r="I71" s="559" t="s">
        <v>4055</v>
      </c>
      <c r="J71" s="397" t="s">
        <v>4778</v>
      </c>
      <c r="K71" s="249"/>
    </row>
    <row r="72" spans="2:11" ht="15" x14ac:dyDescent="0.15">
      <c r="B72" s="390" t="s">
        <v>1272</v>
      </c>
      <c r="D72" s="265" t="s">
        <v>2536</v>
      </c>
      <c r="E72" s="1"/>
      <c r="F72" s="1" t="s">
        <v>4730</v>
      </c>
      <c r="H72" s="709" t="s">
        <v>3378</v>
      </c>
      <c r="I72" s="559" t="s">
        <v>4055</v>
      </c>
      <c r="J72" s="249" t="s">
        <v>4781</v>
      </c>
      <c r="K72" s="249"/>
    </row>
    <row r="73" spans="2:11" ht="15" x14ac:dyDescent="0.15">
      <c r="B73" s="688" t="s">
        <v>5</v>
      </c>
      <c r="D73" s="699" t="s">
        <v>4392</v>
      </c>
      <c r="E73" s="1" t="s">
        <v>4083</v>
      </c>
      <c r="H73" s="709" t="s">
        <v>3288</v>
      </c>
      <c r="I73" s="559" t="s">
        <v>4055</v>
      </c>
      <c r="J73" s="249" t="s">
        <v>4782</v>
      </c>
      <c r="K73" s="249"/>
    </row>
    <row r="74" spans="2:11" ht="15" x14ac:dyDescent="0.15">
      <c r="B74" s="693" t="s">
        <v>660</v>
      </c>
      <c r="D74" s="705" t="s">
        <v>2541</v>
      </c>
      <c r="E74" s="706" t="s">
        <v>4730</v>
      </c>
      <c r="F74" s="1" t="s">
        <v>4730</v>
      </c>
      <c r="H74" s="709" t="s">
        <v>3304</v>
      </c>
      <c r="I74" s="559" t="s">
        <v>4055</v>
      </c>
      <c r="J74" s="397" t="s">
        <v>4056</v>
      </c>
      <c r="K74" s="249"/>
    </row>
    <row r="75" spans="2:11" ht="15" x14ac:dyDescent="0.15">
      <c r="B75" s="687" t="s">
        <v>660</v>
      </c>
      <c r="D75" s="703" t="s">
        <v>4349</v>
      </c>
      <c r="E75" s="704"/>
      <c r="F75" s="704"/>
      <c r="H75" s="709" t="s">
        <v>3486</v>
      </c>
      <c r="I75" s="559" t="s">
        <v>4055</v>
      </c>
      <c r="J75" s="397" t="s">
        <v>4056</v>
      </c>
      <c r="K75" s="249"/>
    </row>
    <row r="76" spans="2:11" ht="15" x14ac:dyDescent="0.15">
      <c r="B76" s="390" t="s">
        <v>3385</v>
      </c>
      <c r="H76" s="249"/>
      <c r="I76" s="266"/>
      <c r="J76" s="397"/>
    </row>
    <row r="77" spans="2:11" ht="15" x14ac:dyDescent="0.15">
      <c r="B77" s="390"/>
      <c r="H77" s="249"/>
      <c r="I77" s="266"/>
      <c r="J77" s="261"/>
    </row>
    <row r="78" spans="2:11" ht="15" x14ac:dyDescent="0.15">
      <c r="B78" s="390"/>
      <c r="H78" s="249"/>
      <c r="I78" s="266"/>
      <c r="J78" s="397"/>
    </row>
    <row r="79" spans="2:11" ht="15" x14ac:dyDescent="0.15">
      <c r="B79" s="390"/>
      <c r="H79" s="249"/>
      <c r="I79" s="266"/>
      <c r="J79" s="397"/>
    </row>
    <row r="80" spans="2:11" ht="15" x14ac:dyDescent="0.15">
      <c r="B80" s="687" t="s">
        <v>441</v>
      </c>
      <c r="H80" s="708" t="s">
        <v>4303</v>
      </c>
    </row>
    <row r="81" spans="2:11" ht="15" x14ac:dyDescent="0.15">
      <c r="B81" s="687" t="s">
        <v>1121</v>
      </c>
      <c r="H81" s="709" t="s">
        <v>2023</v>
      </c>
      <c r="I81" s="250" t="s">
        <v>3916</v>
      </c>
      <c r="J81" s="3" t="s">
        <v>4783</v>
      </c>
      <c r="K81" s="685"/>
    </row>
    <row r="82" spans="2:11" ht="15" x14ac:dyDescent="0.15">
      <c r="B82" s="686" t="s">
        <v>2102</v>
      </c>
      <c r="H82" s="709" t="s">
        <v>433</v>
      </c>
      <c r="J82" s="685" t="s">
        <v>4784</v>
      </c>
      <c r="K82" s="685"/>
    </row>
    <row r="83" spans="2:11" ht="15" x14ac:dyDescent="0.15">
      <c r="B83" s="389" t="s">
        <v>662</v>
      </c>
      <c r="H83" s="709" t="s">
        <v>4390</v>
      </c>
      <c r="I83" s="250" t="s">
        <v>3916</v>
      </c>
      <c r="J83" s="3" t="s">
        <v>4785</v>
      </c>
      <c r="K83" s="685"/>
    </row>
    <row r="84" spans="2:11" ht="15" x14ac:dyDescent="0.15">
      <c r="B84" s="687" t="s">
        <v>444</v>
      </c>
      <c r="H84" s="709"/>
      <c r="J84" s="3"/>
      <c r="K84" s="685"/>
    </row>
    <row r="85" spans="2:11" ht="15" x14ac:dyDescent="0.15">
      <c r="B85" s="686" t="s">
        <v>2104</v>
      </c>
      <c r="H85" s="709" t="s">
        <v>2944</v>
      </c>
      <c r="I85" s="685"/>
      <c r="J85" s="685"/>
      <c r="K85" s="685"/>
    </row>
    <row r="86" spans="2:11" ht="15" x14ac:dyDescent="0.15">
      <c r="B86" s="686" t="s">
        <v>2107</v>
      </c>
      <c r="H86" s="709" t="s">
        <v>3879</v>
      </c>
      <c r="I86" s="250" t="s">
        <v>3880</v>
      </c>
      <c r="J86" s="371" t="s">
        <v>3881</v>
      </c>
      <c r="K86" s="685"/>
    </row>
    <row r="87" spans="2:11" ht="15" x14ac:dyDescent="0.15">
      <c r="B87" s="390" t="s">
        <v>2532</v>
      </c>
      <c r="H87" s="709" t="s">
        <v>2221</v>
      </c>
      <c r="I87" s="250" t="s">
        <v>3916</v>
      </c>
      <c r="J87" s="3" t="s">
        <v>4786</v>
      </c>
      <c r="K87" s="685"/>
    </row>
    <row r="88" spans="2:11" ht="15" x14ac:dyDescent="0.15">
      <c r="B88" s="390" t="s">
        <v>3440</v>
      </c>
      <c r="H88" s="709" t="s">
        <v>4591</v>
      </c>
      <c r="J88" s="371" t="s">
        <v>4787</v>
      </c>
      <c r="K88" s="685"/>
    </row>
    <row r="89" spans="2:11" ht="15" x14ac:dyDescent="0.15">
      <c r="B89" s="390" t="s">
        <v>3532</v>
      </c>
      <c r="H89" s="709" t="s">
        <v>4368</v>
      </c>
      <c r="I89" s="560" t="s">
        <v>3906</v>
      </c>
      <c r="J89" s="368" t="s">
        <v>3907</v>
      </c>
      <c r="K89" s="685"/>
    </row>
    <row r="90" spans="2:11" ht="15" x14ac:dyDescent="0.15">
      <c r="B90" s="686" t="s">
        <v>1613</v>
      </c>
      <c r="H90" s="709" t="s">
        <v>2593</v>
      </c>
      <c r="I90" s="559" t="s">
        <v>3786</v>
      </c>
      <c r="J90" s="261" t="s">
        <v>3814</v>
      </c>
      <c r="K90" s="685"/>
    </row>
    <row r="91" spans="2:11" ht="15" x14ac:dyDescent="0.15">
      <c r="B91" s="686"/>
      <c r="H91" s="709" t="s">
        <v>2163</v>
      </c>
      <c r="I91" s="250" t="s">
        <v>3916</v>
      </c>
      <c r="J91" s="3" t="s">
        <v>4788</v>
      </c>
      <c r="K91" s="685"/>
    </row>
    <row r="92" spans="2:11" ht="15" x14ac:dyDescent="0.15">
      <c r="B92" s="686" t="s">
        <v>2127</v>
      </c>
      <c r="E92" s="1"/>
      <c r="H92" s="709" t="s">
        <v>2278</v>
      </c>
      <c r="I92" s="685"/>
      <c r="J92" s="685"/>
      <c r="K92" s="685"/>
    </row>
    <row r="93" spans="2:11" ht="15" x14ac:dyDescent="0.15">
      <c r="B93" s="389" t="s">
        <v>2536</v>
      </c>
      <c r="E93" s="1"/>
      <c r="H93" s="709" t="s">
        <v>3352</v>
      </c>
      <c r="I93" s="728" t="s">
        <v>4789</v>
      </c>
      <c r="J93" s="685" t="s">
        <v>4790</v>
      </c>
      <c r="K93" s="685"/>
    </row>
    <row r="94" spans="2:11" ht="15" x14ac:dyDescent="0.15">
      <c r="B94" s="692" t="s">
        <v>2850</v>
      </c>
      <c r="H94" s="709" t="s">
        <v>2344</v>
      </c>
      <c r="I94" s="250" t="s">
        <v>3916</v>
      </c>
      <c r="J94" s="3" t="s">
        <v>4791</v>
      </c>
      <c r="K94" s="685"/>
    </row>
    <row r="95" spans="2:11" ht="15" x14ac:dyDescent="0.15">
      <c r="B95" s="686" t="s">
        <v>2135</v>
      </c>
      <c r="H95" s="709" t="s">
        <v>45</v>
      </c>
      <c r="I95" s="685"/>
      <c r="J95" s="685"/>
      <c r="K95" s="685"/>
    </row>
    <row r="96" spans="2:11" ht="15" x14ac:dyDescent="0.15">
      <c r="B96" s="390" t="s">
        <v>2541</v>
      </c>
      <c r="H96" s="709" t="s">
        <v>3578</v>
      </c>
      <c r="I96" s="728" t="s">
        <v>4792</v>
      </c>
      <c r="J96" s="685" t="s">
        <v>4793</v>
      </c>
      <c r="K96" s="685"/>
    </row>
    <row r="97" spans="2:13" ht="15" x14ac:dyDescent="0.15">
      <c r="B97" s="390" t="s">
        <v>3291</v>
      </c>
      <c r="D97" s="265" t="s">
        <v>1468</v>
      </c>
      <c r="F97" s="1" t="s">
        <v>4730</v>
      </c>
      <c r="H97" s="709" t="s">
        <v>2418</v>
      </c>
      <c r="I97" s="250" t="s">
        <v>3916</v>
      </c>
      <c r="J97" s="3" t="s">
        <v>3920</v>
      </c>
      <c r="K97" s="685"/>
    </row>
    <row r="98" spans="2:13" ht="15" x14ac:dyDescent="0.15">
      <c r="B98" s="390" t="s">
        <v>3437</v>
      </c>
      <c r="D98" s="265" t="s">
        <v>4515</v>
      </c>
      <c r="F98" s="1" t="s">
        <v>4730</v>
      </c>
      <c r="H98" s="709" t="s">
        <v>2253</v>
      </c>
      <c r="I98" s="249" t="s">
        <v>3698</v>
      </c>
      <c r="J98" s="249" t="s">
        <v>4028</v>
      </c>
      <c r="K98" s="685"/>
    </row>
    <row r="99" spans="2:13" ht="15" x14ac:dyDescent="0.15">
      <c r="B99" s="390" t="s">
        <v>1468</v>
      </c>
      <c r="D99" s="265" t="s">
        <v>2144</v>
      </c>
      <c r="E99" s="1"/>
      <c r="F99" s="1" t="s">
        <v>4730</v>
      </c>
      <c r="H99" s="249"/>
      <c r="I99" s="249"/>
      <c r="J99" s="249"/>
      <c r="K99" s="685"/>
      <c r="L99" s="1"/>
      <c r="M99" s="1"/>
    </row>
    <row r="100" spans="2:13" ht="15" x14ac:dyDescent="0.15">
      <c r="B100" s="390" t="s">
        <v>1472</v>
      </c>
      <c r="D100" s="265" t="s">
        <v>1475</v>
      </c>
      <c r="F100" s="1" t="s">
        <v>4730</v>
      </c>
      <c r="H100" s="708" t="s">
        <v>4728</v>
      </c>
      <c r="I100" s="685"/>
      <c r="J100" s="685"/>
      <c r="K100" s="685"/>
    </row>
    <row r="101" spans="2:13" ht="15" x14ac:dyDescent="0.15">
      <c r="B101" s="686" t="s">
        <v>2144</v>
      </c>
      <c r="D101" s="265" t="s">
        <v>1479</v>
      </c>
      <c r="H101" s="709" t="s">
        <v>4794</v>
      </c>
      <c r="I101" s="250" t="s">
        <v>3916</v>
      </c>
      <c r="J101" s="3" t="s">
        <v>4795</v>
      </c>
      <c r="K101" s="685"/>
    </row>
    <row r="102" spans="2:13" ht="15" x14ac:dyDescent="0.15">
      <c r="B102" s="390" t="s">
        <v>1475</v>
      </c>
      <c r="D102" s="265" t="s">
        <v>1482</v>
      </c>
      <c r="F102" s="1" t="s">
        <v>4730</v>
      </c>
      <c r="H102" s="709" t="s">
        <v>3353</v>
      </c>
      <c r="I102" s="685"/>
      <c r="J102" s="685"/>
      <c r="K102" s="685"/>
    </row>
    <row r="103" spans="2:13" ht="15" x14ac:dyDescent="0.15">
      <c r="B103" s="390" t="s">
        <v>1482</v>
      </c>
      <c r="D103" s="265" t="s">
        <v>3463</v>
      </c>
      <c r="F103" s="1" t="s">
        <v>4730</v>
      </c>
      <c r="H103" s="709" t="s">
        <v>4796</v>
      </c>
      <c r="I103" s="250" t="s">
        <v>3916</v>
      </c>
      <c r="J103" s="3" t="s">
        <v>4797</v>
      </c>
      <c r="K103" s="685"/>
    </row>
    <row r="104" spans="2:13" ht="15" x14ac:dyDescent="0.15">
      <c r="B104" s="694" t="s">
        <v>3463</v>
      </c>
      <c r="D104" s="265" t="s">
        <v>1484</v>
      </c>
      <c r="E104" s="1"/>
      <c r="F104" s="1" t="s">
        <v>4730</v>
      </c>
      <c r="H104" s="709" t="s">
        <v>4798</v>
      </c>
      <c r="I104" s="250" t="s">
        <v>3916</v>
      </c>
      <c r="J104" s="3" t="s">
        <v>4795</v>
      </c>
      <c r="K104" s="685"/>
    </row>
    <row r="105" spans="2:13" ht="15" x14ac:dyDescent="0.15">
      <c r="B105" s="390" t="s">
        <v>1484</v>
      </c>
      <c r="D105" s="699" t="s">
        <v>4384</v>
      </c>
      <c r="E105" s="1" t="s">
        <v>4083</v>
      </c>
      <c r="H105" s="709" t="s">
        <v>4799</v>
      </c>
      <c r="I105" s="250" t="s">
        <v>3916</v>
      </c>
      <c r="J105" s="3" t="s">
        <v>4800</v>
      </c>
      <c r="K105" s="685"/>
    </row>
    <row r="106" spans="2:13" ht="15" x14ac:dyDescent="0.15">
      <c r="B106" s="390" t="s">
        <v>3456</v>
      </c>
      <c r="D106" s="265" t="s">
        <v>3475</v>
      </c>
      <c r="F106" s="1" t="s">
        <v>4730</v>
      </c>
      <c r="H106" s="709" t="s">
        <v>4801</v>
      </c>
      <c r="I106" s="250" t="s">
        <v>3916</v>
      </c>
      <c r="J106" s="3" t="s">
        <v>4802</v>
      </c>
      <c r="K106" s="685"/>
    </row>
    <row r="107" spans="2:13" ht="15" x14ac:dyDescent="0.15">
      <c r="B107" s="390" t="s">
        <v>3344</v>
      </c>
      <c r="D107" s="265" t="s">
        <v>4300</v>
      </c>
      <c r="H107" s="709" t="s">
        <v>4803</v>
      </c>
      <c r="I107" s="250" t="s">
        <v>3916</v>
      </c>
      <c r="J107" s="3" t="s">
        <v>4802</v>
      </c>
      <c r="K107" s="685"/>
    </row>
    <row r="108" spans="2:13" ht="15" x14ac:dyDescent="0.15">
      <c r="B108" s="390" t="s">
        <v>3475</v>
      </c>
      <c r="D108" s="265" t="s">
        <v>4311</v>
      </c>
      <c r="F108" s="1" t="s">
        <v>4730</v>
      </c>
      <c r="H108" s="709" t="s">
        <v>4804</v>
      </c>
      <c r="I108" s="250" t="s">
        <v>3916</v>
      </c>
      <c r="J108" s="3" t="s">
        <v>4805</v>
      </c>
      <c r="K108" s="685"/>
    </row>
    <row r="109" spans="2:13" ht="15" x14ac:dyDescent="0.15">
      <c r="B109" s="390" t="s">
        <v>3481</v>
      </c>
      <c r="D109" s="265" t="s">
        <v>219</v>
      </c>
      <c r="I109" s="685"/>
      <c r="J109" s="685"/>
      <c r="K109" s="685"/>
    </row>
    <row r="110" spans="2:13" ht="15" x14ac:dyDescent="0.15">
      <c r="B110" s="390" t="s">
        <v>3489</v>
      </c>
      <c r="D110" s="265" t="s">
        <v>1502</v>
      </c>
      <c r="E110" s="1"/>
      <c r="H110" s="708" t="s">
        <v>3227</v>
      </c>
      <c r="I110" s="685"/>
      <c r="J110" s="685"/>
      <c r="K110" s="685"/>
    </row>
    <row r="111" spans="2:13" ht="15" x14ac:dyDescent="0.15">
      <c r="B111" s="390" t="s">
        <v>3388</v>
      </c>
      <c r="D111" s="699" t="s">
        <v>4506</v>
      </c>
      <c r="E111" s="1" t="s">
        <v>4083</v>
      </c>
      <c r="H111" s="709" t="s">
        <v>4806</v>
      </c>
      <c r="I111" s="728" t="s">
        <v>4807</v>
      </c>
      <c r="J111" s="685" t="s">
        <v>4808</v>
      </c>
      <c r="K111" s="685"/>
    </row>
    <row r="112" spans="2:13" ht="15" x14ac:dyDescent="0.15">
      <c r="B112" s="390" t="s">
        <v>1504</v>
      </c>
      <c r="D112" s="265" t="s">
        <v>2146</v>
      </c>
      <c r="F112" s="1" t="s">
        <v>4730</v>
      </c>
      <c r="H112" s="709" t="s">
        <v>4809</v>
      </c>
      <c r="I112" s="728" t="s">
        <v>4810</v>
      </c>
      <c r="J112" s="253" t="s">
        <v>4811</v>
      </c>
      <c r="K112" s="685"/>
    </row>
    <row r="113" spans="2:13" ht="15" x14ac:dyDescent="0.15">
      <c r="B113" s="390" t="s">
        <v>1506</v>
      </c>
      <c r="D113" s="265" t="s">
        <v>2149</v>
      </c>
      <c r="E113" s="1"/>
      <c r="F113" s="1" t="s">
        <v>4730</v>
      </c>
      <c r="H113" s="709" t="s">
        <v>4812</v>
      </c>
      <c r="I113" s="728" t="s">
        <v>4813</v>
      </c>
      <c r="J113" s="249" t="s">
        <v>4814</v>
      </c>
      <c r="K113" s="685"/>
    </row>
    <row r="114" spans="2:13" ht="15" x14ac:dyDescent="0.15">
      <c r="B114" s="686" t="s">
        <v>3942</v>
      </c>
      <c r="D114" s="265" t="s">
        <v>2152</v>
      </c>
      <c r="F114" s="1" t="s">
        <v>4730</v>
      </c>
      <c r="I114" s="685"/>
      <c r="J114" s="685"/>
      <c r="K114" s="685"/>
    </row>
    <row r="115" spans="2:13" ht="15" x14ac:dyDescent="0.15">
      <c r="B115" s="686" t="s">
        <v>2146</v>
      </c>
      <c r="D115" s="705" t="s">
        <v>455</v>
      </c>
      <c r="E115" s="706" t="s">
        <v>4730</v>
      </c>
      <c r="H115" s="708" t="s">
        <v>4729</v>
      </c>
      <c r="I115" s="685"/>
      <c r="J115" s="685"/>
      <c r="K115" s="685"/>
    </row>
    <row r="116" spans="2:13" ht="15" x14ac:dyDescent="0.15">
      <c r="B116" s="390" t="s">
        <v>3414</v>
      </c>
      <c r="D116" s="703" t="s">
        <v>4390</v>
      </c>
      <c r="E116" s="704"/>
      <c r="F116" s="704"/>
      <c r="H116" s="709" t="s">
        <v>4815</v>
      </c>
      <c r="I116" s="685" t="s">
        <v>4816</v>
      </c>
      <c r="J116" s="728" t="s">
        <v>4817</v>
      </c>
      <c r="K116" s="685"/>
    </row>
    <row r="117" spans="2:13" ht="15" x14ac:dyDescent="0.15">
      <c r="B117" s="686" t="s">
        <v>2152</v>
      </c>
      <c r="D117" s="265" t="s">
        <v>2543</v>
      </c>
      <c r="F117" s="1" t="s">
        <v>4730</v>
      </c>
      <c r="H117" s="709" t="s">
        <v>441</v>
      </c>
      <c r="I117" s="559" t="s">
        <v>4211</v>
      </c>
      <c r="J117" s="261" t="s">
        <v>4212</v>
      </c>
    </row>
    <row r="118" spans="2:13" ht="15" x14ac:dyDescent="0.15">
      <c r="B118" s="686" t="s">
        <v>2543</v>
      </c>
      <c r="D118" s="265" t="s">
        <v>4460</v>
      </c>
      <c r="F118" s="1" t="s">
        <v>4730</v>
      </c>
      <c r="H118" s="709" t="s">
        <v>444</v>
      </c>
      <c r="I118" s="559" t="s">
        <v>4208</v>
      </c>
      <c r="J118" s="261" t="s">
        <v>4209</v>
      </c>
    </row>
    <row r="119" spans="2:13" ht="15" x14ac:dyDescent="0.15">
      <c r="B119" s="686" t="s">
        <v>1854</v>
      </c>
      <c r="D119" s="703" t="s">
        <v>1857</v>
      </c>
      <c r="E119" s="704"/>
      <c r="F119" s="704" t="s">
        <v>4730</v>
      </c>
      <c r="H119" s="709"/>
    </row>
    <row r="120" spans="2:13" ht="15" x14ac:dyDescent="0.15">
      <c r="B120" s="686" t="s">
        <v>1857</v>
      </c>
      <c r="D120" s="699" t="s">
        <v>651</v>
      </c>
      <c r="E120" s="1"/>
      <c r="H120" s="709" t="s">
        <v>4818</v>
      </c>
      <c r="I120" s="685" t="s">
        <v>4819</v>
      </c>
      <c r="J120" s="249" t="s">
        <v>4820</v>
      </c>
    </row>
    <row r="121" spans="2:13" ht="15" x14ac:dyDescent="0.15">
      <c r="B121" s="687" t="s">
        <v>4184</v>
      </c>
      <c r="D121" s="705" t="s">
        <v>4613</v>
      </c>
      <c r="E121" s="706" t="s">
        <v>4730</v>
      </c>
      <c r="H121" s="709" t="s">
        <v>4821</v>
      </c>
      <c r="I121" s="728" t="s">
        <v>4822</v>
      </c>
      <c r="J121" s="249" t="s">
        <v>4823</v>
      </c>
    </row>
    <row r="122" spans="2:13" ht="15" x14ac:dyDescent="0.15">
      <c r="B122" s="690" t="s">
        <v>2161</v>
      </c>
      <c r="D122" s="265" t="s">
        <v>2163</v>
      </c>
      <c r="F122" s="1" t="s">
        <v>4730</v>
      </c>
      <c r="H122" s="709" t="s">
        <v>3390</v>
      </c>
      <c r="I122" s="249" t="s">
        <v>4228</v>
      </c>
      <c r="J122" s="261" t="s">
        <v>4229</v>
      </c>
    </row>
    <row r="123" spans="2:13" ht="15" x14ac:dyDescent="0.15">
      <c r="B123" s="686" t="s">
        <v>4283</v>
      </c>
      <c r="D123" s="703" t="s">
        <v>3314</v>
      </c>
      <c r="E123" s="704"/>
      <c r="F123" s="704"/>
      <c r="H123" s="709" t="s">
        <v>1152</v>
      </c>
      <c r="I123" s="1" t="s">
        <v>4816</v>
      </c>
    </row>
    <row r="124" spans="2:13" ht="15" x14ac:dyDescent="0.15">
      <c r="B124" s="686" t="s">
        <v>2163</v>
      </c>
      <c r="D124" s="703" t="s">
        <v>3486</v>
      </c>
      <c r="E124" s="704"/>
      <c r="F124" s="704"/>
      <c r="H124" s="709"/>
    </row>
    <row r="125" spans="2:13" ht="15" x14ac:dyDescent="0.15">
      <c r="B125" s="687" t="s">
        <v>3281</v>
      </c>
      <c r="D125" s="265" t="s">
        <v>3432</v>
      </c>
      <c r="F125" s="1" t="s">
        <v>4730</v>
      </c>
      <c r="H125" s="709"/>
    </row>
    <row r="126" spans="2:13" ht="15" x14ac:dyDescent="0.15">
      <c r="B126" s="688" t="s">
        <v>3314</v>
      </c>
      <c r="D126" s="265" t="s">
        <v>4051</v>
      </c>
      <c r="F126" s="1" t="s">
        <v>4730</v>
      </c>
      <c r="H126" s="709" t="s">
        <v>3367</v>
      </c>
      <c r="I126" s="559" t="s">
        <v>4219</v>
      </c>
      <c r="J126" s="261" t="s">
        <v>4220</v>
      </c>
      <c r="M126" s="1">
        <v>425</v>
      </c>
    </row>
    <row r="127" spans="2:13" ht="15" x14ac:dyDescent="0.15">
      <c r="B127" s="692" t="s">
        <v>3432</v>
      </c>
      <c r="D127" s="703" t="s">
        <v>2944</v>
      </c>
      <c r="E127" s="704" t="s">
        <v>4083</v>
      </c>
      <c r="F127" s="704"/>
      <c r="H127" s="709" t="s">
        <v>4448</v>
      </c>
      <c r="I127" s="727" t="s">
        <v>3630</v>
      </c>
      <c r="J127" s="390" t="s">
        <v>3631</v>
      </c>
    </row>
    <row r="128" spans="2:13" ht="15" x14ac:dyDescent="0.15">
      <c r="B128" s="686" t="s">
        <v>4051</v>
      </c>
      <c r="D128" s="265" t="s">
        <v>143</v>
      </c>
      <c r="F128" s="1" t="s">
        <v>4730</v>
      </c>
      <c r="H128" s="709" t="s">
        <v>3272</v>
      </c>
      <c r="I128" s="559" t="s">
        <v>4200</v>
      </c>
      <c r="J128" s="261" t="s">
        <v>4201</v>
      </c>
    </row>
    <row r="129" spans="2:16" ht="15" x14ac:dyDescent="0.15">
      <c r="B129" s="389" t="s">
        <v>143</v>
      </c>
      <c r="D129" s="265" t="s">
        <v>4428</v>
      </c>
      <c r="F129" s="1" t="s">
        <v>4730</v>
      </c>
      <c r="H129" s="709" t="s">
        <v>511</v>
      </c>
      <c r="J129" s="4" t="s">
        <v>4824</v>
      </c>
    </row>
    <row r="130" spans="2:16" ht="15" x14ac:dyDescent="0.15">
      <c r="B130" s="686" t="s">
        <v>2167</v>
      </c>
      <c r="D130" s="705" t="s">
        <v>4352</v>
      </c>
      <c r="E130" s="706"/>
      <c r="H130" s="709" t="s">
        <v>4407</v>
      </c>
      <c r="I130" s="685" t="s">
        <v>4825</v>
      </c>
      <c r="J130" s="249" t="s">
        <v>4826</v>
      </c>
    </row>
    <row r="131" spans="2:16" ht="15" x14ac:dyDescent="0.15">
      <c r="B131" s="692" t="s">
        <v>2858</v>
      </c>
      <c r="D131" s="703" t="s">
        <v>3372</v>
      </c>
      <c r="E131" s="704" t="s">
        <v>4083</v>
      </c>
      <c r="F131" s="704"/>
      <c r="H131" s="709" t="s">
        <v>1200</v>
      </c>
      <c r="I131" s="249" t="s">
        <v>4827</v>
      </c>
      <c r="J131" s="249" t="s">
        <v>4828</v>
      </c>
    </row>
    <row r="132" spans="2:16" x14ac:dyDescent="0.1">
      <c r="B132" s="390" t="s">
        <v>3493</v>
      </c>
      <c r="D132" s="265" t="s">
        <v>1292</v>
      </c>
      <c r="H132" s="709" t="s">
        <v>3293</v>
      </c>
      <c r="I132" s="559" t="s">
        <v>4204</v>
      </c>
      <c r="J132" s="261" t="s">
        <v>4205</v>
      </c>
    </row>
    <row r="133" spans="2:16" ht="15" x14ac:dyDescent="0.15">
      <c r="B133" s="390" t="s">
        <v>62</v>
      </c>
      <c r="D133" s="705" t="s">
        <v>4374</v>
      </c>
      <c r="E133" s="706" t="s">
        <v>4730</v>
      </c>
      <c r="H133" s="249"/>
      <c r="I133" s="726"/>
      <c r="J133" s="726"/>
      <c r="K133" s="726"/>
      <c r="L133" s="97"/>
      <c r="M133" s="97"/>
      <c r="N133" s="97"/>
      <c r="O133" s="97"/>
      <c r="P133" s="97"/>
    </row>
    <row r="134" spans="2:16" ht="15" x14ac:dyDescent="0.15">
      <c r="B134" s="690" t="s">
        <v>1292</v>
      </c>
      <c r="D134" s="265" t="s">
        <v>3241</v>
      </c>
      <c r="F134" s="1" t="s">
        <v>4730</v>
      </c>
    </row>
    <row r="135" spans="2:16" x14ac:dyDescent="0.1">
      <c r="B135" s="687" t="s">
        <v>3292</v>
      </c>
      <c r="D135" s="265" t="s">
        <v>3263</v>
      </c>
    </row>
    <row r="136" spans="2:16" ht="15" x14ac:dyDescent="0.15">
      <c r="B136" s="389" t="s">
        <v>1296</v>
      </c>
      <c r="D136" s="265" t="s">
        <v>2173</v>
      </c>
      <c r="F136" s="1" t="s">
        <v>4730</v>
      </c>
    </row>
    <row r="137" spans="2:16" ht="15" x14ac:dyDescent="0.15">
      <c r="B137" s="690" t="s">
        <v>3241</v>
      </c>
      <c r="D137" s="703" t="s">
        <v>3261</v>
      </c>
      <c r="E137" s="704"/>
      <c r="F137" s="704"/>
    </row>
    <row r="138" spans="2:16" x14ac:dyDescent="0.1">
      <c r="B138" s="686" t="s">
        <v>3263</v>
      </c>
      <c r="D138" s="265" t="s">
        <v>4662</v>
      </c>
    </row>
    <row r="139" spans="2:16" ht="15" x14ac:dyDescent="0.15">
      <c r="B139" s="686" t="s">
        <v>2173</v>
      </c>
      <c r="D139" s="265" t="s">
        <v>1302</v>
      </c>
      <c r="F139" s="1" t="s">
        <v>4730</v>
      </c>
    </row>
    <row r="140" spans="2:16" ht="15" x14ac:dyDescent="0.15">
      <c r="B140" s="686" t="s">
        <v>3335</v>
      </c>
      <c r="D140" s="265" t="s">
        <v>4419</v>
      </c>
      <c r="F140" s="1" t="s">
        <v>4730</v>
      </c>
    </row>
    <row r="141" spans="2:16" ht="15" x14ac:dyDescent="0.15">
      <c r="B141" s="686" t="s">
        <v>2176</v>
      </c>
      <c r="D141" s="705" t="s">
        <v>3260</v>
      </c>
      <c r="E141" s="706"/>
    </row>
    <row r="142" spans="2:16" ht="15" x14ac:dyDescent="0.15">
      <c r="B142" s="695" t="s">
        <v>3261</v>
      </c>
      <c r="D142" s="265" t="s">
        <v>3360</v>
      </c>
      <c r="F142" s="1" t="s">
        <v>4730</v>
      </c>
    </row>
    <row r="143" spans="2:16" ht="15" x14ac:dyDescent="0.15">
      <c r="B143" s="686" t="s">
        <v>1302</v>
      </c>
      <c r="D143" s="265" t="s">
        <v>2182</v>
      </c>
      <c r="F143" s="1" t="s">
        <v>4730</v>
      </c>
    </row>
    <row r="144" spans="2:16" ht="15" x14ac:dyDescent="0.15">
      <c r="B144" s="390" t="s">
        <v>1302</v>
      </c>
      <c r="D144" s="705" t="s">
        <v>1622</v>
      </c>
      <c r="E144" s="706"/>
    </row>
    <row r="145" spans="2:6" ht="15" x14ac:dyDescent="0.15">
      <c r="B145" s="694" t="s">
        <v>3438</v>
      </c>
      <c r="D145" s="265" t="s">
        <v>2184</v>
      </c>
      <c r="F145" s="1" t="s">
        <v>4730</v>
      </c>
    </row>
    <row r="146" spans="2:6" ht="15" x14ac:dyDescent="0.15">
      <c r="B146" s="686" t="s">
        <v>877</v>
      </c>
      <c r="D146" s="265" t="s">
        <v>2189</v>
      </c>
      <c r="F146" s="1" t="s">
        <v>4730</v>
      </c>
    </row>
    <row r="147" spans="2:6" ht="15" x14ac:dyDescent="0.15">
      <c r="B147" s="686" t="s">
        <v>2180</v>
      </c>
      <c r="D147" s="265" t="s">
        <v>665</v>
      </c>
      <c r="F147" s="1" t="s">
        <v>4730</v>
      </c>
    </row>
    <row r="148" spans="2:6" ht="15" x14ac:dyDescent="0.15">
      <c r="B148" s="390" t="s">
        <v>3876</v>
      </c>
      <c r="D148" s="705" t="s">
        <v>467</v>
      </c>
      <c r="E148" s="706" t="s">
        <v>4730</v>
      </c>
    </row>
    <row r="149" spans="2:6" ht="15" x14ac:dyDescent="0.15">
      <c r="B149" s="687" t="s">
        <v>4207</v>
      </c>
      <c r="D149" s="265" t="s">
        <v>3459</v>
      </c>
      <c r="F149" s="1" t="s">
        <v>4730</v>
      </c>
    </row>
    <row r="150" spans="2:6" ht="15" x14ac:dyDescent="0.15">
      <c r="B150" s="687" t="s">
        <v>3260</v>
      </c>
      <c r="D150" s="265" t="s">
        <v>667</v>
      </c>
      <c r="F150" s="1" t="s">
        <v>4730</v>
      </c>
    </row>
    <row r="151" spans="2:6" ht="15" x14ac:dyDescent="0.15">
      <c r="B151" s="390" t="s">
        <v>3620</v>
      </c>
      <c r="D151" s="265" t="s">
        <v>2199</v>
      </c>
      <c r="F151" s="1" t="s">
        <v>4730</v>
      </c>
    </row>
    <row r="152" spans="2:6" ht="15" x14ac:dyDescent="0.15">
      <c r="B152" s="686" t="s">
        <v>2182</v>
      </c>
      <c r="D152" s="705" t="s">
        <v>2551</v>
      </c>
      <c r="E152" s="706"/>
    </row>
    <row r="153" spans="2:6" ht="15" x14ac:dyDescent="0.15">
      <c r="B153" s="686" t="s">
        <v>1622</v>
      </c>
      <c r="D153" s="265" t="s">
        <v>3460</v>
      </c>
      <c r="F153" s="1" t="s">
        <v>4730</v>
      </c>
    </row>
    <row r="154" spans="2:6" ht="15" x14ac:dyDescent="0.15">
      <c r="B154" s="686" t="s">
        <v>2184</v>
      </c>
      <c r="D154" s="705" t="s">
        <v>3391</v>
      </c>
      <c r="E154" s="706"/>
    </row>
    <row r="155" spans="2:6" ht="15" x14ac:dyDescent="0.15">
      <c r="B155" s="686" t="s">
        <v>2189</v>
      </c>
      <c r="D155" s="265" t="s">
        <v>1425</v>
      </c>
      <c r="F155" s="1" t="s">
        <v>4730</v>
      </c>
    </row>
    <row r="156" spans="2:6" ht="15" x14ac:dyDescent="0.15">
      <c r="B156" s="389" t="s">
        <v>665</v>
      </c>
      <c r="D156" s="265" t="s">
        <v>3465</v>
      </c>
      <c r="E156" s="1"/>
      <c r="F156" s="1" t="s">
        <v>4730</v>
      </c>
    </row>
    <row r="157" spans="2:6" x14ac:dyDescent="0.1">
      <c r="B157" s="686" t="s">
        <v>2191</v>
      </c>
      <c r="D157" s="699" t="s">
        <v>694</v>
      </c>
    </row>
    <row r="158" spans="2:6" x14ac:dyDescent="0.15">
      <c r="B158" s="390" t="s">
        <v>710</v>
      </c>
    </row>
    <row r="159" spans="2:6" x14ac:dyDescent="0.15">
      <c r="B159" s="686" t="s">
        <v>1867</v>
      </c>
    </row>
    <row r="160" spans="2:6" x14ac:dyDescent="0.15">
      <c r="B160" s="390" t="s">
        <v>3459</v>
      </c>
    </row>
    <row r="161" spans="2:6" x14ac:dyDescent="0.15">
      <c r="B161" s="686" t="s">
        <v>2949</v>
      </c>
    </row>
    <row r="162" spans="2:6" x14ac:dyDescent="0.15">
      <c r="B162" s="389" t="s">
        <v>667</v>
      </c>
    </row>
    <row r="163" spans="2:6" x14ac:dyDescent="0.15">
      <c r="B163" s="686" t="s">
        <v>3453</v>
      </c>
    </row>
    <row r="164" spans="2:6" x14ac:dyDescent="0.15">
      <c r="B164" s="686" t="s">
        <v>2199</v>
      </c>
    </row>
    <row r="165" spans="2:6" x14ac:dyDescent="0.15">
      <c r="B165" s="688" t="s">
        <v>3444</v>
      </c>
    </row>
    <row r="166" spans="2:6" x14ac:dyDescent="0.15">
      <c r="B166" s="686" t="s">
        <v>2551</v>
      </c>
    </row>
    <row r="167" spans="2:6" x14ac:dyDescent="0.15">
      <c r="B167" s="686" t="s">
        <v>3460</v>
      </c>
    </row>
    <row r="168" spans="2:6" x14ac:dyDescent="0.15">
      <c r="B168" s="687" t="s">
        <v>3391</v>
      </c>
      <c r="E168" s="1"/>
    </row>
    <row r="169" spans="2:6" x14ac:dyDescent="0.15">
      <c r="B169" s="390" t="s">
        <v>1425</v>
      </c>
    </row>
    <row r="170" spans="2:6" x14ac:dyDescent="0.15">
      <c r="B170" s="390" t="s">
        <v>3465</v>
      </c>
    </row>
    <row r="171" spans="2:6" x14ac:dyDescent="0.15">
      <c r="B171" s="390" t="s">
        <v>3625</v>
      </c>
    </row>
    <row r="172" spans="2:6" ht="15" x14ac:dyDescent="0.15">
      <c r="B172" s="390" t="s">
        <v>3879</v>
      </c>
      <c r="D172" s="703" t="s">
        <v>3879</v>
      </c>
      <c r="E172" s="704"/>
      <c r="F172" s="704"/>
    </row>
    <row r="173" spans="2:6" x14ac:dyDescent="0.1">
      <c r="B173" s="686" t="s">
        <v>1628</v>
      </c>
      <c r="D173" s="265" t="s">
        <v>4473</v>
      </c>
    </row>
    <row r="174" spans="2:6" ht="15" x14ac:dyDescent="0.15">
      <c r="B174" s="689" t="s">
        <v>3567</v>
      </c>
      <c r="D174" s="705" t="s">
        <v>1628</v>
      </c>
      <c r="E174" s="706"/>
    </row>
    <row r="175" spans="2:6" ht="15" x14ac:dyDescent="0.15">
      <c r="B175" s="390" t="s">
        <v>670</v>
      </c>
      <c r="D175" s="265" t="s">
        <v>2553</v>
      </c>
      <c r="E175" s="1"/>
      <c r="F175" s="1" t="s">
        <v>4730</v>
      </c>
    </row>
    <row r="176" spans="2:6" x14ac:dyDescent="0.1">
      <c r="B176" s="389" t="s">
        <v>2553</v>
      </c>
      <c r="D176" s="265" t="s">
        <v>3561</v>
      </c>
    </row>
    <row r="177" spans="2:6" x14ac:dyDescent="0.1">
      <c r="B177" s="390" t="s">
        <v>2555</v>
      </c>
      <c r="D177" s="265" t="s">
        <v>3574</v>
      </c>
    </row>
    <row r="178" spans="2:6" ht="15" x14ac:dyDescent="0.15">
      <c r="B178" s="686" t="s">
        <v>2557</v>
      </c>
      <c r="D178" s="265" t="s">
        <v>3565</v>
      </c>
      <c r="E178" s="1"/>
    </row>
    <row r="179" spans="2:6" x14ac:dyDescent="0.1">
      <c r="B179" s="689" t="s">
        <v>3561</v>
      </c>
      <c r="D179" s="265" t="s">
        <v>3570</v>
      </c>
    </row>
    <row r="180" spans="2:6" x14ac:dyDescent="0.1">
      <c r="B180" s="689" t="s">
        <v>3574</v>
      </c>
      <c r="D180" s="265" t="s">
        <v>3568</v>
      </c>
    </row>
    <row r="181" spans="2:6" ht="15" x14ac:dyDescent="0.15">
      <c r="B181" s="689" t="s">
        <v>3560</v>
      </c>
      <c r="D181" s="265" t="s">
        <v>2207</v>
      </c>
      <c r="F181" s="1" t="s">
        <v>4730</v>
      </c>
    </row>
    <row r="182" spans="2:6" ht="15" x14ac:dyDescent="0.15">
      <c r="B182" s="689" t="s">
        <v>3565</v>
      </c>
      <c r="D182" s="703" t="s">
        <v>1737</v>
      </c>
      <c r="E182" s="704"/>
      <c r="F182" s="704" t="s">
        <v>4829</v>
      </c>
    </row>
    <row r="183" spans="2:6" ht="15" x14ac:dyDescent="0.15">
      <c r="B183" s="689" t="s">
        <v>3570</v>
      </c>
      <c r="D183" s="265" t="s">
        <v>2562</v>
      </c>
      <c r="F183" s="1" t="s">
        <v>4730</v>
      </c>
    </row>
    <row r="184" spans="2:6" ht="15" x14ac:dyDescent="0.15">
      <c r="B184" s="689" t="s">
        <v>3569</v>
      </c>
      <c r="D184" s="703" t="s">
        <v>2221</v>
      </c>
      <c r="E184" s="704"/>
      <c r="F184" s="704"/>
    </row>
    <row r="185" spans="2:6" x14ac:dyDescent="0.1">
      <c r="B185" s="689" t="s">
        <v>3568</v>
      </c>
      <c r="D185" s="265" t="s">
        <v>4408</v>
      </c>
    </row>
    <row r="186" spans="2:6" ht="15" x14ac:dyDescent="0.15">
      <c r="B186" s="686" t="s">
        <v>2207</v>
      </c>
      <c r="D186" s="699" t="s">
        <v>4338</v>
      </c>
      <c r="E186" s="1" t="s">
        <v>4730</v>
      </c>
      <c r="F186" s="1" t="s">
        <v>4730</v>
      </c>
    </row>
    <row r="187" spans="2:6" ht="15" x14ac:dyDescent="0.15">
      <c r="B187" s="686" t="s">
        <v>2209</v>
      </c>
      <c r="D187" s="699" t="s">
        <v>1316</v>
      </c>
      <c r="E187" s="1" t="s">
        <v>4083</v>
      </c>
    </row>
    <row r="188" spans="2:6" ht="15" x14ac:dyDescent="0.15">
      <c r="B188" s="688" t="s">
        <v>1737</v>
      </c>
      <c r="D188" s="265" t="s">
        <v>2952</v>
      </c>
      <c r="E188" s="1"/>
      <c r="F188" s="1" t="s">
        <v>4730</v>
      </c>
    </row>
    <row r="189" spans="2:6" ht="15" x14ac:dyDescent="0.15">
      <c r="B189" s="686" t="s">
        <v>2562</v>
      </c>
      <c r="D189" s="705" t="s">
        <v>3283</v>
      </c>
      <c r="E189" s="706"/>
    </row>
    <row r="190" spans="2:6" x14ac:dyDescent="0.1">
      <c r="B190" s="686" t="s">
        <v>20</v>
      </c>
      <c r="D190" s="699" t="s">
        <v>4341</v>
      </c>
    </row>
    <row r="191" spans="2:6" ht="15" x14ac:dyDescent="0.15">
      <c r="B191" s="686" t="s">
        <v>2213</v>
      </c>
      <c r="D191" s="705" t="s">
        <v>4611</v>
      </c>
      <c r="E191" s="706"/>
    </row>
    <row r="192" spans="2:6" ht="15" x14ac:dyDescent="0.15">
      <c r="B192" s="686" t="s">
        <v>2215</v>
      </c>
      <c r="D192" s="265" t="s">
        <v>3294</v>
      </c>
      <c r="F192" s="1" t="s">
        <v>4730</v>
      </c>
    </row>
    <row r="193" spans="2:6" ht="15" x14ac:dyDescent="0.15">
      <c r="B193" s="686" t="s">
        <v>3501</v>
      </c>
      <c r="D193" s="699" t="s">
        <v>4599</v>
      </c>
      <c r="E193" s="1" t="s">
        <v>4083</v>
      </c>
    </row>
    <row r="194" spans="2:6" ht="15" x14ac:dyDescent="0.15">
      <c r="B194" s="686" t="s">
        <v>2221</v>
      </c>
      <c r="D194" s="703" t="s">
        <v>3390</v>
      </c>
      <c r="E194" s="704"/>
      <c r="F194" s="704"/>
    </row>
    <row r="195" spans="2:6" ht="15" x14ac:dyDescent="0.15">
      <c r="B195" s="686" t="s">
        <v>2865</v>
      </c>
      <c r="D195" s="265" t="s">
        <v>3318</v>
      </c>
      <c r="F195" s="1" t="s">
        <v>4730</v>
      </c>
    </row>
    <row r="196" spans="2:6" x14ac:dyDescent="0.1">
      <c r="B196" s="686" t="s">
        <v>2224</v>
      </c>
      <c r="D196" s="699" t="s">
        <v>4414</v>
      </c>
      <c r="E196" s="4" t="s">
        <v>72</v>
      </c>
    </row>
    <row r="197" spans="2:6" ht="15" x14ac:dyDescent="0.15">
      <c r="B197" s="390" t="s">
        <v>3471</v>
      </c>
      <c r="D197" s="265" t="s">
        <v>672</v>
      </c>
      <c r="F197" s="1" t="s">
        <v>4730</v>
      </c>
    </row>
    <row r="198" spans="2:6" ht="15" x14ac:dyDescent="0.15">
      <c r="B198" s="686" t="s">
        <v>2226</v>
      </c>
      <c r="D198" s="265" t="s">
        <v>2575</v>
      </c>
      <c r="F198" s="1" t="s">
        <v>4730</v>
      </c>
    </row>
    <row r="199" spans="2:6" ht="15" x14ac:dyDescent="0.15">
      <c r="B199" s="686" t="s">
        <v>2228</v>
      </c>
      <c r="D199" s="703" t="s">
        <v>3353</v>
      </c>
      <c r="E199" s="704"/>
      <c r="F199" s="704"/>
    </row>
    <row r="200" spans="2:6" x14ac:dyDescent="0.15">
      <c r="B200" s="686" t="s">
        <v>2230</v>
      </c>
    </row>
    <row r="201" spans="2:6" x14ac:dyDescent="0.15">
      <c r="B201" s="686" t="s">
        <v>3287</v>
      </c>
    </row>
    <row r="202" spans="2:6" x14ac:dyDescent="0.15">
      <c r="B202" s="686" t="s">
        <v>2952</v>
      </c>
    </row>
    <row r="203" spans="2:6" x14ac:dyDescent="0.15">
      <c r="B203" s="687" t="s">
        <v>3283</v>
      </c>
    </row>
    <row r="204" spans="2:6" x14ac:dyDescent="0.15">
      <c r="B204" s="686" t="s">
        <v>1318</v>
      </c>
    </row>
    <row r="205" spans="2:6" x14ac:dyDescent="0.15">
      <c r="B205" s="687" t="s">
        <v>3380</v>
      </c>
    </row>
    <row r="206" spans="2:6" x14ac:dyDescent="0.15">
      <c r="B206" s="686" t="s">
        <v>2236</v>
      </c>
    </row>
    <row r="207" spans="2:6" x14ac:dyDescent="0.15">
      <c r="B207" s="390" t="s">
        <v>3256</v>
      </c>
    </row>
    <row r="208" spans="2:6" x14ac:dyDescent="0.15">
      <c r="B208" s="390" t="s">
        <v>3294</v>
      </c>
    </row>
    <row r="209" spans="2:15" x14ac:dyDescent="0.15">
      <c r="B209" s="390" t="s">
        <v>3307</v>
      </c>
    </row>
    <row r="210" spans="2:15" x14ac:dyDescent="0.15">
      <c r="B210" s="687" t="s">
        <v>3390</v>
      </c>
    </row>
    <row r="211" spans="2:15" x14ac:dyDescent="0.15">
      <c r="B211" s="390" t="s">
        <v>3318</v>
      </c>
    </row>
    <row r="212" spans="2:15" x14ac:dyDescent="0.15">
      <c r="B212" s="389" t="s">
        <v>672</v>
      </c>
    </row>
    <row r="213" spans="2:15" x14ac:dyDescent="0.15">
      <c r="B213" s="686" t="s">
        <v>3519</v>
      </c>
    </row>
    <row r="214" spans="2:15" x14ac:dyDescent="0.15">
      <c r="B214" s="390" t="s">
        <v>2575</v>
      </c>
    </row>
    <row r="215" spans="2:15" x14ac:dyDescent="0.15">
      <c r="B215" s="686" t="s">
        <v>3353</v>
      </c>
    </row>
    <row r="216" spans="2:15" x14ac:dyDescent="0.15">
      <c r="B216" s="686" t="s">
        <v>3251</v>
      </c>
    </row>
    <row r="217" spans="2:15" x14ac:dyDescent="0.15">
      <c r="B217" s="686" t="s">
        <v>2578</v>
      </c>
    </row>
    <row r="218" spans="2:15" ht="15" x14ac:dyDescent="0.15">
      <c r="B218" s="390" t="s">
        <v>3526</v>
      </c>
      <c r="D218" s="265" t="s">
        <v>3526</v>
      </c>
      <c r="F218" s="1" t="s">
        <v>4730</v>
      </c>
    </row>
    <row r="219" spans="2:15" ht="15" x14ac:dyDescent="0.15">
      <c r="B219" s="687" t="s">
        <v>3399</v>
      </c>
      <c r="D219" s="703" t="s">
        <v>4591</v>
      </c>
      <c r="E219" s="704" t="s">
        <v>4730</v>
      </c>
      <c r="F219" s="704"/>
      <c r="O219" s="1"/>
    </row>
    <row r="220" spans="2:15" ht="15" x14ac:dyDescent="0.15">
      <c r="B220" s="686" t="s">
        <v>2240</v>
      </c>
      <c r="D220" s="705" t="s">
        <v>66</v>
      </c>
      <c r="E220" s="706" t="s">
        <v>4730</v>
      </c>
    </row>
    <row r="221" spans="2:15" ht="15" x14ac:dyDescent="0.15">
      <c r="B221" s="686"/>
      <c r="D221" s="265" t="s">
        <v>3488</v>
      </c>
      <c r="F221" s="1" t="s">
        <v>4730</v>
      </c>
      <c r="H221" s="1"/>
      <c r="I221" s="1"/>
      <c r="J221" s="1"/>
      <c r="K221" s="1"/>
      <c r="L221" s="1"/>
      <c r="M221" s="1"/>
      <c r="N221" s="1"/>
      <c r="O221" s="1"/>
    </row>
    <row r="222" spans="2:15" ht="15" x14ac:dyDescent="0.15">
      <c r="B222" s="597" t="s">
        <v>3412</v>
      </c>
      <c r="D222" s="699" t="s">
        <v>4462</v>
      </c>
      <c r="E222" s="1" t="s">
        <v>4083</v>
      </c>
      <c r="H222" s="1"/>
      <c r="J222" s="1"/>
      <c r="L222" s="1"/>
      <c r="M222" s="1"/>
    </row>
    <row r="223" spans="2:15" ht="15" x14ac:dyDescent="0.15">
      <c r="B223" s="687" t="s">
        <v>3317</v>
      </c>
      <c r="D223" s="265" t="s">
        <v>3542</v>
      </c>
      <c r="F223" s="1" t="s">
        <v>4730</v>
      </c>
    </row>
    <row r="224" spans="2:15" x14ac:dyDescent="0.1">
      <c r="B224" s="688" t="s">
        <v>2799</v>
      </c>
      <c r="D224" s="265" t="s">
        <v>3309</v>
      </c>
    </row>
    <row r="225" spans="2:6" ht="15" x14ac:dyDescent="0.15">
      <c r="B225" s="687" t="s">
        <v>66</v>
      </c>
      <c r="D225" s="265" t="s">
        <v>2718</v>
      </c>
      <c r="F225" s="1" t="s">
        <v>4730</v>
      </c>
    </row>
    <row r="226" spans="2:6" ht="15" x14ac:dyDescent="0.15">
      <c r="B226" s="390" t="s">
        <v>3488</v>
      </c>
      <c r="D226" s="703" t="s">
        <v>1739</v>
      </c>
      <c r="E226" s="704"/>
      <c r="F226" s="704"/>
    </row>
    <row r="227" spans="2:6" ht="15" x14ac:dyDescent="0.15">
      <c r="B227" s="686" t="s">
        <v>2247</v>
      </c>
      <c r="D227" s="265" t="s">
        <v>674</v>
      </c>
      <c r="F227" s="1" t="s">
        <v>4730</v>
      </c>
    </row>
    <row r="228" spans="2:6" ht="15" x14ac:dyDescent="0.15">
      <c r="B228" s="686" t="s">
        <v>3542</v>
      </c>
      <c r="D228" s="265" t="s">
        <v>1885</v>
      </c>
      <c r="F228" s="1" t="s">
        <v>4730</v>
      </c>
    </row>
    <row r="229" spans="2:6" ht="15" x14ac:dyDescent="0.15">
      <c r="B229" s="686" t="s">
        <v>3309</v>
      </c>
      <c r="D229" s="265" t="s">
        <v>2253</v>
      </c>
      <c r="F229" s="1" t="s">
        <v>4730</v>
      </c>
    </row>
    <row r="230" spans="2:6" x14ac:dyDescent="0.1">
      <c r="B230" s="686" t="s">
        <v>2718</v>
      </c>
      <c r="D230" s="265" t="s">
        <v>4457</v>
      </c>
    </row>
    <row r="231" spans="2:6" ht="15" x14ac:dyDescent="0.15">
      <c r="B231" s="688" t="s">
        <v>1739</v>
      </c>
      <c r="D231" s="699" t="s">
        <v>4326</v>
      </c>
      <c r="E231" s="1" t="s">
        <v>4083</v>
      </c>
    </row>
    <row r="232" spans="2:6" x14ac:dyDescent="0.1">
      <c r="B232" s="389" t="s">
        <v>674</v>
      </c>
      <c r="D232" s="265" t="s">
        <v>4516</v>
      </c>
    </row>
    <row r="233" spans="2:6" ht="15" x14ac:dyDescent="0.15">
      <c r="B233" s="686" t="s">
        <v>1885</v>
      </c>
      <c r="D233" s="265" t="s">
        <v>2871</v>
      </c>
      <c r="F233" s="1" t="s">
        <v>4730</v>
      </c>
    </row>
    <row r="234" spans="2:6" ht="15" x14ac:dyDescent="0.15">
      <c r="B234" s="686" t="s">
        <v>2253</v>
      </c>
      <c r="D234" s="705" t="s">
        <v>4343</v>
      </c>
      <c r="E234" s="706"/>
    </row>
    <row r="235" spans="2:6" ht="15" x14ac:dyDescent="0.15">
      <c r="B235" s="687" t="s">
        <v>4180</v>
      </c>
      <c r="D235" s="265" t="s">
        <v>3321</v>
      </c>
      <c r="F235" s="1" t="s">
        <v>4730</v>
      </c>
    </row>
    <row r="236" spans="2:6" ht="15" x14ac:dyDescent="0.15">
      <c r="B236" s="686" t="s">
        <v>2581</v>
      </c>
      <c r="D236" s="265" t="s">
        <v>3296</v>
      </c>
      <c r="F236" s="1" t="s">
        <v>4730</v>
      </c>
    </row>
    <row r="237" spans="2:6" ht="15" x14ac:dyDescent="0.15">
      <c r="B237" s="690" t="s">
        <v>1328</v>
      </c>
      <c r="D237" s="703" t="s">
        <v>4368</v>
      </c>
      <c r="E237" s="704"/>
      <c r="F237" s="704"/>
    </row>
    <row r="238" spans="2:6" ht="15" x14ac:dyDescent="0.15">
      <c r="B238" s="686" t="s">
        <v>2871</v>
      </c>
      <c r="D238" s="265" t="s">
        <v>2258</v>
      </c>
      <c r="F238" s="1" t="s">
        <v>4730</v>
      </c>
    </row>
    <row r="239" spans="2:6" ht="15" x14ac:dyDescent="0.15">
      <c r="B239" s="390" t="s">
        <v>3505</v>
      </c>
      <c r="D239" s="265" t="s">
        <v>2587</v>
      </c>
      <c r="F239" s="1" t="s">
        <v>4730</v>
      </c>
    </row>
    <row r="240" spans="2:6" ht="15" x14ac:dyDescent="0.15">
      <c r="B240" s="686" t="s">
        <v>2583</v>
      </c>
      <c r="D240" s="265" t="s">
        <v>2263</v>
      </c>
      <c r="F240" s="1" t="s">
        <v>4730</v>
      </c>
    </row>
    <row r="241" spans="2:6" ht="15" x14ac:dyDescent="0.15">
      <c r="B241" s="688" t="s">
        <v>3450</v>
      </c>
      <c r="D241" s="265" t="s">
        <v>2589</v>
      </c>
      <c r="F241" s="1" t="s">
        <v>4730</v>
      </c>
    </row>
    <row r="242" spans="2:6" ht="15" x14ac:dyDescent="0.15">
      <c r="B242" s="390" t="s">
        <v>3536</v>
      </c>
      <c r="D242" s="265" t="s">
        <v>2267</v>
      </c>
      <c r="F242" s="1" t="s">
        <v>4730</v>
      </c>
    </row>
    <row r="243" spans="2:6" ht="15" x14ac:dyDescent="0.15">
      <c r="B243" s="390" t="s">
        <v>3321</v>
      </c>
      <c r="D243" s="265" t="s">
        <v>3313</v>
      </c>
      <c r="F243" s="1" t="s">
        <v>4730</v>
      </c>
    </row>
    <row r="244" spans="2:6" ht="15" x14ac:dyDescent="0.15">
      <c r="B244" s="686" t="s">
        <v>3302</v>
      </c>
      <c r="D244" s="703" t="s">
        <v>1152</v>
      </c>
      <c r="E244" s="704"/>
      <c r="F244" s="704"/>
    </row>
    <row r="245" spans="2:6" ht="15" x14ac:dyDescent="0.15">
      <c r="B245" s="686" t="s">
        <v>3296</v>
      </c>
      <c r="D245" s="265" t="s">
        <v>1742</v>
      </c>
      <c r="F245" s="1" t="s">
        <v>4730</v>
      </c>
    </row>
    <row r="246" spans="2:6" ht="15" x14ac:dyDescent="0.15">
      <c r="B246" s="686" t="s">
        <v>2258</v>
      </c>
      <c r="D246" s="703" t="s">
        <v>2593</v>
      </c>
      <c r="E246" s="704"/>
      <c r="F246" s="704"/>
    </row>
    <row r="247" spans="2:6" ht="15" x14ac:dyDescent="0.15">
      <c r="B247" s="686" t="s">
        <v>2587</v>
      </c>
      <c r="D247" s="703" t="s">
        <v>2882</v>
      </c>
      <c r="E247" s="704"/>
      <c r="F247" s="704"/>
    </row>
    <row r="248" spans="2:6" ht="15" x14ac:dyDescent="0.15">
      <c r="B248" s="686" t="s">
        <v>2263</v>
      </c>
      <c r="D248" s="265" t="s">
        <v>3268</v>
      </c>
      <c r="E248" s="1"/>
      <c r="F248" s="1" t="s">
        <v>4730</v>
      </c>
    </row>
    <row r="249" spans="2:6" ht="15" x14ac:dyDescent="0.15">
      <c r="B249" s="389" t="s">
        <v>2589</v>
      </c>
      <c r="D249" s="703" t="s">
        <v>2278</v>
      </c>
      <c r="E249" s="704"/>
      <c r="F249" s="704"/>
    </row>
    <row r="250" spans="2:6" ht="15" x14ac:dyDescent="0.15">
      <c r="B250" s="389" t="s">
        <v>2267</v>
      </c>
      <c r="D250" s="265" t="s">
        <v>4422</v>
      </c>
      <c r="F250" s="1" t="s">
        <v>4730</v>
      </c>
    </row>
    <row r="251" spans="2:6" x14ac:dyDescent="0.15">
      <c r="B251" s="686" t="s">
        <v>3313</v>
      </c>
    </row>
    <row r="252" spans="2:6" x14ac:dyDescent="0.15">
      <c r="B252" s="687" t="s">
        <v>1152</v>
      </c>
    </row>
    <row r="253" spans="2:6" x14ac:dyDescent="0.15">
      <c r="B253" s="686" t="s">
        <v>2274</v>
      </c>
    </row>
    <row r="254" spans="2:6" x14ac:dyDescent="0.15">
      <c r="B254" s="687" t="s">
        <v>4259</v>
      </c>
    </row>
    <row r="255" spans="2:6" x14ac:dyDescent="0.15">
      <c r="B255" s="686" t="s">
        <v>1742</v>
      </c>
    </row>
    <row r="256" spans="2:6" x14ac:dyDescent="0.15">
      <c r="B256" s="686" t="s">
        <v>2593</v>
      </c>
    </row>
    <row r="257" spans="2:6" x14ac:dyDescent="0.15">
      <c r="B257" s="390" t="s">
        <v>2593</v>
      </c>
    </row>
    <row r="258" spans="2:6" ht="15" x14ac:dyDescent="0.15">
      <c r="B258" s="688" t="s">
        <v>2882</v>
      </c>
      <c r="D258" s="703" t="s">
        <v>3336</v>
      </c>
      <c r="E258" s="704"/>
      <c r="F258" s="704"/>
    </row>
    <row r="259" spans="2:6" ht="15" x14ac:dyDescent="0.15">
      <c r="B259" s="686" t="s">
        <v>1744</v>
      </c>
      <c r="D259" s="265" t="s">
        <v>2603</v>
      </c>
      <c r="F259" s="1" t="s">
        <v>4730</v>
      </c>
    </row>
    <row r="260" spans="2:6" ht="15" x14ac:dyDescent="0.15">
      <c r="B260" s="692" t="s">
        <v>3268</v>
      </c>
      <c r="D260" s="265" t="s">
        <v>2298</v>
      </c>
      <c r="F260" s="1" t="s">
        <v>4730</v>
      </c>
    </row>
    <row r="261" spans="2:6" ht="15" x14ac:dyDescent="0.15">
      <c r="B261" s="686" t="s">
        <v>2280</v>
      </c>
      <c r="D261" s="703" t="s">
        <v>1546</v>
      </c>
      <c r="E261" s="704"/>
      <c r="F261" s="704"/>
    </row>
    <row r="262" spans="2:6" ht="15" x14ac:dyDescent="0.15">
      <c r="B262" s="686" t="s">
        <v>2288</v>
      </c>
      <c r="D262" s="265" t="s">
        <v>2607</v>
      </c>
      <c r="F262" s="1" t="s">
        <v>4730</v>
      </c>
    </row>
    <row r="263" spans="2:6" ht="15" x14ac:dyDescent="0.15">
      <c r="B263" s="687" t="s">
        <v>3336</v>
      </c>
      <c r="D263" s="703" t="s">
        <v>3367</v>
      </c>
      <c r="E263" s="704"/>
      <c r="F263" s="704"/>
    </row>
    <row r="264" spans="2:6" ht="15" x14ac:dyDescent="0.15">
      <c r="B264" s="390" t="s">
        <v>2603</v>
      </c>
      <c r="D264" s="699" t="s">
        <v>4345</v>
      </c>
      <c r="E264" s="1" t="s">
        <v>4083</v>
      </c>
    </row>
    <row r="265" spans="2:6" ht="15" x14ac:dyDescent="0.15">
      <c r="B265" s="692" t="s">
        <v>2884</v>
      </c>
      <c r="D265" s="265" t="s">
        <v>2610</v>
      </c>
      <c r="F265" s="1" t="s">
        <v>4730</v>
      </c>
    </row>
    <row r="266" spans="2:6" ht="15" x14ac:dyDescent="0.15">
      <c r="B266" s="686" t="s">
        <v>2605</v>
      </c>
      <c r="D266" s="699" t="s">
        <v>4632</v>
      </c>
      <c r="E266" s="1" t="s">
        <v>4083</v>
      </c>
    </row>
    <row r="267" spans="2:6" ht="15" x14ac:dyDescent="0.15">
      <c r="B267" s="686" t="s">
        <v>2296</v>
      </c>
      <c r="D267" s="699" t="s">
        <v>4344</v>
      </c>
      <c r="E267" s="1" t="s">
        <v>4730</v>
      </c>
    </row>
    <row r="268" spans="2:6" ht="15" x14ac:dyDescent="0.15">
      <c r="B268" s="686" t="s">
        <v>2298</v>
      </c>
      <c r="D268" s="265" t="s">
        <v>676</v>
      </c>
      <c r="F268" s="1" t="s">
        <v>4730</v>
      </c>
    </row>
    <row r="269" spans="2:6" ht="15" x14ac:dyDescent="0.15">
      <c r="B269" s="687" t="s">
        <v>1546</v>
      </c>
      <c r="D269" s="703" t="s">
        <v>4448</v>
      </c>
      <c r="E269" s="677" t="s">
        <v>4830</v>
      </c>
      <c r="F269" s="704"/>
    </row>
    <row r="270" spans="2:6" ht="15" x14ac:dyDescent="0.15">
      <c r="B270" s="690" t="s">
        <v>2607</v>
      </c>
      <c r="D270" s="265" t="s">
        <v>2311</v>
      </c>
      <c r="F270" s="1" t="s">
        <v>4730</v>
      </c>
    </row>
    <row r="271" spans="2:6" ht="15" x14ac:dyDescent="0.15">
      <c r="B271" s="687" t="s">
        <v>3367</v>
      </c>
      <c r="D271" s="265" t="s">
        <v>2612</v>
      </c>
      <c r="F271" s="1" t="s">
        <v>4730</v>
      </c>
    </row>
    <row r="272" spans="2:6" ht="15" x14ac:dyDescent="0.15">
      <c r="B272" s="390" t="s">
        <v>2610</v>
      </c>
      <c r="D272" s="265" t="s">
        <v>3953</v>
      </c>
      <c r="F272" s="1" t="s">
        <v>4730</v>
      </c>
    </row>
    <row r="273" spans="2:6" ht="15" x14ac:dyDescent="0.15">
      <c r="B273" s="686" t="s">
        <v>507</v>
      </c>
      <c r="D273" s="703" t="s">
        <v>4500</v>
      </c>
      <c r="E273" s="704"/>
      <c r="F273" s="704"/>
    </row>
    <row r="274" spans="2:6" ht="15" x14ac:dyDescent="0.15">
      <c r="B274" s="687" t="s">
        <v>3269</v>
      </c>
      <c r="D274" s="265" t="s">
        <v>2616</v>
      </c>
      <c r="F274" s="1" t="s">
        <v>4730</v>
      </c>
    </row>
    <row r="275" spans="2:6" ht="15" x14ac:dyDescent="0.15">
      <c r="B275" s="693" t="s">
        <v>676</v>
      </c>
      <c r="D275" s="703" t="s">
        <v>3352</v>
      </c>
      <c r="E275" s="704"/>
      <c r="F275" s="704"/>
    </row>
    <row r="276" spans="2:6" ht="15" x14ac:dyDescent="0.15">
      <c r="B276" s="686" t="s">
        <v>2311</v>
      </c>
      <c r="D276" s="265" t="s">
        <v>2317</v>
      </c>
      <c r="F276" s="1" t="s">
        <v>4730</v>
      </c>
    </row>
    <row r="277" spans="2:6" ht="15" x14ac:dyDescent="0.15">
      <c r="B277" s="696" t="s">
        <v>2612</v>
      </c>
      <c r="D277" s="699" t="s">
        <v>4401</v>
      </c>
      <c r="E277" s="1" t="s">
        <v>4083</v>
      </c>
    </row>
    <row r="278" spans="2:6" ht="15" x14ac:dyDescent="0.15">
      <c r="B278" s="686" t="s">
        <v>3953</v>
      </c>
      <c r="D278" s="705" t="s">
        <v>3516</v>
      </c>
      <c r="E278" s="706" t="s">
        <v>4730</v>
      </c>
    </row>
    <row r="279" spans="2:6" ht="15" x14ac:dyDescent="0.15">
      <c r="B279" s="686" t="s">
        <v>2313</v>
      </c>
      <c r="D279" s="265" t="s">
        <v>2619</v>
      </c>
      <c r="F279" s="1" t="s">
        <v>4730</v>
      </c>
    </row>
    <row r="280" spans="2:6" ht="15" x14ac:dyDescent="0.15">
      <c r="B280" s="687" t="s">
        <v>3272</v>
      </c>
      <c r="D280" s="703" t="s">
        <v>4322</v>
      </c>
      <c r="E280" s="677" t="s">
        <v>4830</v>
      </c>
      <c r="F280" s="704"/>
    </row>
    <row r="281" spans="2:6" ht="15" x14ac:dyDescent="0.15">
      <c r="B281" s="687" t="s">
        <v>4187</v>
      </c>
      <c r="D281" s="705" t="s">
        <v>3242</v>
      </c>
      <c r="E281" s="706"/>
    </row>
    <row r="282" spans="2:6" ht="15" x14ac:dyDescent="0.15">
      <c r="B282" s="690" t="s">
        <v>3247</v>
      </c>
      <c r="D282" s="265" t="s">
        <v>2324</v>
      </c>
      <c r="F282" s="1" t="s">
        <v>4730</v>
      </c>
    </row>
    <row r="283" spans="2:6" ht="15" x14ac:dyDescent="0.15">
      <c r="B283" s="389" t="s">
        <v>2616</v>
      </c>
      <c r="D283" s="705" t="s">
        <v>4601</v>
      </c>
      <c r="E283" s="706" t="s">
        <v>4730</v>
      </c>
    </row>
    <row r="284" spans="2:6" ht="15" x14ac:dyDescent="0.15">
      <c r="B284" s="688" t="s">
        <v>3352</v>
      </c>
      <c r="D284" s="265" t="s">
        <v>72</v>
      </c>
      <c r="F284" s="1" t="s">
        <v>4730</v>
      </c>
    </row>
    <row r="285" spans="2:6" ht="15" x14ac:dyDescent="0.15">
      <c r="B285" s="686" t="s">
        <v>2317</v>
      </c>
      <c r="D285" s="699" t="s">
        <v>4335</v>
      </c>
      <c r="E285" s="1" t="s">
        <v>4083</v>
      </c>
    </row>
    <row r="286" spans="2:6" ht="15" x14ac:dyDescent="0.15">
      <c r="B286" s="686" t="s">
        <v>2321</v>
      </c>
      <c r="D286" s="265" t="s">
        <v>2334</v>
      </c>
      <c r="F286" s="1" t="s">
        <v>4730</v>
      </c>
    </row>
    <row r="287" spans="2:6" ht="15" x14ac:dyDescent="0.15">
      <c r="B287" s="686" t="s">
        <v>2619</v>
      </c>
      <c r="D287" s="265" t="s">
        <v>2889</v>
      </c>
      <c r="F287" s="1" t="s">
        <v>4730</v>
      </c>
    </row>
    <row r="288" spans="2:6" ht="15" x14ac:dyDescent="0.15">
      <c r="B288" s="686" t="s">
        <v>32</v>
      </c>
      <c r="D288" s="699" t="s">
        <v>4582</v>
      </c>
      <c r="E288" s="1" t="s">
        <v>4083</v>
      </c>
      <c r="F288" s="1" t="s">
        <v>4730</v>
      </c>
    </row>
    <row r="289" spans="2:6" ht="15" x14ac:dyDescent="0.15">
      <c r="B289" s="390" t="s">
        <v>3242</v>
      </c>
      <c r="D289" s="703" t="s">
        <v>2893</v>
      </c>
      <c r="E289" s="704"/>
      <c r="F289" s="704"/>
    </row>
    <row r="290" spans="2:6" ht="15" x14ac:dyDescent="0.15">
      <c r="B290" s="686" t="s">
        <v>2324</v>
      </c>
      <c r="D290" s="265" t="s">
        <v>3267</v>
      </c>
      <c r="F290" s="1" t="s">
        <v>4730</v>
      </c>
    </row>
    <row r="291" spans="2:6" ht="15" x14ac:dyDescent="0.15">
      <c r="B291" s="690" t="s">
        <v>3257</v>
      </c>
      <c r="D291" s="703" t="s">
        <v>511</v>
      </c>
      <c r="E291" s="704"/>
      <c r="F291" s="704"/>
    </row>
    <row r="292" spans="2:6" ht="15" x14ac:dyDescent="0.15">
      <c r="B292" s="686" t="s">
        <v>72</v>
      </c>
      <c r="D292" s="703" t="s">
        <v>4381</v>
      </c>
      <c r="E292" s="704"/>
      <c r="F292" s="704"/>
    </row>
    <row r="293" spans="2:6" ht="15" x14ac:dyDescent="0.15">
      <c r="B293" s="686" t="s">
        <v>2326</v>
      </c>
      <c r="D293" s="265" t="s">
        <v>2342</v>
      </c>
      <c r="F293" s="1" t="s">
        <v>4730</v>
      </c>
    </row>
    <row r="294" spans="2:6" ht="15" x14ac:dyDescent="0.15">
      <c r="B294" s="686" t="s">
        <v>2330</v>
      </c>
      <c r="D294" s="703" t="s">
        <v>2344</v>
      </c>
      <c r="E294" s="704"/>
      <c r="F294" s="704"/>
    </row>
    <row r="295" spans="2:6" ht="15" x14ac:dyDescent="0.15">
      <c r="B295" s="686" t="s">
        <v>2969</v>
      </c>
      <c r="D295" s="265" t="s">
        <v>2347</v>
      </c>
      <c r="F295" s="1" t="s">
        <v>4730</v>
      </c>
    </row>
    <row r="296" spans="2:6" ht="15" x14ac:dyDescent="0.15">
      <c r="B296" s="686" t="s">
        <v>3364</v>
      </c>
      <c r="D296" s="265" t="s">
        <v>2351</v>
      </c>
      <c r="E296" s="1"/>
      <c r="F296" s="1" t="s">
        <v>4730</v>
      </c>
    </row>
    <row r="297" spans="2:6" ht="15" x14ac:dyDescent="0.15">
      <c r="B297" s="686" t="s">
        <v>2334</v>
      </c>
      <c r="D297" s="699" t="s">
        <v>4517</v>
      </c>
      <c r="E297" s="1" t="s">
        <v>4083</v>
      </c>
    </row>
    <row r="298" spans="2:6" ht="15" x14ac:dyDescent="0.15">
      <c r="B298" s="692" t="s">
        <v>2889</v>
      </c>
      <c r="D298" s="703" t="s">
        <v>4407</v>
      </c>
      <c r="E298" s="704" t="s">
        <v>4083</v>
      </c>
      <c r="F298" s="704"/>
    </row>
    <row r="299" spans="2:6" ht="15" x14ac:dyDescent="0.15">
      <c r="B299" s="686" t="s">
        <v>2893</v>
      </c>
      <c r="D299" s="265" t="s">
        <v>2623</v>
      </c>
      <c r="F299" s="1" t="s">
        <v>4730</v>
      </c>
    </row>
    <row r="300" spans="2:6" ht="15" x14ac:dyDescent="0.15">
      <c r="B300" s="390" t="s">
        <v>2338</v>
      </c>
      <c r="D300" s="265" t="s">
        <v>2358</v>
      </c>
      <c r="F300" s="1" t="s">
        <v>4730</v>
      </c>
    </row>
    <row r="301" spans="2:6" ht="15" x14ac:dyDescent="0.15">
      <c r="B301" s="686" t="s">
        <v>3267</v>
      </c>
      <c r="D301" s="265" t="s">
        <v>2364</v>
      </c>
      <c r="F301" s="1" t="s">
        <v>4730</v>
      </c>
    </row>
    <row r="302" spans="2:6" ht="15" x14ac:dyDescent="0.15">
      <c r="B302" s="690" t="s">
        <v>511</v>
      </c>
      <c r="D302" s="265" t="s">
        <v>2366</v>
      </c>
      <c r="F302" s="1" t="s">
        <v>4730</v>
      </c>
    </row>
    <row r="303" spans="2:6" ht="15" x14ac:dyDescent="0.15">
      <c r="B303" s="686" t="s">
        <v>2340</v>
      </c>
      <c r="D303" s="265" t="s">
        <v>2973</v>
      </c>
      <c r="F303" s="1" t="s">
        <v>4730</v>
      </c>
    </row>
    <row r="304" spans="2:6" x14ac:dyDescent="0.15">
      <c r="B304" s="390" t="s">
        <v>3515</v>
      </c>
    </row>
    <row r="305" spans="2:6" x14ac:dyDescent="0.15">
      <c r="B305" s="686" t="s">
        <v>2342</v>
      </c>
    </row>
    <row r="306" spans="2:6" x14ac:dyDescent="0.15">
      <c r="B306" s="686" t="s">
        <v>36</v>
      </c>
    </row>
    <row r="307" spans="2:6" x14ac:dyDescent="0.15">
      <c r="B307" s="686" t="s">
        <v>2344</v>
      </c>
    </row>
    <row r="308" spans="2:6" x14ac:dyDescent="0.15">
      <c r="B308" s="686" t="s">
        <v>2347</v>
      </c>
    </row>
    <row r="309" spans="2:6" x14ac:dyDescent="0.15">
      <c r="B309" s="686" t="s">
        <v>2351</v>
      </c>
    </row>
    <row r="310" spans="2:6" x14ac:dyDescent="0.15">
      <c r="B310" s="690" t="s">
        <v>2623</v>
      </c>
    </row>
    <row r="311" spans="2:6" x14ac:dyDescent="0.15">
      <c r="B311" s="686" t="s">
        <v>2358</v>
      </c>
    </row>
    <row r="312" spans="2:6" x14ac:dyDescent="0.15">
      <c r="B312" s="686" t="s">
        <v>2364</v>
      </c>
    </row>
    <row r="313" spans="2:6" x14ac:dyDescent="0.15">
      <c r="B313" s="390" t="s">
        <v>2366</v>
      </c>
    </row>
    <row r="314" spans="2:6" x14ac:dyDescent="0.15">
      <c r="B314" s="686" t="s">
        <v>2899</v>
      </c>
    </row>
    <row r="315" spans="2:6" x14ac:dyDescent="0.15">
      <c r="B315" s="686" t="s">
        <v>2973</v>
      </c>
    </row>
    <row r="316" spans="2:6" x14ac:dyDescent="0.15">
      <c r="B316" s="687" t="s">
        <v>3345</v>
      </c>
    </row>
    <row r="317" spans="2:6" x14ac:dyDescent="0.15">
      <c r="B317" s="686" t="s">
        <v>3326</v>
      </c>
    </row>
    <row r="318" spans="2:6" ht="15" x14ac:dyDescent="0.15">
      <c r="B318" s="686" t="s">
        <v>3576</v>
      </c>
      <c r="D318" s="265" t="s">
        <v>3326</v>
      </c>
      <c r="F318" s="1" t="s">
        <v>4730</v>
      </c>
    </row>
    <row r="319" spans="2:6" ht="15" x14ac:dyDescent="0.15">
      <c r="B319" s="597" t="s">
        <v>3305</v>
      </c>
      <c r="D319" s="699" t="s">
        <v>3552</v>
      </c>
      <c r="E319" s="1" t="s">
        <v>4083</v>
      </c>
    </row>
    <row r="320" spans="2:6" ht="15" x14ac:dyDescent="0.15">
      <c r="B320" s="686" t="s">
        <v>1548</v>
      </c>
      <c r="D320" s="705" t="s">
        <v>4354</v>
      </c>
      <c r="E320" s="706" t="s">
        <v>4730</v>
      </c>
    </row>
    <row r="321" spans="2:6" ht="15" x14ac:dyDescent="0.15">
      <c r="B321" s="389" t="s">
        <v>678</v>
      </c>
      <c r="D321" s="265" t="s">
        <v>4610</v>
      </c>
      <c r="F321" s="1" t="s">
        <v>4730</v>
      </c>
    </row>
    <row r="322" spans="2:6" ht="15" x14ac:dyDescent="0.15">
      <c r="B322" s="390" t="s">
        <v>4142</v>
      </c>
      <c r="D322" s="265" t="s">
        <v>1548</v>
      </c>
      <c r="F322" s="1" t="s">
        <v>4730</v>
      </c>
    </row>
    <row r="323" spans="2:6" ht="15" x14ac:dyDescent="0.15">
      <c r="B323" s="389" t="s">
        <v>680</v>
      </c>
      <c r="D323" s="265" t="s">
        <v>680</v>
      </c>
      <c r="E323" s="1" t="s">
        <v>3396</v>
      </c>
      <c r="F323" s="1" t="s">
        <v>4730</v>
      </c>
    </row>
    <row r="324" spans="2:6" ht="15" x14ac:dyDescent="0.15">
      <c r="B324" s="687" t="s">
        <v>1177</v>
      </c>
      <c r="D324" s="265" t="s">
        <v>2903</v>
      </c>
      <c r="F324" s="1" t="s">
        <v>4730</v>
      </c>
    </row>
    <row r="325" spans="2:6" ht="15" x14ac:dyDescent="0.15">
      <c r="B325" s="390" t="s">
        <v>3882</v>
      </c>
      <c r="D325" s="265" t="s">
        <v>4057</v>
      </c>
      <c r="F325" s="1" t="s">
        <v>4730</v>
      </c>
    </row>
    <row r="326" spans="2:6" ht="15" x14ac:dyDescent="0.15">
      <c r="B326" s="692" t="s">
        <v>2903</v>
      </c>
      <c r="D326" s="705" t="s">
        <v>2905</v>
      </c>
      <c r="E326" s="706" t="s">
        <v>4730</v>
      </c>
    </row>
    <row r="327" spans="2:6" ht="15" x14ac:dyDescent="0.15">
      <c r="B327" s="686" t="s">
        <v>4057</v>
      </c>
      <c r="D327" s="705" t="s">
        <v>3316</v>
      </c>
      <c r="E327" s="706" t="s">
        <v>4730</v>
      </c>
    </row>
    <row r="328" spans="2:6" x14ac:dyDescent="0.1">
      <c r="B328" s="686" t="s">
        <v>2378</v>
      </c>
      <c r="D328" s="265" t="s">
        <v>3273</v>
      </c>
    </row>
    <row r="329" spans="2:6" ht="15" x14ac:dyDescent="0.15">
      <c r="B329" s="686" t="s">
        <v>2628</v>
      </c>
      <c r="D329" s="265" t="s">
        <v>3339</v>
      </c>
      <c r="F329" s="1" t="s">
        <v>4730</v>
      </c>
    </row>
    <row r="330" spans="2:6" ht="15" x14ac:dyDescent="0.15">
      <c r="B330" s="687" t="s">
        <v>3273</v>
      </c>
      <c r="D330" s="265" t="s">
        <v>3347</v>
      </c>
      <c r="E330" s="1"/>
      <c r="F330" s="1" t="s">
        <v>4730</v>
      </c>
    </row>
    <row r="331" spans="2:6" ht="15" x14ac:dyDescent="0.15">
      <c r="B331" s="390" t="s">
        <v>3329</v>
      </c>
      <c r="D331" s="703" t="s">
        <v>3378</v>
      </c>
      <c r="E331" s="704"/>
      <c r="F331" s="704"/>
    </row>
    <row r="332" spans="2:6" ht="15" x14ac:dyDescent="0.15">
      <c r="B332" s="390" t="s">
        <v>3556</v>
      </c>
      <c r="D332" s="703" t="s">
        <v>45</v>
      </c>
      <c r="E332" s="704"/>
      <c r="F332" s="704"/>
    </row>
    <row r="333" spans="2:6" ht="15" x14ac:dyDescent="0.15">
      <c r="B333" s="390" t="s">
        <v>3339</v>
      </c>
      <c r="D333" s="699" t="s">
        <v>3274</v>
      </c>
      <c r="E333" s="1" t="s">
        <v>4083</v>
      </c>
    </row>
    <row r="334" spans="2:6" ht="15" x14ac:dyDescent="0.15">
      <c r="B334" s="597" t="s">
        <v>3347</v>
      </c>
      <c r="D334" s="265" t="s">
        <v>3239</v>
      </c>
      <c r="F334" s="1" t="s">
        <v>4730</v>
      </c>
    </row>
    <row r="335" spans="2:6" ht="15" x14ac:dyDescent="0.15">
      <c r="B335" s="688" t="s">
        <v>3378</v>
      </c>
      <c r="D335" s="265" t="s">
        <v>2393</v>
      </c>
      <c r="F335" s="1" t="s">
        <v>4730</v>
      </c>
    </row>
    <row r="336" spans="2:6" ht="15" x14ac:dyDescent="0.15">
      <c r="B336" s="390" t="s">
        <v>3357</v>
      </c>
      <c r="D336" s="703" t="s">
        <v>3365</v>
      </c>
      <c r="E336" s="677" t="s">
        <v>4830</v>
      </c>
      <c r="F336" s="704"/>
    </row>
    <row r="337" spans="2:6" ht="15" x14ac:dyDescent="0.15">
      <c r="B337" s="390" t="s">
        <v>3533</v>
      </c>
      <c r="D337" s="265" t="s">
        <v>4089</v>
      </c>
      <c r="E337" s="1"/>
      <c r="F337" s="1" t="s">
        <v>4730</v>
      </c>
    </row>
    <row r="338" spans="2:6" ht="15" x14ac:dyDescent="0.15">
      <c r="B338" s="686" t="s">
        <v>3274</v>
      </c>
      <c r="D338" s="265" t="s">
        <v>2636</v>
      </c>
      <c r="F338" s="1" t="s">
        <v>4730</v>
      </c>
    </row>
    <row r="339" spans="2:6" ht="15" x14ac:dyDescent="0.15">
      <c r="B339" s="686" t="s">
        <v>3387</v>
      </c>
      <c r="D339" s="265" t="s">
        <v>1920</v>
      </c>
      <c r="F339" s="1" t="s">
        <v>4730</v>
      </c>
    </row>
    <row r="340" spans="2:6" ht="15" x14ac:dyDescent="0.15">
      <c r="B340" s="692" t="s">
        <v>3239</v>
      </c>
      <c r="D340" s="705" t="s">
        <v>1923</v>
      </c>
      <c r="E340" s="706"/>
    </row>
    <row r="341" spans="2:6" ht="15" x14ac:dyDescent="0.15">
      <c r="B341" s="390" t="s">
        <v>3553</v>
      </c>
      <c r="D341" s="265" t="s">
        <v>3415</v>
      </c>
      <c r="E341" s="1" t="s">
        <v>3396</v>
      </c>
      <c r="F341" s="1" t="s">
        <v>4730</v>
      </c>
    </row>
    <row r="342" spans="2:6" ht="15" x14ac:dyDescent="0.15">
      <c r="B342" s="390" t="s">
        <v>3368</v>
      </c>
      <c r="D342" s="703" t="s">
        <v>3578</v>
      </c>
      <c r="E342" s="704" t="s">
        <v>4083</v>
      </c>
      <c r="F342" s="704"/>
    </row>
    <row r="343" spans="2:6" ht="15" x14ac:dyDescent="0.15">
      <c r="B343" s="686" t="s">
        <v>2393</v>
      </c>
      <c r="D343" s="265" t="s">
        <v>3382</v>
      </c>
      <c r="F343" s="1" t="s">
        <v>4730</v>
      </c>
    </row>
    <row r="344" spans="2:6" ht="15" x14ac:dyDescent="0.15">
      <c r="B344" s="686" t="s">
        <v>3365</v>
      </c>
      <c r="D344" s="265" t="s">
        <v>3382</v>
      </c>
      <c r="F344" s="1" t="s">
        <v>4730</v>
      </c>
    </row>
    <row r="345" spans="2:6" ht="15" x14ac:dyDescent="0.15">
      <c r="B345" s="390" t="s">
        <v>4089</v>
      </c>
      <c r="D345" s="699" t="s">
        <v>4649</v>
      </c>
      <c r="E345" s="1" t="s">
        <v>4083</v>
      </c>
    </row>
    <row r="346" spans="2:6" x14ac:dyDescent="0.1">
      <c r="B346" s="686" t="s">
        <v>2395</v>
      </c>
      <c r="D346" s="265" t="s">
        <v>3392</v>
      </c>
    </row>
    <row r="347" spans="2:6" ht="15" x14ac:dyDescent="0.15">
      <c r="B347" s="389" t="s">
        <v>2636</v>
      </c>
      <c r="D347" s="705" t="s">
        <v>2405</v>
      </c>
      <c r="E347" s="706"/>
    </row>
    <row r="348" spans="2:6" ht="15" x14ac:dyDescent="0.15">
      <c r="B348" s="390" t="s">
        <v>2639</v>
      </c>
      <c r="D348" s="265" t="s">
        <v>2641</v>
      </c>
      <c r="F348" s="1" t="s">
        <v>4730</v>
      </c>
    </row>
    <row r="349" spans="2:6" x14ac:dyDescent="0.1">
      <c r="B349" s="686" t="s">
        <v>1920</v>
      </c>
      <c r="D349" s="265"/>
    </row>
    <row r="350" spans="2:6" ht="15" x14ac:dyDescent="0.15">
      <c r="B350" s="390" t="s">
        <v>3554</v>
      </c>
      <c r="D350" s="265" t="s">
        <v>2414</v>
      </c>
      <c r="F350" s="1" t="s">
        <v>4730</v>
      </c>
    </row>
    <row r="351" spans="2:6" ht="15" x14ac:dyDescent="0.15">
      <c r="B351" s="686" t="s">
        <v>3415</v>
      </c>
      <c r="D351" s="265" t="s">
        <v>2643</v>
      </c>
      <c r="F351" s="1" t="s">
        <v>4730</v>
      </c>
    </row>
    <row r="352" spans="2:6" ht="15" x14ac:dyDescent="0.15">
      <c r="B352" s="686" t="s">
        <v>3577</v>
      </c>
      <c r="D352" s="703" t="s">
        <v>2418</v>
      </c>
      <c r="E352" s="704"/>
      <c r="F352" s="704"/>
    </row>
    <row r="353" spans="2:6" ht="15" x14ac:dyDescent="0.15">
      <c r="B353" s="686" t="s">
        <v>2397</v>
      </c>
      <c r="D353" s="265" t="s">
        <v>3586</v>
      </c>
      <c r="E353" s="1"/>
      <c r="F353" s="1" t="s">
        <v>4730</v>
      </c>
    </row>
    <row r="354" spans="2:6" ht="15" x14ac:dyDescent="0.15">
      <c r="B354" s="686" t="s">
        <v>3382</v>
      </c>
      <c r="D354" s="705" t="s">
        <v>4337</v>
      </c>
      <c r="E354" s="706" t="s">
        <v>4730</v>
      </c>
    </row>
    <row r="355" spans="2:6" ht="15" x14ac:dyDescent="0.15">
      <c r="B355" s="390" t="s">
        <v>3382</v>
      </c>
      <c r="D355" s="703" t="s">
        <v>1200</v>
      </c>
      <c r="E355" s="677" t="s">
        <v>4830</v>
      </c>
      <c r="F355" s="704"/>
    </row>
    <row r="356" spans="2:6" ht="15" x14ac:dyDescent="0.15">
      <c r="B356" s="390" t="s">
        <v>3392</v>
      </c>
      <c r="D356" s="705" t="s">
        <v>1650</v>
      </c>
      <c r="E356" s="706" t="s">
        <v>4730</v>
      </c>
    </row>
    <row r="357" spans="2:6" x14ac:dyDescent="0.15">
      <c r="B357" s="686" t="s">
        <v>2405</v>
      </c>
    </row>
    <row r="358" spans="2:6" x14ac:dyDescent="0.15">
      <c r="B358" s="389" t="s">
        <v>2641</v>
      </c>
    </row>
    <row r="359" spans="2:6" x14ac:dyDescent="0.15">
      <c r="B359" s="688" t="s">
        <v>3454</v>
      </c>
      <c r="E359" s="1"/>
    </row>
    <row r="360" spans="2:6" x14ac:dyDescent="0.15">
      <c r="B360" s="687" t="s">
        <v>3348</v>
      </c>
      <c r="E360" s="1"/>
    </row>
    <row r="361" spans="2:6" x14ac:dyDescent="0.15">
      <c r="B361" s="686" t="s">
        <v>2414</v>
      </c>
    </row>
    <row r="362" spans="2:6" x14ac:dyDescent="0.15">
      <c r="B362" s="390" t="s">
        <v>2643</v>
      </c>
    </row>
    <row r="363" spans="2:6" x14ac:dyDescent="0.15">
      <c r="B363" s="686" t="s">
        <v>2418</v>
      </c>
    </row>
    <row r="364" spans="2:6" x14ac:dyDescent="0.15">
      <c r="B364" s="686" t="s">
        <v>2420</v>
      </c>
    </row>
    <row r="365" spans="2:6" x14ac:dyDescent="0.15">
      <c r="B365" s="686" t="s">
        <v>3586</v>
      </c>
    </row>
    <row r="366" spans="2:6" x14ac:dyDescent="0.15">
      <c r="B366" s="687" t="s">
        <v>4261</v>
      </c>
    </row>
    <row r="367" spans="2:6" x14ac:dyDescent="0.15">
      <c r="B367" s="686" t="s">
        <v>2432</v>
      </c>
    </row>
    <row r="368" spans="2:6" x14ac:dyDescent="0.15">
      <c r="B368" s="390" t="s">
        <v>2648</v>
      </c>
    </row>
    <row r="369" spans="2:6" x14ac:dyDescent="0.15">
      <c r="B369" s="686" t="s">
        <v>3406</v>
      </c>
    </row>
    <row r="370" spans="2:6" x14ac:dyDescent="0.15">
      <c r="B370" s="688" t="s">
        <v>3288</v>
      </c>
    </row>
    <row r="371" spans="2:6" ht="15" x14ac:dyDescent="0.15">
      <c r="B371" s="390" t="s">
        <v>49</v>
      </c>
      <c r="D371" s="703" t="s">
        <v>3288</v>
      </c>
      <c r="E371" s="704"/>
      <c r="F371" s="704"/>
    </row>
    <row r="372" spans="2:6" ht="15" x14ac:dyDescent="0.15">
      <c r="B372" s="686" t="s">
        <v>3299</v>
      </c>
      <c r="D372" s="265" t="s">
        <v>3244</v>
      </c>
      <c r="F372" s="1" t="s">
        <v>4730</v>
      </c>
    </row>
    <row r="373" spans="2:6" ht="15" x14ac:dyDescent="0.15">
      <c r="B373" s="686" t="s">
        <v>3580</v>
      </c>
      <c r="D373" s="699" t="s">
        <v>4609</v>
      </c>
      <c r="E373" s="1" t="s">
        <v>4083</v>
      </c>
    </row>
    <row r="374" spans="2:6" ht="15" x14ac:dyDescent="0.15">
      <c r="B374" s="687" t="s">
        <v>3426</v>
      </c>
      <c r="D374" s="265" t="s">
        <v>49</v>
      </c>
      <c r="F374" s="1" t="s">
        <v>4730</v>
      </c>
    </row>
    <row r="375" spans="2:6" ht="15" x14ac:dyDescent="0.15">
      <c r="B375" s="389" t="s">
        <v>684</v>
      </c>
      <c r="D375" s="699" t="s">
        <v>3299</v>
      </c>
      <c r="E375" s="1" t="s">
        <v>4083</v>
      </c>
    </row>
    <row r="376" spans="2:6" ht="15" x14ac:dyDescent="0.15">
      <c r="B376" s="686" t="s">
        <v>684</v>
      </c>
      <c r="D376" s="265" t="s">
        <v>3580</v>
      </c>
      <c r="F376" s="1" t="s">
        <v>4730</v>
      </c>
    </row>
    <row r="377" spans="2:6" ht="15" x14ac:dyDescent="0.15">
      <c r="B377" s="686" t="s">
        <v>2664</v>
      </c>
      <c r="D377" s="265" t="s">
        <v>684</v>
      </c>
      <c r="F377" s="1" t="s">
        <v>4730</v>
      </c>
    </row>
    <row r="378" spans="2:6" ht="15" x14ac:dyDescent="0.15">
      <c r="B378" s="687" t="s">
        <v>687</v>
      </c>
      <c r="D378" s="705" t="s">
        <v>4532</v>
      </c>
      <c r="E378" s="706" t="s">
        <v>4730</v>
      </c>
    </row>
    <row r="379" spans="2:6" ht="15" x14ac:dyDescent="0.15">
      <c r="B379" s="389" t="s">
        <v>687</v>
      </c>
      <c r="D379" s="705" t="s">
        <v>3338</v>
      </c>
      <c r="E379" s="706" t="s">
        <v>4730</v>
      </c>
    </row>
    <row r="380" spans="2:6" ht="15" x14ac:dyDescent="0.15">
      <c r="B380" s="686" t="s">
        <v>2668</v>
      </c>
      <c r="D380" s="265" t="s">
        <v>2664</v>
      </c>
      <c r="E380" s="1" t="s">
        <v>4730</v>
      </c>
      <c r="F380" s="1" t="s">
        <v>4730</v>
      </c>
    </row>
    <row r="381" spans="2:6" ht="15" x14ac:dyDescent="0.15">
      <c r="B381" s="687" t="s">
        <v>1550</v>
      </c>
      <c r="D381" s="705" t="s">
        <v>687</v>
      </c>
      <c r="E381" s="707" t="s">
        <v>4369</v>
      </c>
      <c r="F381" s="1" t="s">
        <v>4730</v>
      </c>
    </row>
    <row r="382" spans="2:6" ht="15" x14ac:dyDescent="0.15">
      <c r="B382" s="692" t="s">
        <v>2674</v>
      </c>
      <c r="D382" s="705" t="s">
        <v>3355</v>
      </c>
      <c r="E382" s="706"/>
    </row>
    <row r="383" spans="2:6" ht="15" x14ac:dyDescent="0.15">
      <c r="B383" s="690" t="s">
        <v>2677</v>
      </c>
      <c r="D383" s="265" t="s">
        <v>2674</v>
      </c>
      <c r="F383" s="1" t="s">
        <v>4730</v>
      </c>
    </row>
    <row r="384" spans="2:6" ht="15" x14ac:dyDescent="0.15">
      <c r="B384" s="686" t="s">
        <v>1928</v>
      </c>
      <c r="D384" s="265" t="s">
        <v>2677</v>
      </c>
      <c r="E384" s="1"/>
      <c r="F384" s="1" t="s">
        <v>4730</v>
      </c>
    </row>
    <row r="385" spans="2:6" ht="15" x14ac:dyDescent="0.15">
      <c r="B385" s="686" t="s">
        <v>2457</v>
      </c>
      <c r="D385" s="265" t="s">
        <v>2976</v>
      </c>
      <c r="E385" s="1"/>
      <c r="F385" s="1" t="s">
        <v>4730</v>
      </c>
    </row>
    <row r="386" spans="2:6" ht="15" x14ac:dyDescent="0.15">
      <c r="B386" s="686" t="s">
        <v>2976</v>
      </c>
      <c r="D386" s="265" t="s">
        <v>2460</v>
      </c>
      <c r="F386" s="1" t="s">
        <v>4730</v>
      </c>
    </row>
    <row r="387" spans="2:6" ht="15" x14ac:dyDescent="0.15">
      <c r="B387" s="686" t="s">
        <v>2460</v>
      </c>
      <c r="D387" s="265" t="s">
        <v>1553</v>
      </c>
      <c r="F387" s="1" t="s">
        <v>4730</v>
      </c>
    </row>
    <row r="388" spans="2:6" ht="15" x14ac:dyDescent="0.15">
      <c r="B388" s="692" t="s">
        <v>1553</v>
      </c>
      <c r="D388" s="265" t="s">
        <v>2682</v>
      </c>
      <c r="F388" s="1" t="s">
        <v>4730</v>
      </c>
    </row>
    <row r="389" spans="2:6" ht="15" x14ac:dyDescent="0.15">
      <c r="B389" s="390" t="s">
        <v>3869</v>
      </c>
      <c r="D389" s="265" t="s">
        <v>3366</v>
      </c>
      <c r="F389" s="1" t="s">
        <v>4730</v>
      </c>
    </row>
    <row r="390" spans="2:6" ht="15" x14ac:dyDescent="0.15">
      <c r="B390" s="687" t="s">
        <v>3366</v>
      </c>
      <c r="D390" s="265" t="s">
        <v>3366</v>
      </c>
      <c r="F390" s="1" t="s">
        <v>4730</v>
      </c>
    </row>
    <row r="391" spans="2:6" ht="15" x14ac:dyDescent="0.15">
      <c r="B391" s="688" t="s">
        <v>3304</v>
      </c>
      <c r="D391" s="265" t="s">
        <v>3366</v>
      </c>
      <c r="F391" s="1" t="s">
        <v>4730</v>
      </c>
    </row>
    <row r="392" spans="2:6" ht="15" x14ac:dyDescent="0.15">
      <c r="B392" s="686" t="s">
        <v>2466</v>
      </c>
      <c r="D392" s="703" t="s">
        <v>3304</v>
      </c>
      <c r="E392" s="704"/>
      <c r="F392" s="704"/>
    </row>
    <row r="393" spans="2:6" ht="15" x14ac:dyDescent="0.15">
      <c r="B393" s="686" t="s">
        <v>3443</v>
      </c>
      <c r="D393" s="265" t="s">
        <v>3443</v>
      </c>
      <c r="E393" s="4" t="s">
        <v>4830</v>
      </c>
      <c r="F393" s="1" t="s">
        <v>4730</v>
      </c>
    </row>
    <row r="394" spans="2:6" ht="15" x14ac:dyDescent="0.15">
      <c r="B394" s="686" t="s">
        <v>2476</v>
      </c>
      <c r="D394" s="703" t="s">
        <v>2472</v>
      </c>
      <c r="E394" s="704"/>
      <c r="F394" s="704"/>
    </row>
    <row r="395" spans="2:6" ht="15" x14ac:dyDescent="0.15">
      <c r="B395" s="693" t="s">
        <v>2687</v>
      </c>
      <c r="D395" s="265" t="s">
        <v>2687</v>
      </c>
      <c r="E395" s="1" t="s">
        <v>4083</v>
      </c>
      <c r="F395" s="1" t="s">
        <v>4730</v>
      </c>
    </row>
    <row r="396" spans="2:6" ht="15" x14ac:dyDescent="0.15">
      <c r="B396" s="686" t="s">
        <v>2482</v>
      </c>
      <c r="D396" s="699" t="s">
        <v>4485</v>
      </c>
      <c r="E396" s="1" t="s">
        <v>4083</v>
      </c>
    </row>
    <row r="397" spans="2:6" x14ac:dyDescent="0.1">
      <c r="B397" s="697" t="s">
        <v>3616</v>
      </c>
      <c r="D397" s="699" t="s">
        <v>4382</v>
      </c>
    </row>
    <row r="398" spans="2:6" ht="15" x14ac:dyDescent="0.15">
      <c r="B398" s="390" t="s">
        <v>3510</v>
      </c>
      <c r="D398" s="265" t="s">
        <v>2488</v>
      </c>
      <c r="F398" s="1" t="s">
        <v>4730</v>
      </c>
    </row>
    <row r="399" spans="2:6" ht="15" x14ac:dyDescent="0.15">
      <c r="B399" s="390" t="s">
        <v>3503</v>
      </c>
      <c r="D399" s="703" t="s">
        <v>4595</v>
      </c>
      <c r="E399" s="704"/>
      <c r="F399" s="704"/>
    </row>
    <row r="400" spans="2:6" ht="15" x14ac:dyDescent="0.15">
      <c r="B400" s="389" t="s">
        <v>2692</v>
      </c>
      <c r="D400" s="265" t="s">
        <v>2490</v>
      </c>
      <c r="F400" s="1" t="s">
        <v>4730</v>
      </c>
    </row>
    <row r="401" spans="2:6" ht="15" x14ac:dyDescent="0.15">
      <c r="B401" s="389" t="s">
        <v>690</v>
      </c>
      <c r="D401" s="265" t="s">
        <v>2494</v>
      </c>
      <c r="F401" s="1" t="s">
        <v>4730</v>
      </c>
    </row>
    <row r="402" spans="2:6" ht="15" x14ac:dyDescent="0.15">
      <c r="B402" s="686" t="s">
        <v>2486</v>
      </c>
      <c r="D402" s="265" t="s">
        <v>3431</v>
      </c>
      <c r="F402" s="1" t="s">
        <v>4730</v>
      </c>
    </row>
    <row r="403" spans="2:6" ht="15" x14ac:dyDescent="0.15">
      <c r="B403" s="686" t="s">
        <v>3584</v>
      </c>
      <c r="D403" s="265" t="s">
        <v>2700</v>
      </c>
      <c r="E403" s="1" t="s">
        <v>4083</v>
      </c>
      <c r="F403" s="1" t="s">
        <v>4730</v>
      </c>
    </row>
    <row r="404" spans="2:6" ht="15" x14ac:dyDescent="0.15">
      <c r="B404" s="686" t="s">
        <v>2488</v>
      </c>
      <c r="D404" s="705" t="s">
        <v>3383</v>
      </c>
      <c r="E404" s="706"/>
    </row>
    <row r="405" spans="2:6" ht="15" x14ac:dyDescent="0.15">
      <c r="B405" s="686" t="s">
        <v>55</v>
      </c>
      <c r="D405" s="265" t="s">
        <v>2496</v>
      </c>
      <c r="F405" s="1" t="s">
        <v>4831</v>
      </c>
    </row>
    <row r="406" spans="2:6" ht="15" x14ac:dyDescent="0.15">
      <c r="B406" s="389" t="s">
        <v>2490</v>
      </c>
      <c r="D406" s="265" t="s">
        <v>3423</v>
      </c>
      <c r="F406" s="1" t="s">
        <v>4730</v>
      </c>
    </row>
    <row r="407" spans="2:6" x14ac:dyDescent="0.15">
      <c r="B407" s="686" t="s">
        <v>2494</v>
      </c>
    </row>
    <row r="408" spans="2:6" x14ac:dyDescent="0.15">
      <c r="B408" s="390" t="s">
        <v>3431</v>
      </c>
    </row>
    <row r="409" spans="2:6" x14ac:dyDescent="0.15">
      <c r="B409" s="686" t="s">
        <v>2700</v>
      </c>
    </row>
    <row r="410" spans="2:6" x14ac:dyDescent="0.15">
      <c r="B410" s="686" t="s">
        <v>2496</v>
      </c>
      <c r="D410" s="685" t="s">
        <v>4832</v>
      </c>
    </row>
    <row r="411" spans="2:6" x14ac:dyDescent="0.1">
      <c r="B411" s="686" t="s">
        <v>2981</v>
      </c>
      <c r="D411" s="249" t="s">
        <v>4833</v>
      </c>
    </row>
    <row r="412" spans="2:6" x14ac:dyDescent="0.15">
      <c r="B412" s="390" t="s">
        <v>3423</v>
      </c>
      <c r="D412" s="685" t="s">
        <v>4834</v>
      </c>
    </row>
  </sheetData>
  <phoneticPr fontId="1" type="noConversion"/>
  <hyperlinks>
    <hyperlink ref="N23" r:id="rId1" xr:uid="{00000000-0004-0000-0600-000000000000}"/>
    <hyperlink ref="N29" r:id="rId2" xr:uid="{00000000-0004-0000-0600-000001000000}"/>
    <hyperlink ref="N32" r:id="rId3" xr:uid="{00000000-0004-0000-0600-000002000000}"/>
    <hyperlink ref="N35" r:id="rId4" xr:uid="{00000000-0004-0000-0600-000003000000}"/>
    <hyperlink ref="N31" r:id="rId5" xr:uid="{00000000-0004-0000-0600-000004000000}"/>
    <hyperlink ref="P37" r:id="rId6" xr:uid="{00000000-0004-0000-0600-000005000000}"/>
    <hyperlink ref="P24" r:id="rId7" xr:uid="{00000000-0004-0000-0600-000006000000}"/>
    <hyperlink ref="P38" r:id="rId8" xr:uid="{00000000-0004-0000-0600-000007000000}"/>
    <hyperlink ref="P31" r:id="rId9" xr:uid="{00000000-0004-0000-0600-000008000000}"/>
    <hyperlink ref="P34" r:id="rId10" xr:uid="{00000000-0004-0000-0600-000009000000}"/>
    <hyperlink ref="P33" r:id="rId11" xr:uid="{00000000-0004-0000-0600-00000A000000}"/>
    <hyperlink ref="P35" r:id="rId12" xr:uid="{00000000-0004-0000-0600-00000B000000}"/>
    <hyperlink ref="K23" r:id="rId13" xr:uid="{00000000-0004-0000-0600-00000C000000}"/>
    <hyperlink ref="P30" r:id="rId14" xr:uid="{00000000-0004-0000-0600-00000D000000}"/>
    <hyperlink ref="I29" r:id="rId15" xr:uid="{00000000-0004-0000-0600-00000E000000}"/>
    <hyperlink ref="I23" r:id="rId16" xr:uid="{00000000-0004-0000-0600-00000F000000}"/>
    <hyperlink ref="I32" r:id="rId17" xr:uid="{00000000-0004-0000-0600-000010000000}"/>
    <hyperlink ref="P27" r:id="rId18" xr:uid="{00000000-0004-0000-0600-000011000000}"/>
    <hyperlink ref="P41" r:id="rId19" xr:uid="{00000000-0004-0000-0600-000012000000}"/>
    <hyperlink ref="P42" r:id="rId20" xr:uid="{00000000-0004-0000-0600-000013000000}"/>
    <hyperlink ref="P43" r:id="rId21" xr:uid="{00000000-0004-0000-0600-000014000000}"/>
    <hyperlink ref="J112" r:id="rId22" xr:uid="{00000000-0004-0000-0600-000015000000}"/>
    <hyperlink ref="I26" r:id="rId23" xr:uid="{00000000-0004-0000-0600-000016000000}"/>
    <hyperlink ref="I30" r:id="rId24" xr:uid="{00000000-0004-0000-0600-000017000000}"/>
    <hyperlink ref="I24" r:id="rId25" xr:uid="{00000000-0004-0000-0600-000018000000}"/>
    <hyperlink ref="K26" r:id="rId26" xr:uid="{00000000-0004-0000-0600-000019000000}"/>
    <hyperlink ref="P29" r:id="rId27" xr:uid="{00000000-0004-0000-0600-00001A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47"/>
  <sheetViews>
    <sheetView topLeftCell="A334" workbookViewId="0">
      <selection activeCell="B494" sqref="B494"/>
    </sheetView>
  </sheetViews>
  <sheetFormatPr defaultColWidth="9.00390625" defaultRowHeight="13.5" x14ac:dyDescent="0.15"/>
  <cols>
    <col min="1" max="1" width="9.9375" customWidth="1"/>
    <col min="2" max="2" width="16.95703125" customWidth="1"/>
    <col min="3" max="3" width="14.96875" customWidth="1"/>
    <col min="4" max="4" width="14.03125" customWidth="1"/>
    <col min="5" max="5" width="5.02734375" style="589" customWidth="1"/>
    <col min="6" max="6" width="12.04296875" customWidth="1"/>
    <col min="7" max="7" width="9.00390625" customWidth="1"/>
    <col min="8" max="8" width="12.04296875" customWidth="1"/>
    <col min="9" max="10" width="16.01953125" customWidth="1"/>
    <col min="11" max="11" width="9.00390625" customWidth="1"/>
  </cols>
  <sheetData>
    <row r="1" spans="1:10" x14ac:dyDescent="0.15">
      <c r="A1" s="1" t="s">
        <v>4285</v>
      </c>
      <c r="B1" s="4" t="s">
        <v>4286</v>
      </c>
      <c r="C1" s="4" t="s">
        <v>4287</v>
      </c>
      <c r="D1" s="4" t="s">
        <v>4288</v>
      </c>
      <c r="E1" s="589" t="s">
        <v>4289</v>
      </c>
      <c r="F1" s="4" t="s">
        <v>4290</v>
      </c>
      <c r="G1" s="4" t="s">
        <v>4291</v>
      </c>
      <c r="H1" s="4" t="s">
        <v>4292</v>
      </c>
      <c r="I1" s="4" t="s">
        <v>4293</v>
      </c>
      <c r="J1" s="4" t="s">
        <v>4294</v>
      </c>
    </row>
    <row r="2" spans="1:10" x14ac:dyDescent="0.15">
      <c r="A2" s="1">
        <v>10</v>
      </c>
      <c r="B2" s="677" t="s">
        <v>45</v>
      </c>
      <c r="C2" s="4" t="s">
        <v>4325</v>
      </c>
      <c r="D2" s="4" t="s">
        <v>3223</v>
      </c>
      <c r="E2" s="665" t="s">
        <v>4297</v>
      </c>
      <c r="F2" s="1">
        <v>20</v>
      </c>
      <c r="G2" s="1">
        <v>1</v>
      </c>
      <c r="H2" s="4" t="s">
        <v>4304</v>
      </c>
    </row>
    <row r="3" spans="1:10" x14ac:dyDescent="0.15">
      <c r="A3" s="1">
        <v>12</v>
      </c>
      <c r="B3" s="677" t="s">
        <v>4422</v>
      </c>
      <c r="C3" s="4" t="s">
        <v>4325</v>
      </c>
      <c r="D3" s="4" t="s">
        <v>3223</v>
      </c>
      <c r="E3" s="665" t="s">
        <v>4297</v>
      </c>
      <c r="F3" s="1">
        <v>10</v>
      </c>
      <c r="G3" s="1">
        <v>0</v>
      </c>
      <c r="H3" s="4" t="s">
        <v>4298</v>
      </c>
    </row>
    <row r="4" spans="1:10" x14ac:dyDescent="0.15">
      <c r="A4" s="1">
        <v>15</v>
      </c>
      <c r="B4" s="677" t="s">
        <v>2677</v>
      </c>
      <c r="C4" s="4" t="s">
        <v>4325</v>
      </c>
      <c r="D4" s="4" t="s">
        <v>3223</v>
      </c>
      <c r="E4" s="665" t="s">
        <v>4297</v>
      </c>
      <c r="F4" s="1">
        <v>52</v>
      </c>
      <c r="G4" s="1">
        <v>0</v>
      </c>
      <c r="H4" s="4" t="s">
        <v>4298</v>
      </c>
      <c r="I4" s="1" t="s">
        <v>4336</v>
      </c>
    </row>
    <row r="5" spans="1:10" x14ac:dyDescent="0.15">
      <c r="A5" s="1">
        <v>33</v>
      </c>
      <c r="B5" s="677" t="s">
        <v>2532</v>
      </c>
      <c r="C5" s="4" t="s">
        <v>4325</v>
      </c>
      <c r="D5" s="4" t="s">
        <v>3223</v>
      </c>
      <c r="E5" s="665" t="s">
        <v>4297</v>
      </c>
      <c r="F5" s="1">
        <v>10</v>
      </c>
      <c r="G5" s="1">
        <v>0</v>
      </c>
      <c r="H5" s="4" t="s">
        <v>4298</v>
      </c>
    </row>
    <row r="6" spans="1:10" x14ac:dyDescent="0.15">
      <c r="A6" s="1">
        <v>34</v>
      </c>
      <c r="B6" s="677" t="s">
        <v>2718</v>
      </c>
      <c r="C6" s="4" t="s">
        <v>4325</v>
      </c>
      <c r="D6" s="4" t="s">
        <v>3223</v>
      </c>
      <c r="E6" s="665" t="s">
        <v>4297</v>
      </c>
      <c r="F6" s="1">
        <v>5</v>
      </c>
      <c r="G6" s="1">
        <v>0</v>
      </c>
      <c r="H6" s="4" t="s">
        <v>4298</v>
      </c>
    </row>
    <row r="7" spans="1:10" x14ac:dyDescent="0.15">
      <c r="A7" s="1">
        <v>35</v>
      </c>
      <c r="B7" s="677" t="s">
        <v>2127</v>
      </c>
      <c r="C7" s="4" t="s">
        <v>4325</v>
      </c>
      <c r="D7" s="4" t="s">
        <v>3223</v>
      </c>
      <c r="E7" s="665" t="s">
        <v>4297</v>
      </c>
      <c r="F7" s="1">
        <v>5</v>
      </c>
      <c r="G7" s="1">
        <v>0</v>
      </c>
      <c r="H7" s="4" t="s">
        <v>4298</v>
      </c>
    </row>
    <row r="8" spans="1:10" x14ac:dyDescent="0.15">
      <c r="A8" s="1">
        <v>36</v>
      </c>
      <c r="B8" s="677" t="s">
        <v>2623</v>
      </c>
      <c r="C8" s="4" t="s">
        <v>4325</v>
      </c>
      <c r="D8" s="4" t="s">
        <v>3223</v>
      </c>
      <c r="E8" s="665" t="s">
        <v>4297</v>
      </c>
      <c r="F8" s="1">
        <v>30</v>
      </c>
      <c r="G8" s="1">
        <v>0</v>
      </c>
      <c r="H8" s="4" t="s">
        <v>4298</v>
      </c>
    </row>
    <row r="9" spans="1:10" x14ac:dyDescent="0.15">
      <c r="A9" s="1">
        <v>78</v>
      </c>
      <c r="B9" s="677" t="s">
        <v>1742</v>
      </c>
      <c r="C9" s="1" t="s">
        <v>4403</v>
      </c>
      <c r="D9" s="4" t="s">
        <v>4303</v>
      </c>
      <c r="E9" s="665" t="s">
        <v>4297</v>
      </c>
      <c r="F9" s="1">
        <v>10</v>
      </c>
      <c r="G9" s="1">
        <v>2</v>
      </c>
      <c r="H9" s="4" t="s">
        <v>4404</v>
      </c>
    </row>
    <row r="10" spans="1:10" x14ac:dyDescent="0.15">
      <c r="A10" s="1">
        <v>93</v>
      </c>
      <c r="B10" s="677" t="s">
        <v>3486</v>
      </c>
      <c r="C10" s="4" t="s">
        <v>4403</v>
      </c>
      <c r="D10" s="4" t="s">
        <v>4303</v>
      </c>
      <c r="E10" s="665" t="s">
        <v>4297</v>
      </c>
      <c r="F10" s="1">
        <v>20</v>
      </c>
      <c r="G10" s="1">
        <v>2</v>
      </c>
      <c r="H10" s="4" t="s">
        <v>4334</v>
      </c>
    </row>
    <row r="11" spans="1:10" x14ac:dyDescent="0.15">
      <c r="A11" s="1">
        <v>100</v>
      </c>
      <c r="B11" s="677" t="s">
        <v>1739</v>
      </c>
      <c r="C11" s="4" t="s">
        <v>4403</v>
      </c>
      <c r="D11" s="4" t="s">
        <v>4303</v>
      </c>
      <c r="E11" s="665" t="s">
        <v>4297</v>
      </c>
      <c r="F11" s="1">
        <v>20</v>
      </c>
      <c r="G11" s="1">
        <v>0</v>
      </c>
      <c r="H11" s="4" t="s">
        <v>4334</v>
      </c>
      <c r="I11" s="4" t="s">
        <v>4083</v>
      </c>
    </row>
    <row r="12" spans="1:10" x14ac:dyDescent="0.15">
      <c r="A12" s="1">
        <v>126</v>
      </c>
      <c r="B12" s="677" t="s">
        <v>1737</v>
      </c>
      <c r="C12" s="4" t="s">
        <v>4403</v>
      </c>
      <c r="D12" s="4" t="s">
        <v>4303</v>
      </c>
      <c r="E12" s="665" t="s">
        <v>4297</v>
      </c>
      <c r="F12" s="1">
        <v>10</v>
      </c>
      <c r="G12" s="1">
        <v>1</v>
      </c>
      <c r="H12" s="4" t="s">
        <v>4304</v>
      </c>
    </row>
    <row r="13" spans="1:10" x14ac:dyDescent="0.15">
      <c r="A13" s="1">
        <v>191</v>
      </c>
      <c r="B13" s="677" t="s">
        <v>3288</v>
      </c>
      <c r="C13" s="1" t="s">
        <v>4403</v>
      </c>
      <c r="D13" s="4" t="s">
        <v>4303</v>
      </c>
      <c r="E13" s="665" t="s">
        <v>4297</v>
      </c>
      <c r="F13" s="1">
        <v>10</v>
      </c>
      <c r="G13" s="1">
        <v>0</v>
      </c>
      <c r="H13" s="4" t="s">
        <v>4298</v>
      </c>
    </row>
    <row r="14" spans="1:10" x14ac:dyDescent="0.15">
      <c r="A14" s="1">
        <v>192</v>
      </c>
      <c r="B14" s="677" t="s">
        <v>3416</v>
      </c>
      <c r="C14" s="1" t="s">
        <v>4403</v>
      </c>
      <c r="D14" s="4" t="s">
        <v>4303</v>
      </c>
      <c r="E14" s="665" t="s">
        <v>4297</v>
      </c>
      <c r="F14" s="1">
        <v>10</v>
      </c>
      <c r="G14" s="1">
        <v>2</v>
      </c>
      <c r="H14" s="4" t="s">
        <v>4334</v>
      </c>
    </row>
    <row r="15" spans="1:10" x14ac:dyDescent="0.15">
      <c r="A15" s="1">
        <v>215</v>
      </c>
      <c r="B15" s="677" t="s">
        <v>3378</v>
      </c>
      <c r="C15" s="1" t="s">
        <v>4403</v>
      </c>
      <c r="D15" s="4" t="s">
        <v>4303</v>
      </c>
      <c r="E15" s="665" t="s">
        <v>4297</v>
      </c>
      <c r="F15" s="1">
        <v>20</v>
      </c>
      <c r="G15" s="1">
        <v>1</v>
      </c>
      <c r="H15" s="4" t="s">
        <v>4348</v>
      </c>
    </row>
    <row r="16" spans="1:10" x14ac:dyDescent="0.15">
      <c r="A16" s="1">
        <v>20</v>
      </c>
      <c r="B16" s="677" t="s">
        <v>4051</v>
      </c>
      <c r="C16" s="4" t="s">
        <v>4342</v>
      </c>
      <c r="D16" s="4" t="s">
        <v>3223</v>
      </c>
      <c r="E16" s="665" t="s">
        <v>4297</v>
      </c>
      <c r="F16" s="1">
        <v>20</v>
      </c>
      <c r="G16" s="1">
        <v>2</v>
      </c>
      <c r="H16" s="4" t="s">
        <v>4334</v>
      </c>
    </row>
    <row r="17" spans="1:9" x14ac:dyDescent="0.15">
      <c r="A17" s="1">
        <v>42</v>
      </c>
      <c r="B17" s="677" t="s">
        <v>3304</v>
      </c>
      <c r="C17" s="4" t="s">
        <v>4342</v>
      </c>
      <c r="D17" s="4" t="s">
        <v>3223</v>
      </c>
      <c r="E17" s="665" t="s">
        <v>4297</v>
      </c>
      <c r="F17" s="1">
        <v>10</v>
      </c>
      <c r="G17" s="1">
        <v>0</v>
      </c>
      <c r="H17" s="4" t="s">
        <v>4298</v>
      </c>
    </row>
    <row r="18" spans="1:9" x14ac:dyDescent="0.15">
      <c r="A18" s="1">
        <v>49</v>
      </c>
      <c r="B18" s="677" t="s">
        <v>4057</v>
      </c>
      <c r="C18" s="4" t="s">
        <v>4342</v>
      </c>
      <c r="D18" s="4" t="s">
        <v>3223</v>
      </c>
      <c r="E18" s="665" t="s">
        <v>4297</v>
      </c>
      <c r="F18" s="1">
        <v>20</v>
      </c>
      <c r="G18" s="1">
        <v>1</v>
      </c>
      <c r="H18" s="4" t="s">
        <v>4304</v>
      </c>
    </row>
    <row r="19" spans="1:9" x14ac:dyDescent="0.15">
      <c r="A19" s="1">
        <v>78</v>
      </c>
      <c r="B19" s="677" t="s">
        <v>3254</v>
      </c>
      <c r="C19" s="4" t="s">
        <v>4342</v>
      </c>
      <c r="D19" s="4" t="s">
        <v>3223</v>
      </c>
      <c r="E19" s="665" t="s">
        <v>4297</v>
      </c>
      <c r="F19" s="1">
        <v>20</v>
      </c>
      <c r="G19" s="1">
        <v>1</v>
      </c>
      <c r="H19" s="4" t="s">
        <v>4304</v>
      </c>
    </row>
    <row r="20" spans="1:9" x14ac:dyDescent="0.15">
      <c r="A20" s="1">
        <v>79</v>
      </c>
      <c r="B20" s="677" t="s">
        <v>3314</v>
      </c>
      <c r="C20" s="4" t="s">
        <v>4342</v>
      </c>
      <c r="D20" s="4" t="s">
        <v>3223</v>
      </c>
      <c r="E20" s="665" t="s">
        <v>4297</v>
      </c>
      <c r="F20" s="1">
        <v>10</v>
      </c>
      <c r="G20" s="1">
        <v>0</v>
      </c>
      <c r="H20" s="4" t="s">
        <v>4298</v>
      </c>
    </row>
    <row r="21" spans="1:9" x14ac:dyDescent="0.15">
      <c r="A21" s="1">
        <v>80</v>
      </c>
      <c r="B21" s="677" t="s">
        <v>4059</v>
      </c>
      <c r="C21" s="4" t="s">
        <v>4342</v>
      </c>
      <c r="D21" s="4" t="s">
        <v>3223</v>
      </c>
      <c r="E21" s="665" t="s">
        <v>4297</v>
      </c>
      <c r="F21" s="1">
        <v>10</v>
      </c>
      <c r="G21" s="1">
        <v>0</v>
      </c>
      <c r="H21" s="4" t="s">
        <v>4298</v>
      </c>
    </row>
    <row r="22" spans="1:9" x14ac:dyDescent="0.15">
      <c r="A22" s="1">
        <v>81</v>
      </c>
      <c r="B22" s="677" t="s">
        <v>1735</v>
      </c>
      <c r="C22" s="4" t="s">
        <v>4342</v>
      </c>
      <c r="D22" s="4" t="s">
        <v>3223</v>
      </c>
      <c r="E22" s="665" t="s">
        <v>4297</v>
      </c>
      <c r="F22" s="1">
        <v>5</v>
      </c>
      <c r="G22" s="1">
        <v>1</v>
      </c>
      <c r="H22" s="4" t="s">
        <v>4304</v>
      </c>
    </row>
    <row r="23" spans="1:9" x14ac:dyDescent="0.15">
      <c r="A23" s="1">
        <v>81</v>
      </c>
      <c r="B23" s="677" t="s">
        <v>4326</v>
      </c>
      <c r="C23" s="1" t="s">
        <v>4342</v>
      </c>
      <c r="D23" s="4" t="s">
        <v>3223</v>
      </c>
      <c r="E23" s="665" t="s">
        <v>4297</v>
      </c>
      <c r="F23" s="1">
        <v>10</v>
      </c>
      <c r="G23" s="1">
        <v>1</v>
      </c>
      <c r="H23" s="4" t="s">
        <v>4304</v>
      </c>
    </row>
    <row r="24" spans="1:9" x14ac:dyDescent="0.15">
      <c r="A24" s="1">
        <v>96</v>
      </c>
      <c r="B24" s="677" t="s">
        <v>3385</v>
      </c>
      <c r="C24" s="4" t="s">
        <v>4342</v>
      </c>
      <c r="D24" s="4" t="s">
        <v>3223</v>
      </c>
      <c r="E24" s="665" t="s">
        <v>4297</v>
      </c>
      <c r="F24" s="1">
        <v>10</v>
      </c>
      <c r="G24" s="1">
        <v>1</v>
      </c>
      <c r="H24" s="4" t="s">
        <v>4304</v>
      </c>
    </row>
    <row r="25" spans="1:9" x14ac:dyDescent="0.15">
      <c r="A25" s="1">
        <v>126</v>
      </c>
      <c r="B25" s="677" t="s">
        <v>2366</v>
      </c>
      <c r="C25" s="1" t="s">
        <v>4342</v>
      </c>
      <c r="D25" s="4" t="s">
        <v>3223</v>
      </c>
      <c r="E25" s="665" t="s">
        <v>4297</v>
      </c>
      <c r="F25" s="1">
        <v>5</v>
      </c>
      <c r="G25" s="1">
        <v>1</v>
      </c>
      <c r="H25" s="4" t="s">
        <v>4304</v>
      </c>
    </row>
    <row r="26" spans="1:9" x14ac:dyDescent="0.15">
      <c r="A26" s="1">
        <v>128</v>
      </c>
      <c r="B26" s="677" t="s">
        <v>2541</v>
      </c>
      <c r="C26" s="1" t="s">
        <v>4342</v>
      </c>
      <c r="D26" s="4" t="s">
        <v>3223</v>
      </c>
      <c r="E26" s="665" t="s">
        <v>4297</v>
      </c>
      <c r="F26" s="1">
        <v>20</v>
      </c>
      <c r="G26" s="1">
        <v>1</v>
      </c>
      <c r="H26" s="4" t="s">
        <v>4304</v>
      </c>
    </row>
    <row r="27" spans="1:9" x14ac:dyDescent="0.15">
      <c r="A27" s="1">
        <v>162</v>
      </c>
      <c r="B27" s="677" t="s">
        <v>49</v>
      </c>
      <c r="C27" s="1" t="s">
        <v>4342</v>
      </c>
      <c r="D27" s="4" t="s">
        <v>3223</v>
      </c>
      <c r="E27" s="665" t="s">
        <v>4297</v>
      </c>
      <c r="F27" s="1">
        <v>10</v>
      </c>
      <c r="G27" s="1">
        <v>0</v>
      </c>
      <c r="H27" s="4" t="s">
        <v>4298</v>
      </c>
    </row>
    <row r="28" spans="1:9" x14ac:dyDescent="0.15">
      <c r="A28" s="1">
        <v>166</v>
      </c>
      <c r="B28" s="677" t="s">
        <v>3404</v>
      </c>
      <c r="C28" s="1" t="s">
        <v>4342</v>
      </c>
      <c r="D28" s="4" t="s">
        <v>3223</v>
      </c>
      <c r="E28" s="665" t="s">
        <v>4297</v>
      </c>
      <c r="F28" s="1">
        <v>10</v>
      </c>
      <c r="G28" s="1">
        <v>1</v>
      </c>
      <c r="H28" s="4" t="s">
        <v>4304</v>
      </c>
    </row>
    <row r="29" spans="1:9" x14ac:dyDescent="0.15">
      <c r="A29" s="1">
        <v>233</v>
      </c>
      <c r="B29" s="677" t="s">
        <v>3879</v>
      </c>
      <c r="C29" s="4" t="s">
        <v>4342</v>
      </c>
      <c r="D29" s="4" t="s">
        <v>3223</v>
      </c>
      <c r="E29" s="665" t="s">
        <v>4297</v>
      </c>
      <c r="F29" s="1">
        <v>30</v>
      </c>
      <c r="G29" s="1">
        <v>1</v>
      </c>
      <c r="H29" s="4" t="s">
        <v>4304</v>
      </c>
    </row>
    <row r="30" spans="1:9" x14ac:dyDescent="0.15">
      <c r="A30" s="1">
        <v>11</v>
      </c>
      <c r="B30" s="677" t="s">
        <v>3351</v>
      </c>
      <c r="C30" s="4" t="s">
        <v>4327</v>
      </c>
      <c r="E30" s="665" t="s">
        <v>4297</v>
      </c>
      <c r="F30" s="1">
        <v>10</v>
      </c>
      <c r="G30" s="1">
        <v>0</v>
      </c>
      <c r="H30" s="4" t="s">
        <v>4298</v>
      </c>
    </row>
    <row r="31" spans="1:9" x14ac:dyDescent="0.15">
      <c r="A31" s="1">
        <v>3</v>
      </c>
      <c r="B31" s="677" t="s">
        <v>2610</v>
      </c>
      <c r="C31" s="4" t="s">
        <v>4302</v>
      </c>
      <c r="D31" s="4" t="s">
        <v>4303</v>
      </c>
      <c r="E31" s="665" t="s">
        <v>4297</v>
      </c>
      <c r="F31" s="1">
        <v>10</v>
      </c>
      <c r="G31" s="1">
        <v>1</v>
      </c>
      <c r="H31" s="4" t="s">
        <v>4304</v>
      </c>
      <c r="I31" s="4" t="s">
        <v>4305</v>
      </c>
    </row>
    <row r="32" spans="1:9" x14ac:dyDescent="0.15">
      <c r="A32" s="1">
        <v>6</v>
      </c>
      <c r="B32" s="677" t="s">
        <v>2511</v>
      </c>
      <c r="C32" s="4" t="s">
        <v>4302</v>
      </c>
      <c r="D32" s="4" t="s">
        <v>4303</v>
      </c>
      <c r="E32" s="665" t="s">
        <v>4297</v>
      </c>
      <c r="F32" s="1">
        <v>10</v>
      </c>
      <c r="G32" s="1">
        <v>1</v>
      </c>
      <c r="H32" s="4" t="s">
        <v>4304</v>
      </c>
      <c r="I32" s="4" t="s">
        <v>4313</v>
      </c>
    </row>
    <row r="33" spans="1:10" x14ac:dyDescent="0.15">
      <c r="A33" s="1">
        <v>46</v>
      </c>
      <c r="B33" s="677" t="s">
        <v>3321</v>
      </c>
      <c r="C33" s="4" t="s">
        <v>4302</v>
      </c>
      <c r="D33" s="4" t="s">
        <v>4303</v>
      </c>
      <c r="E33" s="665" t="s">
        <v>4297</v>
      </c>
      <c r="F33" s="1">
        <v>20</v>
      </c>
      <c r="G33" s="1">
        <v>0</v>
      </c>
      <c r="H33" s="4" t="s">
        <v>4298</v>
      </c>
    </row>
    <row r="34" spans="1:10" x14ac:dyDescent="0.15">
      <c r="A34" s="1">
        <v>48</v>
      </c>
      <c r="B34" s="677" t="s">
        <v>2575</v>
      </c>
      <c r="C34" s="4" t="s">
        <v>4302</v>
      </c>
      <c r="D34" s="4" t="s">
        <v>4303</v>
      </c>
      <c r="E34" s="665" t="s">
        <v>4297</v>
      </c>
      <c r="F34" s="1">
        <v>10</v>
      </c>
      <c r="G34" s="1">
        <v>1</v>
      </c>
      <c r="H34" s="4" t="s">
        <v>4304</v>
      </c>
    </row>
    <row r="35" spans="1:10" x14ac:dyDescent="0.15">
      <c r="A35" s="1">
        <v>85</v>
      </c>
      <c r="B35" s="677" t="s">
        <v>4368</v>
      </c>
      <c r="C35" s="4" t="s">
        <v>4302</v>
      </c>
      <c r="D35" s="4" t="s">
        <v>4303</v>
      </c>
      <c r="E35" s="665" t="s">
        <v>4297</v>
      </c>
      <c r="F35" s="1">
        <v>10</v>
      </c>
      <c r="G35" s="1">
        <v>1</v>
      </c>
      <c r="H35" s="4" t="s">
        <v>4304</v>
      </c>
    </row>
    <row r="36" spans="1:10" x14ac:dyDescent="0.15">
      <c r="A36" s="1">
        <v>146</v>
      </c>
      <c r="B36" s="677" t="s">
        <v>2607</v>
      </c>
      <c r="C36" s="4" t="s">
        <v>4302</v>
      </c>
      <c r="D36" s="4" t="s">
        <v>4303</v>
      </c>
      <c r="E36" s="665" t="s">
        <v>4297</v>
      </c>
      <c r="F36" s="1">
        <v>10</v>
      </c>
      <c r="G36" s="1">
        <v>0</v>
      </c>
      <c r="H36" s="4" t="s">
        <v>4298</v>
      </c>
    </row>
    <row r="37" spans="1:10" x14ac:dyDescent="0.15">
      <c r="A37" s="1">
        <v>175</v>
      </c>
      <c r="B37" s="677" t="s">
        <v>2643</v>
      </c>
      <c r="C37" s="4" t="s">
        <v>4302</v>
      </c>
      <c r="D37" s="4" t="s">
        <v>4303</v>
      </c>
      <c r="E37" s="665" t="s">
        <v>4297</v>
      </c>
      <c r="F37" s="1">
        <v>10</v>
      </c>
      <c r="G37" s="1">
        <v>1</v>
      </c>
      <c r="H37" s="4" t="s">
        <v>4304</v>
      </c>
    </row>
    <row r="38" spans="1:10" x14ac:dyDescent="0.15">
      <c r="A38" s="1">
        <v>178</v>
      </c>
      <c r="B38" s="677" t="s">
        <v>2278</v>
      </c>
      <c r="C38" s="4" t="s">
        <v>4302</v>
      </c>
      <c r="D38" s="4" t="s">
        <v>4303</v>
      </c>
      <c r="E38" s="665" t="s">
        <v>4297</v>
      </c>
      <c r="F38" s="1">
        <v>10</v>
      </c>
      <c r="G38" s="1">
        <v>1</v>
      </c>
      <c r="H38" s="4" t="s">
        <v>4304</v>
      </c>
    </row>
    <row r="39" spans="1:10" x14ac:dyDescent="0.15">
      <c r="A39" s="1">
        <v>210</v>
      </c>
      <c r="B39" s="677" t="s">
        <v>2682</v>
      </c>
      <c r="C39" s="4" t="s">
        <v>4302</v>
      </c>
      <c r="D39" s="4" t="s">
        <v>4303</v>
      </c>
      <c r="E39" s="665" t="s">
        <v>4297</v>
      </c>
      <c r="F39" s="1">
        <v>10</v>
      </c>
      <c r="G39" s="1">
        <v>0</v>
      </c>
      <c r="H39" s="4" t="s">
        <v>4298</v>
      </c>
      <c r="I39" s="4" t="s">
        <v>4585</v>
      </c>
    </row>
    <row r="40" spans="1:10" x14ac:dyDescent="0.15">
      <c r="A40" s="1">
        <v>27</v>
      </c>
      <c r="B40" s="677" t="s">
        <v>3383</v>
      </c>
      <c r="C40" s="4" t="s">
        <v>4302</v>
      </c>
      <c r="D40" s="4" t="s">
        <v>4303</v>
      </c>
      <c r="E40" s="665" t="s">
        <v>4297</v>
      </c>
      <c r="F40" s="1">
        <v>20</v>
      </c>
      <c r="G40" s="1">
        <v>1</v>
      </c>
      <c r="H40" s="4" t="s">
        <v>4304</v>
      </c>
    </row>
    <row r="41" spans="1:10" x14ac:dyDescent="0.15">
      <c r="A41" s="1">
        <v>28</v>
      </c>
      <c r="B41" s="677" t="s">
        <v>2889</v>
      </c>
      <c r="C41" s="4" t="s">
        <v>4302</v>
      </c>
      <c r="D41" s="4" t="s">
        <v>4303</v>
      </c>
      <c r="E41" s="665" t="s">
        <v>4297</v>
      </c>
      <c r="F41" s="1">
        <v>10</v>
      </c>
      <c r="G41" s="1">
        <v>1</v>
      </c>
      <c r="H41" s="4" t="s">
        <v>4304</v>
      </c>
    </row>
    <row r="42" spans="1:10" x14ac:dyDescent="0.15">
      <c r="A42" s="1">
        <v>38</v>
      </c>
      <c r="B42" s="677" t="s">
        <v>3268</v>
      </c>
      <c r="C42" s="4" t="s">
        <v>4302</v>
      </c>
      <c r="D42" s="4" t="s">
        <v>4303</v>
      </c>
      <c r="E42" s="665" t="s">
        <v>4297</v>
      </c>
      <c r="F42" s="1">
        <v>10</v>
      </c>
      <c r="G42" s="1">
        <v>1</v>
      </c>
      <c r="H42" s="4" t="s">
        <v>4304</v>
      </c>
    </row>
    <row r="43" spans="1:10" x14ac:dyDescent="0.15">
      <c r="A43" s="1">
        <v>42</v>
      </c>
      <c r="B43" s="677" t="s">
        <v>2674</v>
      </c>
      <c r="C43" s="4" t="s">
        <v>4302</v>
      </c>
      <c r="D43" s="4" t="s">
        <v>4303</v>
      </c>
      <c r="E43" s="665" t="s">
        <v>4297</v>
      </c>
      <c r="F43" s="1">
        <v>20</v>
      </c>
      <c r="G43" s="1">
        <v>2</v>
      </c>
      <c r="H43" s="4" t="s">
        <v>4334</v>
      </c>
      <c r="I43" s="4" t="s">
        <v>4015</v>
      </c>
      <c r="J43" s="4" t="s">
        <v>4376</v>
      </c>
    </row>
    <row r="44" spans="1:10" x14ac:dyDescent="0.15">
      <c r="A44" s="1">
        <v>64</v>
      </c>
      <c r="B44" s="677" t="s">
        <v>2603</v>
      </c>
      <c r="C44" s="4" t="s">
        <v>4302</v>
      </c>
      <c r="D44" s="4" t="s">
        <v>4303</v>
      </c>
      <c r="E44" s="665" t="s">
        <v>4297</v>
      </c>
      <c r="F44" s="1">
        <v>10</v>
      </c>
      <c r="G44" s="1">
        <v>1</v>
      </c>
      <c r="H44" s="4" t="s">
        <v>4304</v>
      </c>
    </row>
    <row r="45" spans="1:10" x14ac:dyDescent="0.15">
      <c r="A45" s="1">
        <v>66</v>
      </c>
      <c r="B45" s="677" t="s">
        <v>417</v>
      </c>
      <c r="C45" s="4" t="s">
        <v>4302</v>
      </c>
      <c r="D45" s="4" t="s">
        <v>4303</v>
      </c>
      <c r="E45" s="665" t="s">
        <v>4297</v>
      </c>
      <c r="F45" s="1">
        <v>10</v>
      </c>
      <c r="G45" s="1">
        <v>0</v>
      </c>
      <c r="H45" s="4" t="s">
        <v>4298</v>
      </c>
      <c r="I45" s="1" t="s">
        <v>4083</v>
      </c>
    </row>
    <row r="46" spans="1:10" x14ac:dyDescent="0.15">
      <c r="A46" s="1">
        <v>68</v>
      </c>
      <c r="B46" s="677" t="s">
        <v>2405</v>
      </c>
      <c r="C46" s="4" t="s">
        <v>4302</v>
      </c>
      <c r="D46" s="4" t="s">
        <v>4303</v>
      </c>
      <c r="E46" s="665" t="s">
        <v>4297</v>
      </c>
      <c r="F46" s="1">
        <v>5</v>
      </c>
      <c r="G46" s="1">
        <v>1</v>
      </c>
      <c r="H46" s="4" t="s">
        <v>4304</v>
      </c>
    </row>
    <row r="47" spans="1:10" x14ac:dyDescent="0.15">
      <c r="A47" s="1">
        <v>83</v>
      </c>
      <c r="B47" s="677" t="s">
        <v>3443</v>
      </c>
      <c r="C47" s="4" t="s">
        <v>4302</v>
      </c>
      <c r="D47" s="4" t="s">
        <v>4303</v>
      </c>
      <c r="E47" s="665" t="s">
        <v>4297</v>
      </c>
      <c r="F47" s="1">
        <v>10</v>
      </c>
      <c r="G47" s="1">
        <v>1</v>
      </c>
      <c r="H47" s="4" t="s">
        <v>4304</v>
      </c>
      <c r="I47" s="4" t="s">
        <v>4242</v>
      </c>
      <c r="J47" s="4" t="s">
        <v>4406</v>
      </c>
    </row>
    <row r="48" spans="1:10" x14ac:dyDescent="0.15">
      <c r="A48" s="1">
        <v>84</v>
      </c>
      <c r="B48" s="677" t="s">
        <v>1885</v>
      </c>
      <c r="C48" s="4" t="s">
        <v>4302</v>
      </c>
      <c r="D48" s="4" t="s">
        <v>4323</v>
      </c>
      <c r="E48" s="665" t="s">
        <v>4297</v>
      </c>
      <c r="F48" s="1">
        <v>20</v>
      </c>
      <c r="G48" s="1">
        <v>2</v>
      </c>
      <c r="H48" s="4" t="s">
        <v>4334</v>
      </c>
    </row>
    <row r="49" spans="1:9" x14ac:dyDescent="0.15">
      <c r="A49" s="1">
        <v>96</v>
      </c>
      <c r="B49" s="677" t="s">
        <v>2334</v>
      </c>
      <c r="C49" s="1" t="s">
        <v>4302</v>
      </c>
      <c r="D49" s="4" t="s">
        <v>4427</v>
      </c>
      <c r="E49" s="665" t="s">
        <v>4297</v>
      </c>
      <c r="F49" s="1">
        <v>5</v>
      </c>
      <c r="G49" s="1">
        <v>1</v>
      </c>
      <c r="H49" s="4" t="s">
        <v>4304</v>
      </c>
    </row>
    <row r="50" spans="1:9" x14ac:dyDescent="0.15">
      <c r="A50" s="1">
        <v>228</v>
      </c>
      <c r="B50" s="677" t="s">
        <v>2057</v>
      </c>
      <c r="C50" s="4" t="s">
        <v>4302</v>
      </c>
      <c r="D50" s="4" t="s">
        <v>4303</v>
      </c>
      <c r="E50" s="665" t="s">
        <v>4297</v>
      </c>
      <c r="F50" s="1">
        <v>10</v>
      </c>
      <c r="G50" s="1">
        <v>2</v>
      </c>
      <c r="H50" s="4" t="s">
        <v>4334</v>
      </c>
    </row>
    <row r="51" spans="1:9" x14ac:dyDescent="0.15">
      <c r="A51" s="1">
        <v>230</v>
      </c>
      <c r="B51" s="677" t="s">
        <v>1920</v>
      </c>
      <c r="C51" s="4" t="s">
        <v>4302</v>
      </c>
      <c r="D51" s="4" t="s">
        <v>4303</v>
      </c>
      <c r="E51" s="665" t="s">
        <v>4297</v>
      </c>
      <c r="F51" s="1">
        <v>10</v>
      </c>
      <c r="G51" s="1">
        <v>1</v>
      </c>
      <c r="H51" s="4" t="s">
        <v>4304</v>
      </c>
    </row>
    <row r="52" spans="1:9" x14ac:dyDescent="0.15">
      <c r="A52" s="1">
        <v>243</v>
      </c>
      <c r="B52" s="677" t="s">
        <v>2038</v>
      </c>
      <c r="C52" s="4" t="s">
        <v>4302</v>
      </c>
      <c r="D52" s="4" t="s">
        <v>4303</v>
      </c>
      <c r="E52" s="665" t="s">
        <v>4297</v>
      </c>
      <c r="F52" s="1">
        <v>10</v>
      </c>
      <c r="G52" s="1">
        <v>1</v>
      </c>
      <c r="H52" s="665" t="s">
        <v>4304</v>
      </c>
    </row>
    <row r="53" spans="1:9" x14ac:dyDescent="0.15">
      <c r="A53" s="1">
        <v>209</v>
      </c>
      <c r="B53" s="677" t="s">
        <v>2973</v>
      </c>
      <c r="C53" s="4" t="s">
        <v>4314</v>
      </c>
      <c r="D53" s="4" t="s">
        <v>4303</v>
      </c>
      <c r="E53" s="665" t="s">
        <v>4297</v>
      </c>
      <c r="F53" s="1">
        <v>10</v>
      </c>
      <c r="G53" s="1">
        <v>0</v>
      </c>
      <c r="H53" s="4" t="s">
        <v>4298</v>
      </c>
      <c r="I53" s="4" t="s">
        <v>4585</v>
      </c>
    </row>
    <row r="54" spans="1:9" x14ac:dyDescent="0.15">
      <c r="A54" s="1">
        <v>32</v>
      </c>
      <c r="B54" s="677" t="s">
        <v>2317</v>
      </c>
      <c r="C54" s="4" t="s">
        <v>4314</v>
      </c>
      <c r="D54" s="4" t="s">
        <v>4303</v>
      </c>
      <c r="E54" s="665" t="s">
        <v>4297</v>
      </c>
      <c r="F54" s="1">
        <v>10</v>
      </c>
      <c r="G54" s="1">
        <v>0</v>
      </c>
      <c r="H54" s="4" t="s">
        <v>4298</v>
      </c>
    </row>
    <row r="55" spans="1:9" x14ac:dyDescent="0.15">
      <c r="A55" s="1">
        <v>73</v>
      </c>
      <c r="B55" s="677" t="s">
        <v>2102</v>
      </c>
      <c r="C55" s="4" t="s">
        <v>4314</v>
      </c>
      <c r="D55" s="4" t="s">
        <v>4303</v>
      </c>
      <c r="E55" s="665" t="s">
        <v>4297</v>
      </c>
      <c r="F55" s="1">
        <v>10</v>
      </c>
      <c r="G55" s="1">
        <v>1</v>
      </c>
      <c r="H55" s="4" t="s">
        <v>4304</v>
      </c>
    </row>
    <row r="56" spans="1:9" x14ac:dyDescent="0.15">
      <c r="A56" s="1">
        <v>74</v>
      </c>
      <c r="B56" s="677" t="s">
        <v>2083</v>
      </c>
      <c r="C56" s="4" t="s">
        <v>4314</v>
      </c>
      <c r="D56" s="4" t="s">
        <v>4303</v>
      </c>
      <c r="E56" s="665" t="s">
        <v>4297</v>
      </c>
      <c r="F56" s="1">
        <v>10</v>
      </c>
      <c r="G56" s="1">
        <v>0</v>
      </c>
      <c r="H56" s="4" t="s">
        <v>4298</v>
      </c>
    </row>
    <row r="57" spans="1:9" x14ac:dyDescent="0.15">
      <c r="A57" s="1">
        <v>75</v>
      </c>
      <c r="B57" s="677" t="s">
        <v>3953</v>
      </c>
      <c r="C57" s="4" t="s">
        <v>4314</v>
      </c>
      <c r="D57" s="4" t="s">
        <v>4303</v>
      </c>
      <c r="E57" s="665" t="s">
        <v>4297</v>
      </c>
      <c r="F57" s="1">
        <v>10</v>
      </c>
      <c r="G57" s="1">
        <v>0</v>
      </c>
      <c r="H57" s="4" t="s">
        <v>4298</v>
      </c>
    </row>
    <row r="58" spans="1:9" x14ac:dyDescent="0.15">
      <c r="A58" s="1">
        <v>76</v>
      </c>
      <c r="B58" s="677" t="s">
        <v>2182</v>
      </c>
      <c r="C58" s="4" t="s">
        <v>4314</v>
      </c>
      <c r="D58" s="4" t="s">
        <v>4303</v>
      </c>
      <c r="E58" s="665" t="s">
        <v>4297</v>
      </c>
      <c r="F58" s="1">
        <v>5</v>
      </c>
      <c r="G58" s="1">
        <v>0</v>
      </c>
      <c r="H58" s="4" t="s">
        <v>4298</v>
      </c>
    </row>
    <row r="59" spans="1:9" x14ac:dyDescent="0.15">
      <c r="A59" s="1">
        <v>6</v>
      </c>
      <c r="B59" s="677" t="s">
        <v>2358</v>
      </c>
      <c r="C59" s="4" t="s">
        <v>4314</v>
      </c>
      <c r="D59" s="4" t="s">
        <v>4303</v>
      </c>
      <c r="E59" s="665" t="s">
        <v>4297</v>
      </c>
      <c r="F59" s="1">
        <v>20</v>
      </c>
      <c r="G59" s="1">
        <v>1</v>
      </c>
      <c r="H59" s="4" t="s">
        <v>4304</v>
      </c>
    </row>
    <row r="60" spans="1:9" x14ac:dyDescent="0.15">
      <c r="A60" s="1">
        <v>35</v>
      </c>
      <c r="B60" s="677" t="s">
        <v>2496</v>
      </c>
      <c r="C60" s="4" t="s">
        <v>4314</v>
      </c>
      <c r="D60" s="4" t="s">
        <v>4303</v>
      </c>
      <c r="E60" s="665" t="s">
        <v>4297</v>
      </c>
      <c r="F60" s="1">
        <v>20</v>
      </c>
      <c r="G60" s="1">
        <v>2</v>
      </c>
      <c r="H60" s="4" t="s">
        <v>4334</v>
      </c>
    </row>
    <row r="61" spans="1:9" x14ac:dyDescent="0.15">
      <c r="A61" s="1">
        <v>60</v>
      </c>
      <c r="B61" s="677" t="s">
        <v>2311</v>
      </c>
      <c r="C61" s="4" t="s">
        <v>4314</v>
      </c>
      <c r="D61" s="4" t="s">
        <v>4303</v>
      </c>
      <c r="E61" s="665" t="s">
        <v>4297</v>
      </c>
      <c r="F61" s="1">
        <v>10</v>
      </c>
      <c r="G61" s="1">
        <v>1</v>
      </c>
      <c r="H61" s="4" t="s">
        <v>4304</v>
      </c>
    </row>
    <row r="62" spans="1:9" x14ac:dyDescent="0.15">
      <c r="A62" s="1">
        <v>62</v>
      </c>
      <c r="B62" s="677" t="s">
        <v>3415</v>
      </c>
      <c r="C62" s="4" t="s">
        <v>4314</v>
      </c>
      <c r="D62" s="4" t="s">
        <v>4303</v>
      </c>
      <c r="E62" s="665" t="s">
        <v>4297</v>
      </c>
      <c r="F62" s="1">
        <v>10</v>
      </c>
      <c r="G62" s="1">
        <v>1</v>
      </c>
      <c r="H62" s="4" t="s">
        <v>4304</v>
      </c>
      <c r="I62" s="4" t="s">
        <v>4083</v>
      </c>
    </row>
    <row r="63" spans="1:9" x14ac:dyDescent="0.15">
      <c r="A63" s="1">
        <v>63</v>
      </c>
      <c r="B63" s="677" t="s">
        <v>2184</v>
      </c>
      <c r="C63" s="4" t="s">
        <v>4314</v>
      </c>
      <c r="D63" s="4" t="s">
        <v>4303</v>
      </c>
      <c r="E63" s="665" t="s">
        <v>4297</v>
      </c>
      <c r="F63" s="1">
        <v>5</v>
      </c>
      <c r="G63" s="1">
        <v>0</v>
      </c>
      <c r="H63" s="4" t="s">
        <v>4298</v>
      </c>
    </row>
    <row r="64" spans="1:9" x14ac:dyDescent="0.15">
      <c r="A64" s="1">
        <v>65</v>
      </c>
      <c r="B64" s="677" t="s">
        <v>2324</v>
      </c>
      <c r="C64" s="4" t="s">
        <v>4314</v>
      </c>
      <c r="D64" s="4" t="s">
        <v>4303</v>
      </c>
      <c r="E64" s="665" t="s">
        <v>4297</v>
      </c>
      <c r="F64" s="1">
        <v>10</v>
      </c>
      <c r="G64" s="1">
        <v>0</v>
      </c>
      <c r="H64" s="4" t="s">
        <v>4298</v>
      </c>
    </row>
    <row r="65" spans="1:10" x14ac:dyDescent="0.15">
      <c r="A65" s="1">
        <v>119</v>
      </c>
      <c r="B65" s="677" t="s">
        <v>3586</v>
      </c>
      <c r="C65" s="4" t="s">
        <v>4314</v>
      </c>
      <c r="D65" s="4" t="s">
        <v>4303</v>
      </c>
      <c r="E65" s="665" t="s">
        <v>4297</v>
      </c>
      <c r="F65" s="1">
        <v>10</v>
      </c>
      <c r="G65" s="1">
        <v>1</v>
      </c>
      <c r="H65" s="4" t="s">
        <v>4304</v>
      </c>
    </row>
    <row r="66" spans="1:10" x14ac:dyDescent="0.15">
      <c r="A66" s="1">
        <v>140</v>
      </c>
      <c r="B66" s="677" t="s">
        <v>2952</v>
      </c>
      <c r="C66" s="1" t="s">
        <v>4314</v>
      </c>
      <c r="D66" s="4" t="s">
        <v>4303</v>
      </c>
      <c r="E66" s="665" t="s">
        <v>4297</v>
      </c>
      <c r="F66" s="1">
        <v>10</v>
      </c>
      <c r="G66" s="1">
        <v>0</v>
      </c>
      <c r="H66" s="4" t="s">
        <v>4298</v>
      </c>
    </row>
    <row r="67" spans="1:10" x14ac:dyDescent="0.15">
      <c r="A67" s="1">
        <v>152</v>
      </c>
      <c r="B67" s="677" t="s">
        <v>1</v>
      </c>
      <c r="C67" s="4" t="s">
        <v>4314</v>
      </c>
      <c r="D67" s="4" t="s">
        <v>4303</v>
      </c>
      <c r="E67" s="665" t="s">
        <v>4297</v>
      </c>
      <c r="F67" s="1">
        <v>10</v>
      </c>
      <c r="G67" s="1">
        <v>0</v>
      </c>
      <c r="H67" s="4" t="s">
        <v>4298</v>
      </c>
    </row>
    <row r="68" spans="1:10" x14ac:dyDescent="0.15">
      <c r="A68" s="1">
        <v>160</v>
      </c>
      <c r="B68" s="677" t="s">
        <v>1857</v>
      </c>
      <c r="C68" s="4" t="s">
        <v>4314</v>
      </c>
      <c r="D68" s="4" t="s">
        <v>4303</v>
      </c>
      <c r="E68" s="665" t="s">
        <v>4297</v>
      </c>
      <c r="F68" s="1">
        <v>10</v>
      </c>
      <c r="G68" s="1">
        <v>2</v>
      </c>
      <c r="H68" s="4" t="s">
        <v>4334</v>
      </c>
    </row>
    <row r="69" spans="1:10" x14ac:dyDescent="0.15">
      <c r="A69" s="1">
        <v>164</v>
      </c>
      <c r="B69" s="677" t="s">
        <v>2207</v>
      </c>
      <c r="C69" s="4" t="s">
        <v>4314</v>
      </c>
      <c r="D69" s="4" t="s">
        <v>4303</v>
      </c>
      <c r="E69" s="665" t="s">
        <v>4297</v>
      </c>
      <c r="F69" s="1">
        <v>5</v>
      </c>
      <c r="G69" s="1">
        <v>0</v>
      </c>
      <c r="H69" s="4" t="s">
        <v>4298</v>
      </c>
    </row>
    <row r="70" spans="1:10" x14ac:dyDescent="0.15">
      <c r="A70" s="1">
        <v>166</v>
      </c>
      <c r="B70" s="677" t="s">
        <v>2944</v>
      </c>
      <c r="C70" s="4" t="s">
        <v>4314</v>
      </c>
      <c r="D70" s="4" t="s">
        <v>4303</v>
      </c>
      <c r="E70" s="665" t="s">
        <v>4297</v>
      </c>
      <c r="F70" s="1">
        <v>10</v>
      </c>
      <c r="G70" s="1">
        <v>0</v>
      </c>
      <c r="H70" s="4" t="s">
        <v>4298</v>
      </c>
    </row>
    <row r="71" spans="1:10" x14ac:dyDescent="0.15">
      <c r="A71" s="1">
        <v>167</v>
      </c>
      <c r="B71" s="677" t="s">
        <v>2903</v>
      </c>
      <c r="C71" s="4" t="s">
        <v>4314</v>
      </c>
      <c r="D71" s="4" t="s">
        <v>4303</v>
      </c>
      <c r="E71" s="665" t="s">
        <v>4297</v>
      </c>
      <c r="F71" s="1">
        <v>10</v>
      </c>
      <c r="G71" s="1">
        <v>0</v>
      </c>
      <c r="H71" s="4" t="s">
        <v>4298</v>
      </c>
    </row>
    <row r="72" spans="1:10" x14ac:dyDescent="0.15">
      <c r="A72" s="1">
        <v>168</v>
      </c>
      <c r="B72" s="677" t="s">
        <v>3516</v>
      </c>
      <c r="C72" s="4" t="s">
        <v>4314</v>
      </c>
      <c r="D72" s="4" t="s">
        <v>4303</v>
      </c>
      <c r="E72" s="665" t="s">
        <v>4297</v>
      </c>
      <c r="F72" s="1">
        <v>5</v>
      </c>
      <c r="G72" s="1">
        <v>0</v>
      </c>
      <c r="H72" s="4" t="s">
        <v>4298</v>
      </c>
    </row>
    <row r="73" spans="1:10" x14ac:dyDescent="0.15">
      <c r="A73" s="1">
        <v>169</v>
      </c>
      <c r="B73" s="677" t="s">
        <v>3366</v>
      </c>
      <c r="C73" s="4" t="s">
        <v>4314</v>
      </c>
      <c r="D73" s="4" t="s">
        <v>4303</v>
      </c>
      <c r="E73" s="665" t="s">
        <v>4297</v>
      </c>
      <c r="F73" s="1">
        <v>10</v>
      </c>
      <c r="G73" s="1">
        <v>0</v>
      </c>
      <c r="H73" s="4" t="s">
        <v>4298</v>
      </c>
    </row>
    <row r="74" spans="1:10" x14ac:dyDescent="0.15">
      <c r="A74" s="1">
        <v>170</v>
      </c>
      <c r="B74" s="677" t="s">
        <v>3242</v>
      </c>
      <c r="C74" s="4" t="s">
        <v>4314</v>
      </c>
      <c r="D74" s="4" t="s">
        <v>4303</v>
      </c>
      <c r="E74" s="665" t="s">
        <v>4297</v>
      </c>
      <c r="F74" s="1">
        <v>10</v>
      </c>
      <c r="G74" s="1">
        <v>0</v>
      </c>
      <c r="H74" s="4" t="s">
        <v>4298</v>
      </c>
    </row>
    <row r="75" spans="1:10" x14ac:dyDescent="0.15">
      <c r="A75" s="1">
        <v>172</v>
      </c>
      <c r="B75" s="677" t="s">
        <v>3338</v>
      </c>
      <c r="C75" s="4" t="s">
        <v>4314</v>
      </c>
      <c r="D75" s="4" t="s">
        <v>4303</v>
      </c>
      <c r="E75" s="665" t="s">
        <v>4297</v>
      </c>
      <c r="F75" s="1">
        <v>10</v>
      </c>
      <c r="G75" s="1">
        <v>1</v>
      </c>
      <c r="H75" s="4" t="s">
        <v>4304</v>
      </c>
    </row>
    <row r="76" spans="1:10" x14ac:dyDescent="0.15">
      <c r="A76" s="1">
        <v>173</v>
      </c>
      <c r="B76" s="677" t="s">
        <v>441</v>
      </c>
      <c r="C76" s="4" t="s">
        <v>4314</v>
      </c>
      <c r="D76" s="4" t="s">
        <v>4303</v>
      </c>
      <c r="E76" s="665" t="s">
        <v>4297</v>
      </c>
      <c r="F76" s="1">
        <v>5</v>
      </c>
      <c r="G76" s="1">
        <v>0</v>
      </c>
      <c r="H76" s="4" t="s">
        <v>4298</v>
      </c>
    </row>
    <row r="77" spans="1:10" x14ac:dyDescent="0.15">
      <c r="A77" s="1">
        <v>200</v>
      </c>
      <c r="B77" s="677" t="s">
        <v>3366</v>
      </c>
      <c r="C77" s="4" t="s">
        <v>4314</v>
      </c>
      <c r="D77" s="4" t="s">
        <v>4303</v>
      </c>
      <c r="E77" s="665" t="s">
        <v>4297</v>
      </c>
      <c r="F77" s="1">
        <v>10</v>
      </c>
      <c r="G77" s="1">
        <v>0</v>
      </c>
      <c r="H77" s="4" t="s">
        <v>4298</v>
      </c>
      <c r="I77" s="4" t="s">
        <v>4585</v>
      </c>
    </row>
    <row r="78" spans="1:10" x14ac:dyDescent="0.15">
      <c r="A78" s="1">
        <v>234</v>
      </c>
      <c r="B78" s="677" t="s">
        <v>3261</v>
      </c>
      <c r="C78" s="4" t="s">
        <v>4314</v>
      </c>
      <c r="D78" s="4" t="s">
        <v>4303</v>
      </c>
      <c r="E78" s="665" t="s">
        <v>4297</v>
      </c>
      <c r="F78" s="1">
        <v>5</v>
      </c>
      <c r="G78" s="1">
        <v>1</v>
      </c>
      <c r="H78" s="4" t="s">
        <v>4304</v>
      </c>
      <c r="J78" s="4" t="s">
        <v>4619</v>
      </c>
    </row>
    <row r="79" spans="1:10" x14ac:dyDescent="0.15">
      <c r="A79" s="1">
        <v>3</v>
      </c>
      <c r="B79" s="677" t="s">
        <v>422</v>
      </c>
      <c r="C79" s="4" t="s">
        <v>1107</v>
      </c>
      <c r="D79" s="4" t="s">
        <v>4306</v>
      </c>
      <c r="E79" s="665" t="s">
        <v>4297</v>
      </c>
      <c r="F79" s="1">
        <v>17</v>
      </c>
      <c r="G79" s="1">
        <v>0</v>
      </c>
      <c r="H79" s="4" t="s">
        <v>4298</v>
      </c>
      <c r="I79" s="1" t="s">
        <v>4307</v>
      </c>
      <c r="J79" s="4" t="s">
        <v>4308</v>
      </c>
    </row>
    <row r="80" spans="1:10" x14ac:dyDescent="0.15">
      <c r="A80" s="1">
        <v>7</v>
      </c>
      <c r="B80" s="677" t="s">
        <v>4374</v>
      </c>
      <c r="C80" s="4" t="s">
        <v>1107</v>
      </c>
      <c r="D80" s="4" t="s">
        <v>4306</v>
      </c>
      <c r="E80" s="665" t="s">
        <v>4297</v>
      </c>
      <c r="F80" s="1">
        <v>5</v>
      </c>
      <c r="G80" s="1">
        <v>0</v>
      </c>
      <c r="H80" s="4" t="s">
        <v>4315</v>
      </c>
      <c r="I80" s="1" t="s">
        <v>4316</v>
      </c>
    </row>
    <row r="81" spans="1:10" x14ac:dyDescent="0.15">
      <c r="A81" s="1">
        <v>7</v>
      </c>
      <c r="B81" s="677" t="s">
        <v>3355</v>
      </c>
      <c r="C81" s="4" t="s">
        <v>1107</v>
      </c>
      <c r="D81" s="4" t="s">
        <v>4306</v>
      </c>
      <c r="E81" s="665" t="s">
        <v>4297</v>
      </c>
      <c r="F81" s="1">
        <v>17</v>
      </c>
      <c r="G81" s="1">
        <v>0</v>
      </c>
      <c r="H81" s="4" t="s">
        <v>4298</v>
      </c>
      <c r="I81" s="1" t="s">
        <v>4307</v>
      </c>
      <c r="J81" s="4" t="s">
        <v>4317</v>
      </c>
    </row>
    <row r="82" spans="1:10" x14ac:dyDescent="0.15">
      <c r="A82" s="1">
        <v>8</v>
      </c>
      <c r="B82" s="677" t="s">
        <v>444</v>
      </c>
      <c r="C82" s="4" t="s">
        <v>1107</v>
      </c>
      <c r="D82" s="4" t="s">
        <v>4306</v>
      </c>
      <c r="E82" s="665" t="s">
        <v>4297</v>
      </c>
      <c r="F82" s="1">
        <v>9</v>
      </c>
      <c r="G82" s="1">
        <v>0</v>
      </c>
      <c r="H82" s="4" t="s">
        <v>4298</v>
      </c>
      <c r="I82" s="1" t="s">
        <v>4318</v>
      </c>
      <c r="J82" s="4" t="s">
        <v>4319</v>
      </c>
    </row>
    <row r="83" spans="1:10" x14ac:dyDescent="0.15">
      <c r="A83" s="1">
        <v>14</v>
      </c>
      <c r="B83" s="677" t="s">
        <v>3391</v>
      </c>
      <c r="C83" s="4" t="s">
        <v>1107</v>
      </c>
      <c r="D83" s="4" t="s">
        <v>4306</v>
      </c>
      <c r="E83" s="665" t="s">
        <v>4297</v>
      </c>
      <c r="F83" s="1">
        <v>10</v>
      </c>
      <c r="G83" s="1">
        <v>1</v>
      </c>
      <c r="H83" s="4" t="s">
        <v>4304</v>
      </c>
      <c r="J83" s="4" t="s">
        <v>4319</v>
      </c>
    </row>
    <row r="84" spans="1:10" x14ac:dyDescent="0.15">
      <c r="A84" s="1">
        <v>31</v>
      </c>
      <c r="B84" s="677" t="s">
        <v>3372</v>
      </c>
      <c r="C84" s="4" t="s">
        <v>1107</v>
      </c>
      <c r="D84" s="4" t="s">
        <v>4306</v>
      </c>
      <c r="E84" s="665" t="s">
        <v>4297</v>
      </c>
      <c r="F84" s="1">
        <v>-5</v>
      </c>
      <c r="G84" s="1">
        <v>0</v>
      </c>
      <c r="H84" s="4" t="s">
        <v>4298</v>
      </c>
      <c r="I84" s="4" t="s">
        <v>4360</v>
      </c>
    </row>
    <row r="85" spans="1:10" x14ac:dyDescent="0.15">
      <c r="A85" s="1">
        <v>39</v>
      </c>
      <c r="B85" s="677" t="s">
        <v>3432</v>
      </c>
      <c r="C85" s="4" t="s">
        <v>1107</v>
      </c>
      <c r="D85" s="4" t="s">
        <v>4306</v>
      </c>
      <c r="E85" s="665" t="s">
        <v>4297</v>
      </c>
      <c r="F85" s="1">
        <v>20</v>
      </c>
      <c r="G85" s="1">
        <v>0</v>
      </c>
      <c r="H85" s="4" t="s">
        <v>4298</v>
      </c>
      <c r="I85" s="4" t="s">
        <v>4369</v>
      </c>
      <c r="J85" s="4" t="s">
        <v>4370</v>
      </c>
    </row>
    <row r="86" spans="1:10" x14ac:dyDescent="0.15">
      <c r="A86" s="1">
        <v>40</v>
      </c>
      <c r="B86" s="677" t="s">
        <v>3390</v>
      </c>
      <c r="C86" s="4" t="s">
        <v>1107</v>
      </c>
      <c r="D86" s="4" t="s">
        <v>4306</v>
      </c>
      <c r="E86" s="665" t="s">
        <v>4297</v>
      </c>
      <c r="F86" s="1">
        <v>20</v>
      </c>
      <c r="G86" s="1">
        <v>1</v>
      </c>
      <c r="H86" s="4" t="s">
        <v>4304</v>
      </c>
      <c r="I86" s="4" t="s">
        <v>4369</v>
      </c>
      <c r="J86" s="4" t="s">
        <v>4373</v>
      </c>
    </row>
    <row r="87" spans="1:10" x14ac:dyDescent="0.15">
      <c r="A87" s="1">
        <v>41</v>
      </c>
      <c r="B87" s="677" t="s">
        <v>4407</v>
      </c>
      <c r="C87" s="4" t="s">
        <v>1107</v>
      </c>
      <c r="D87" s="4" t="s">
        <v>4306</v>
      </c>
      <c r="E87" s="665" t="s">
        <v>4297</v>
      </c>
      <c r="F87" s="1">
        <v>10</v>
      </c>
      <c r="G87" s="1">
        <v>0</v>
      </c>
      <c r="H87" s="4" t="s">
        <v>4298</v>
      </c>
      <c r="J87" s="4" t="s">
        <v>4375</v>
      </c>
    </row>
    <row r="88" spans="1:10" x14ac:dyDescent="0.15">
      <c r="A88" s="1">
        <v>43</v>
      </c>
      <c r="B88" s="677" t="s">
        <v>72</v>
      </c>
      <c r="C88" s="4" t="s">
        <v>1107</v>
      </c>
      <c r="D88" s="4" t="s">
        <v>4306</v>
      </c>
      <c r="E88" s="665" t="s">
        <v>4297</v>
      </c>
      <c r="F88" s="1">
        <v>10</v>
      </c>
      <c r="G88" s="1">
        <v>0</v>
      </c>
      <c r="H88" s="4" t="s">
        <v>4298</v>
      </c>
      <c r="I88" s="4" t="s">
        <v>4377</v>
      </c>
      <c r="J88" s="4" t="s">
        <v>4319</v>
      </c>
    </row>
    <row r="89" spans="1:10" x14ac:dyDescent="0.15">
      <c r="A89" s="1">
        <v>44</v>
      </c>
      <c r="B89" s="677" t="s">
        <v>3336</v>
      </c>
      <c r="C89" s="4" t="s">
        <v>1107</v>
      </c>
      <c r="D89" s="4" t="s">
        <v>4306</v>
      </c>
      <c r="E89" s="665" t="s">
        <v>4297</v>
      </c>
      <c r="F89" s="1">
        <v>10</v>
      </c>
      <c r="G89" s="1">
        <v>1</v>
      </c>
      <c r="H89" s="4" t="s">
        <v>4304</v>
      </c>
      <c r="J89" s="4" t="s">
        <v>4319</v>
      </c>
    </row>
    <row r="90" spans="1:10" x14ac:dyDescent="0.15">
      <c r="A90" s="1">
        <v>47</v>
      </c>
      <c r="B90" s="677" t="s">
        <v>4500</v>
      </c>
      <c r="C90" s="4" t="s">
        <v>1107</v>
      </c>
      <c r="D90" s="4" t="s">
        <v>4306</v>
      </c>
      <c r="E90" s="665" t="s">
        <v>4297</v>
      </c>
      <c r="F90" s="1">
        <v>10</v>
      </c>
      <c r="G90" s="1">
        <v>0</v>
      </c>
      <c r="H90" s="4" t="s">
        <v>4298</v>
      </c>
      <c r="J90" s="4" t="s">
        <v>4379</v>
      </c>
    </row>
    <row r="91" spans="1:10" x14ac:dyDescent="0.15">
      <c r="A91" s="1">
        <v>50</v>
      </c>
      <c r="B91" s="677" t="s">
        <v>3241</v>
      </c>
      <c r="C91" s="4" t="s">
        <v>1107</v>
      </c>
      <c r="D91" s="4" t="s">
        <v>4306</v>
      </c>
      <c r="E91" s="665" t="s">
        <v>4297</v>
      </c>
      <c r="F91" s="1">
        <v>5</v>
      </c>
      <c r="G91" s="1">
        <v>1</v>
      </c>
      <c r="H91" s="4" t="s">
        <v>4304</v>
      </c>
      <c r="J91" s="1" t="s">
        <v>4319</v>
      </c>
    </row>
    <row r="92" spans="1:10" x14ac:dyDescent="0.15">
      <c r="A92" s="1">
        <v>59</v>
      </c>
      <c r="B92" s="677" t="s">
        <v>4532</v>
      </c>
      <c r="C92" s="4" t="s">
        <v>1107</v>
      </c>
      <c r="D92" s="4" t="s">
        <v>4306</v>
      </c>
      <c r="E92" s="665" t="s">
        <v>4297</v>
      </c>
      <c r="F92" s="1">
        <v>10</v>
      </c>
      <c r="G92" s="1">
        <v>0</v>
      </c>
      <c r="H92" s="4" t="s">
        <v>4298</v>
      </c>
      <c r="J92" s="1" t="s">
        <v>4389</v>
      </c>
    </row>
    <row r="93" spans="1:10" x14ac:dyDescent="0.15">
      <c r="A93" s="1">
        <v>80</v>
      </c>
      <c r="B93" s="677" t="s">
        <v>66</v>
      </c>
      <c r="C93" s="4" t="s">
        <v>1107</v>
      </c>
      <c r="D93" s="4" t="s">
        <v>4306</v>
      </c>
      <c r="E93" s="665" t="s">
        <v>4297</v>
      </c>
      <c r="F93" s="1">
        <v>10</v>
      </c>
      <c r="G93" s="1">
        <v>1</v>
      </c>
      <c r="H93" s="4" t="s">
        <v>4304</v>
      </c>
      <c r="J93" s="1" t="s">
        <v>4319</v>
      </c>
    </row>
    <row r="94" spans="1:10" x14ac:dyDescent="0.15">
      <c r="A94" s="1">
        <v>87</v>
      </c>
      <c r="B94" s="677" t="s">
        <v>1553</v>
      </c>
      <c r="C94" s="4" t="s">
        <v>1107</v>
      </c>
      <c r="D94" s="4" t="s">
        <v>4306</v>
      </c>
      <c r="E94" s="665" t="s">
        <v>4297</v>
      </c>
      <c r="F94" s="1">
        <v>10</v>
      </c>
      <c r="G94" s="1">
        <v>1</v>
      </c>
      <c r="H94" s="4" t="s">
        <v>4304</v>
      </c>
    </row>
    <row r="95" spans="1:10" x14ac:dyDescent="0.15">
      <c r="A95" s="1">
        <v>89</v>
      </c>
      <c r="B95" s="677" t="s">
        <v>1200</v>
      </c>
      <c r="C95" s="4" t="s">
        <v>1107</v>
      </c>
      <c r="D95" s="4" t="s">
        <v>4306</v>
      </c>
      <c r="E95" s="665" t="s">
        <v>4297</v>
      </c>
      <c r="F95" s="1">
        <v>20</v>
      </c>
      <c r="G95" s="1">
        <v>1</v>
      </c>
      <c r="H95" s="4" t="s">
        <v>4304</v>
      </c>
      <c r="J95" s="1" t="s">
        <v>4413</v>
      </c>
    </row>
    <row r="96" spans="1:10" x14ac:dyDescent="0.15">
      <c r="A96" s="1">
        <v>111</v>
      </c>
      <c r="B96" s="677" t="s">
        <v>3293</v>
      </c>
      <c r="C96" s="4" t="s">
        <v>1107</v>
      </c>
      <c r="D96" s="4" t="s">
        <v>4306</v>
      </c>
      <c r="E96" s="665" t="s">
        <v>4297</v>
      </c>
      <c r="F96" s="1">
        <v>10</v>
      </c>
      <c r="G96" s="1">
        <v>1</v>
      </c>
      <c r="H96" s="4" t="s">
        <v>4304</v>
      </c>
    </row>
    <row r="97" spans="1:10" x14ac:dyDescent="0.15">
      <c r="A97" s="1">
        <v>142</v>
      </c>
      <c r="B97" s="677" t="s">
        <v>3564</v>
      </c>
      <c r="C97" s="4" t="s">
        <v>1107</v>
      </c>
      <c r="D97" s="4" t="s">
        <v>4306</v>
      </c>
      <c r="E97" s="665" t="s">
        <v>4297</v>
      </c>
      <c r="F97" s="1">
        <v>10</v>
      </c>
      <c r="G97" s="1">
        <v>2</v>
      </c>
      <c r="H97" s="4" t="s">
        <v>4334</v>
      </c>
    </row>
    <row r="98" spans="1:10" x14ac:dyDescent="0.15">
      <c r="A98" s="1">
        <v>151</v>
      </c>
      <c r="B98" s="677" t="s">
        <v>3366</v>
      </c>
      <c r="C98" s="4" t="s">
        <v>1107</v>
      </c>
      <c r="D98" s="4" t="s">
        <v>4306</v>
      </c>
      <c r="E98" s="665" t="s">
        <v>4297</v>
      </c>
      <c r="F98" s="1">
        <v>10</v>
      </c>
      <c r="G98" s="1">
        <v>1</v>
      </c>
      <c r="H98" s="4" t="s">
        <v>4304</v>
      </c>
    </row>
    <row r="99" spans="1:10" x14ac:dyDescent="0.15">
      <c r="A99" s="1">
        <v>162</v>
      </c>
      <c r="B99" s="677" t="s">
        <v>3260</v>
      </c>
      <c r="C99" s="4" t="s">
        <v>1107</v>
      </c>
      <c r="D99" s="4" t="s">
        <v>4306</v>
      </c>
      <c r="E99" s="665" t="s">
        <v>4297</v>
      </c>
      <c r="F99" s="1">
        <v>5</v>
      </c>
      <c r="G99" s="1">
        <v>1</v>
      </c>
      <c r="H99" s="4" t="s">
        <v>4304</v>
      </c>
      <c r="I99" s="4" t="s">
        <v>4533</v>
      </c>
    </row>
    <row r="100" spans="1:10" x14ac:dyDescent="0.15">
      <c r="A100" s="1">
        <v>171</v>
      </c>
      <c r="B100" s="677" t="s">
        <v>3367</v>
      </c>
      <c r="C100" s="4" t="s">
        <v>1107</v>
      </c>
      <c r="D100" s="4" t="s">
        <v>4306</v>
      </c>
      <c r="E100" s="665" t="s">
        <v>4297</v>
      </c>
      <c r="F100" s="1">
        <v>34</v>
      </c>
      <c r="G100" s="1">
        <v>0</v>
      </c>
      <c r="H100" s="4" t="s">
        <v>4541</v>
      </c>
      <c r="I100" s="1" t="s">
        <v>4310</v>
      </c>
      <c r="J100" s="4" t="s">
        <v>4542</v>
      </c>
    </row>
    <row r="101" spans="1:10" x14ac:dyDescent="0.15">
      <c r="A101" s="1">
        <v>177</v>
      </c>
      <c r="B101" s="677" t="s">
        <v>1113</v>
      </c>
      <c r="C101" s="4" t="s">
        <v>1107</v>
      </c>
      <c r="D101" s="4" t="s">
        <v>4306</v>
      </c>
      <c r="E101" s="665" t="s">
        <v>4297</v>
      </c>
      <c r="F101" s="1">
        <v>20</v>
      </c>
      <c r="G101" s="1">
        <v>3</v>
      </c>
      <c r="H101" s="4" t="s">
        <v>4550</v>
      </c>
      <c r="I101" s="4" t="s">
        <v>4551</v>
      </c>
      <c r="J101" s="4" t="s">
        <v>4319</v>
      </c>
    </row>
    <row r="102" spans="1:10" x14ac:dyDescent="0.15">
      <c r="A102" s="1">
        <v>186</v>
      </c>
      <c r="B102" s="677" t="s">
        <v>59</v>
      </c>
      <c r="C102" s="4" t="s">
        <v>1107</v>
      </c>
      <c r="D102" s="4" t="s">
        <v>4306</v>
      </c>
      <c r="E102" s="665" t="s">
        <v>4297</v>
      </c>
      <c r="F102" s="1">
        <v>20</v>
      </c>
      <c r="G102" s="1">
        <v>0</v>
      </c>
      <c r="H102" s="4" t="s">
        <v>4298</v>
      </c>
      <c r="I102" s="4" t="s">
        <v>4369</v>
      </c>
      <c r="J102" s="1" t="s">
        <v>4567</v>
      </c>
    </row>
    <row r="103" spans="1:10" x14ac:dyDescent="0.15">
      <c r="A103" s="1">
        <v>187</v>
      </c>
      <c r="B103" s="677" t="s">
        <v>1152</v>
      </c>
      <c r="C103" s="4" t="s">
        <v>1107</v>
      </c>
      <c r="D103" s="4" t="s">
        <v>4306</v>
      </c>
      <c r="E103" s="665" t="s">
        <v>4297</v>
      </c>
      <c r="F103" s="1">
        <v>10</v>
      </c>
      <c r="G103" s="1">
        <v>1</v>
      </c>
      <c r="H103" s="4" t="s">
        <v>4304</v>
      </c>
      <c r="J103" s="4" t="s">
        <v>4319</v>
      </c>
    </row>
    <row r="104" spans="1:10" x14ac:dyDescent="0.15">
      <c r="A104" s="1">
        <v>192</v>
      </c>
      <c r="B104" s="677" t="s">
        <v>4414</v>
      </c>
      <c r="C104" s="4" t="s">
        <v>1107</v>
      </c>
      <c r="D104" s="4" t="s">
        <v>4306</v>
      </c>
      <c r="E104" s="665" t="s">
        <v>4297</v>
      </c>
      <c r="F104" s="1">
        <v>10</v>
      </c>
      <c r="G104" s="1">
        <v>1</v>
      </c>
      <c r="H104" s="4" t="s">
        <v>4304</v>
      </c>
      <c r="J104" s="4" t="s">
        <v>4578</v>
      </c>
    </row>
    <row r="105" spans="1:10" x14ac:dyDescent="0.15">
      <c r="A105" s="1">
        <v>196</v>
      </c>
      <c r="B105" s="677" t="s">
        <v>3284</v>
      </c>
      <c r="C105" s="4" t="s">
        <v>1107</v>
      </c>
      <c r="D105" s="4" t="s">
        <v>4303</v>
      </c>
      <c r="E105" s="665" t="s">
        <v>4297</v>
      </c>
      <c r="F105" s="1">
        <v>5</v>
      </c>
      <c r="G105" s="1">
        <v>0</v>
      </c>
      <c r="H105" s="4" t="s">
        <v>4298</v>
      </c>
      <c r="I105" s="4" t="s">
        <v>4581</v>
      </c>
    </row>
    <row r="106" spans="1:10" x14ac:dyDescent="0.15">
      <c r="A106" s="1">
        <v>217</v>
      </c>
      <c r="B106" s="677" t="s">
        <v>1546</v>
      </c>
      <c r="C106" s="4" t="s">
        <v>1107</v>
      </c>
      <c r="D106" s="4" t="s">
        <v>4306</v>
      </c>
      <c r="E106" s="665" t="s">
        <v>4297</v>
      </c>
      <c r="F106" s="1">
        <v>20</v>
      </c>
      <c r="G106" s="1">
        <v>0</v>
      </c>
      <c r="H106" s="4" t="s">
        <v>4298</v>
      </c>
      <c r="J106" s="1" t="s">
        <v>4319</v>
      </c>
    </row>
    <row r="107" spans="1:10" x14ac:dyDescent="0.15">
      <c r="A107" s="1">
        <v>219</v>
      </c>
      <c r="B107" s="677" t="s">
        <v>1272</v>
      </c>
      <c r="C107" s="4" t="s">
        <v>1107</v>
      </c>
      <c r="D107" s="4" t="s">
        <v>4306</v>
      </c>
      <c r="E107" s="665" t="s">
        <v>4297</v>
      </c>
      <c r="F107" s="1">
        <v>10</v>
      </c>
      <c r="G107" s="1">
        <v>1</v>
      </c>
      <c r="H107" s="4" t="s">
        <v>4304</v>
      </c>
      <c r="J107" s="4" t="s">
        <v>4319</v>
      </c>
    </row>
    <row r="108" spans="1:10" x14ac:dyDescent="0.15">
      <c r="A108" s="1">
        <v>231</v>
      </c>
      <c r="B108" s="677" t="s">
        <v>3448</v>
      </c>
      <c r="C108" s="4" t="s">
        <v>1107</v>
      </c>
      <c r="D108" s="4" t="s">
        <v>4306</v>
      </c>
      <c r="E108" s="665" t="s">
        <v>4297</v>
      </c>
      <c r="F108" s="1">
        <v>10</v>
      </c>
      <c r="G108" s="1">
        <v>3</v>
      </c>
      <c r="H108" s="4" t="s">
        <v>4334</v>
      </c>
    </row>
    <row r="109" spans="1:10" x14ac:dyDescent="0.15">
      <c r="A109" s="1">
        <v>232</v>
      </c>
      <c r="B109" s="677" t="s">
        <v>3465</v>
      </c>
      <c r="C109" s="4" t="s">
        <v>1107</v>
      </c>
      <c r="D109" s="4" t="s">
        <v>4306</v>
      </c>
      <c r="E109" s="665" t="s">
        <v>4297</v>
      </c>
      <c r="F109" s="1">
        <v>5</v>
      </c>
      <c r="G109" s="1">
        <v>0</v>
      </c>
      <c r="H109" s="4" t="s">
        <v>4298</v>
      </c>
    </row>
    <row r="110" spans="1:10" x14ac:dyDescent="0.15">
      <c r="A110" s="1">
        <v>280</v>
      </c>
      <c r="B110" s="677" t="s">
        <v>3459</v>
      </c>
      <c r="C110" s="4" t="s">
        <v>1107</v>
      </c>
      <c r="D110" s="4" t="s">
        <v>4306</v>
      </c>
      <c r="E110" s="665" t="s">
        <v>4297</v>
      </c>
      <c r="F110" s="1">
        <v>10</v>
      </c>
      <c r="G110" s="1">
        <v>2</v>
      </c>
      <c r="H110" s="4" t="s">
        <v>4334</v>
      </c>
    </row>
    <row r="111" spans="1:10" x14ac:dyDescent="0.15">
      <c r="A111" s="1">
        <v>90</v>
      </c>
      <c r="B111" s="677" t="s">
        <v>4405</v>
      </c>
      <c r="C111" s="4" t="s">
        <v>1107</v>
      </c>
      <c r="D111" s="4" t="s">
        <v>4306</v>
      </c>
      <c r="E111" s="665" t="s">
        <v>4297</v>
      </c>
      <c r="F111" s="1">
        <v>5</v>
      </c>
      <c r="G111" s="1">
        <v>1</v>
      </c>
      <c r="H111" s="4" t="s">
        <v>4304</v>
      </c>
      <c r="I111" s="4" t="s">
        <v>4415</v>
      </c>
    </row>
    <row r="112" spans="1:10" x14ac:dyDescent="0.15">
      <c r="A112" s="1">
        <v>222</v>
      </c>
      <c r="B112" s="677" t="s">
        <v>4448</v>
      </c>
      <c r="C112" s="4" t="s">
        <v>4616</v>
      </c>
      <c r="D112" s="4" t="s">
        <v>4306</v>
      </c>
      <c r="E112" s="665" t="s">
        <v>4297</v>
      </c>
      <c r="F112" s="1">
        <v>10</v>
      </c>
      <c r="G112" s="1">
        <v>1</v>
      </c>
      <c r="H112" s="4" t="s">
        <v>4304</v>
      </c>
    </row>
    <row r="113" spans="1:10" x14ac:dyDescent="0.15">
      <c r="A113" s="1">
        <v>224</v>
      </c>
      <c r="B113" s="677" t="s">
        <v>3244</v>
      </c>
      <c r="C113" s="4" t="s">
        <v>4616</v>
      </c>
      <c r="D113" s="4" t="s">
        <v>4306</v>
      </c>
      <c r="E113" s="665" t="s">
        <v>4297</v>
      </c>
      <c r="F113" s="1">
        <v>10</v>
      </c>
      <c r="G113" s="1">
        <v>0</v>
      </c>
      <c r="H113" s="4" t="s">
        <v>4298</v>
      </c>
    </row>
    <row r="114" spans="1:10" x14ac:dyDescent="0.15">
      <c r="A114" s="1">
        <v>5</v>
      </c>
      <c r="B114" s="677" t="s">
        <v>3530</v>
      </c>
      <c r="C114" s="4" t="s">
        <v>3214</v>
      </c>
      <c r="D114" s="4" t="s">
        <v>4303</v>
      </c>
      <c r="E114" s="665" t="s">
        <v>4297</v>
      </c>
      <c r="F114" s="1">
        <v>10</v>
      </c>
      <c r="G114" s="1">
        <v>1</v>
      </c>
      <c r="H114" s="4" t="s">
        <v>4304</v>
      </c>
      <c r="I114" s="4" t="s">
        <v>3470</v>
      </c>
    </row>
    <row r="115" spans="1:10" x14ac:dyDescent="0.15">
      <c r="A115" s="1">
        <v>30</v>
      </c>
      <c r="B115" s="677" t="s">
        <v>3526</v>
      </c>
      <c r="C115" s="4" t="s">
        <v>3214</v>
      </c>
      <c r="D115" s="4" t="s">
        <v>4303</v>
      </c>
      <c r="E115" s="665" t="s">
        <v>4297</v>
      </c>
      <c r="F115" s="1">
        <v>10</v>
      </c>
      <c r="G115" s="1">
        <v>0</v>
      </c>
      <c r="H115" s="4" t="s">
        <v>4298</v>
      </c>
      <c r="I115" s="4" t="s">
        <v>4357</v>
      </c>
    </row>
    <row r="116" spans="1:10" x14ac:dyDescent="0.15">
      <c r="A116" s="1">
        <v>31</v>
      </c>
      <c r="B116" s="677" t="s">
        <v>3431</v>
      </c>
      <c r="C116" s="4" t="s">
        <v>3214</v>
      </c>
      <c r="D116" s="4" t="s">
        <v>4303</v>
      </c>
      <c r="E116" s="665" t="s">
        <v>4297</v>
      </c>
      <c r="F116" s="1">
        <v>30</v>
      </c>
      <c r="G116" s="1">
        <v>1</v>
      </c>
      <c r="H116" s="4" t="s">
        <v>4304</v>
      </c>
      <c r="I116" s="4" t="s">
        <v>4361</v>
      </c>
    </row>
    <row r="117" spans="1:10" x14ac:dyDescent="0.15">
      <c r="A117" s="1">
        <v>32</v>
      </c>
      <c r="B117" s="677" t="s">
        <v>3423</v>
      </c>
      <c r="C117" s="4" t="s">
        <v>3214</v>
      </c>
      <c r="D117" s="4" t="s">
        <v>4303</v>
      </c>
      <c r="E117" s="665" t="s">
        <v>4297</v>
      </c>
      <c r="F117" s="1">
        <v>10</v>
      </c>
      <c r="G117" s="1">
        <v>1</v>
      </c>
      <c r="H117" s="4" t="s">
        <v>4304</v>
      </c>
      <c r="I117" s="4" t="s">
        <v>4362</v>
      </c>
    </row>
    <row r="118" spans="1:10" x14ac:dyDescent="0.15">
      <c r="A118" s="1">
        <v>82</v>
      </c>
      <c r="B118" s="677" t="s">
        <v>3311</v>
      </c>
      <c r="C118" s="4" t="s">
        <v>3214</v>
      </c>
      <c r="D118" s="4" t="s">
        <v>3223</v>
      </c>
      <c r="E118" s="665" t="s">
        <v>4297</v>
      </c>
      <c r="F118" s="1">
        <v>20</v>
      </c>
      <c r="G118" s="1">
        <v>0</v>
      </c>
      <c r="H118" s="4" t="s">
        <v>4298</v>
      </c>
    </row>
    <row r="119" spans="1:10" x14ac:dyDescent="0.15">
      <c r="A119" s="1">
        <v>109</v>
      </c>
      <c r="B119" s="677" t="s">
        <v>3440</v>
      </c>
      <c r="C119" s="4" t="s">
        <v>3214</v>
      </c>
      <c r="D119" s="4" t="s">
        <v>4303</v>
      </c>
      <c r="E119" s="665" t="s">
        <v>4297</v>
      </c>
      <c r="F119" s="1">
        <v>10</v>
      </c>
      <c r="G119" s="1">
        <v>1</v>
      </c>
      <c r="H119" s="4" t="s">
        <v>4304</v>
      </c>
      <c r="I119" s="4" t="s">
        <v>3376</v>
      </c>
    </row>
    <row r="120" spans="1:10" x14ac:dyDescent="0.15">
      <c r="A120" s="1">
        <v>113</v>
      </c>
      <c r="B120" s="677" t="s">
        <v>1421</v>
      </c>
      <c r="C120" s="4" t="s">
        <v>3214</v>
      </c>
      <c r="D120" s="4" t="s">
        <v>4303</v>
      </c>
      <c r="E120" s="665" t="s">
        <v>4297</v>
      </c>
      <c r="F120" s="1">
        <v>10</v>
      </c>
      <c r="H120" s="4" t="s">
        <v>4083</v>
      </c>
      <c r="I120" s="4" t="s">
        <v>4455</v>
      </c>
    </row>
    <row r="121" spans="1:10" x14ac:dyDescent="0.15">
      <c r="A121" s="1">
        <v>139</v>
      </c>
      <c r="B121" s="677" t="s">
        <v>1425</v>
      </c>
      <c r="C121" s="4" t="s">
        <v>3214</v>
      </c>
      <c r="D121" s="4" t="s">
        <v>4303</v>
      </c>
      <c r="E121" s="665" t="s">
        <v>4297</v>
      </c>
      <c r="F121" s="1">
        <v>20</v>
      </c>
      <c r="G121" s="1">
        <v>1</v>
      </c>
      <c r="H121" s="4" t="s">
        <v>4304</v>
      </c>
      <c r="I121" s="4" t="s">
        <v>3529</v>
      </c>
      <c r="J121" s="4" t="s">
        <v>4494</v>
      </c>
    </row>
    <row r="122" spans="1:10" x14ac:dyDescent="0.15">
      <c r="A122" s="1">
        <v>141</v>
      </c>
      <c r="B122" s="677" t="s">
        <v>3360</v>
      </c>
      <c r="C122" s="4" t="s">
        <v>3214</v>
      </c>
      <c r="D122" s="4" t="s">
        <v>4303</v>
      </c>
      <c r="E122" s="665" t="s">
        <v>4297</v>
      </c>
      <c r="F122" s="1">
        <v>10</v>
      </c>
      <c r="G122" s="1">
        <v>0</v>
      </c>
      <c r="H122" s="4" t="s">
        <v>4298</v>
      </c>
      <c r="I122" s="4" t="s">
        <v>4497</v>
      </c>
      <c r="J122" s="4" t="s">
        <v>4498</v>
      </c>
    </row>
    <row r="123" spans="1:10" x14ac:dyDescent="0.15">
      <c r="A123" s="1">
        <v>156</v>
      </c>
      <c r="B123" s="677" t="s">
        <v>1292</v>
      </c>
      <c r="C123" s="4" t="s">
        <v>3214</v>
      </c>
      <c r="D123" s="4" t="s">
        <v>4303</v>
      </c>
      <c r="E123" s="665" t="s">
        <v>4297</v>
      </c>
      <c r="F123" s="1">
        <v>20</v>
      </c>
      <c r="G123" s="1">
        <v>1</v>
      </c>
      <c r="H123" s="4" t="s">
        <v>4526</v>
      </c>
      <c r="I123" s="4" t="s">
        <v>4527</v>
      </c>
    </row>
    <row r="124" spans="1:10" x14ac:dyDescent="0.15">
      <c r="A124" s="1">
        <v>176</v>
      </c>
      <c r="B124" s="677" t="s">
        <v>4601</v>
      </c>
      <c r="C124" s="4" t="s">
        <v>3214</v>
      </c>
      <c r="D124" s="4" t="s">
        <v>4303</v>
      </c>
      <c r="E124" s="665" t="s">
        <v>4297</v>
      </c>
      <c r="F124" s="1">
        <v>20</v>
      </c>
      <c r="G124" s="1">
        <v>1</v>
      </c>
      <c r="H124" s="4" t="s">
        <v>4298</v>
      </c>
      <c r="I124" s="4" t="s">
        <v>3422</v>
      </c>
    </row>
    <row r="125" spans="1:10" x14ac:dyDescent="0.15">
      <c r="A125" s="1">
        <v>221</v>
      </c>
      <c r="B125" s="677" t="s">
        <v>511</v>
      </c>
      <c r="C125" s="4" t="s">
        <v>3214</v>
      </c>
      <c r="D125" s="4" t="s">
        <v>4303</v>
      </c>
      <c r="E125" s="665" t="s">
        <v>4297</v>
      </c>
      <c r="F125" s="1">
        <v>10</v>
      </c>
      <c r="H125" s="4" t="s">
        <v>4298</v>
      </c>
      <c r="I125" s="4" t="s">
        <v>4615</v>
      </c>
      <c r="J125" s="4" t="s">
        <v>4369</v>
      </c>
    </row>
    <row r="126" spans="1:10" x14ac:dyDescent="0.15">
      <c r="A126" s="1">
        <v>225</v>
      </c>
      <c r="B126" s="677" t="s">
        <v>4609</v>
      </c>
      <c r="C126" s="4" t="s">
        <v>3214</v>
      </c>
      <c r="D126" s="4" t="s">
        <v>4303</v>
      </c>
      <c r="E126" s="665" t="s">
        <v>4297</v>
      </c>
      <c r="F126" s="1">
        <v>10</v>
      </c>
      <c r="G126" s="1">
        <v>0</v>
      </c>
      <c r="H126" s="4" t="s">
        <v>4083</v>
      </c>
      <c r="I126" s="4" t="s">
        <v>3439</v>
      </c>
    </row>
    <row r="127" spans="1:10" x14ac:dyDescent="0.15">
      <c r="B127" s="677" t="s">
        <v>4610</v>
      </c>
      <c r="C127" s="4" t="s">
        <v>3214</v>
      </c>
      <c r="D127" s="4" t="s">
        <v>4303</v>
      </c>
      <c r="E127" s="665" t="s">
        <v>4297</v>
      </c>
      <c r="F127" s="1">
        <v>50</v>
      </c>
      <c r="G127" s="1">
        <v>1</v>
      </c>
      <c r="H127" s="4" t="s">
        <v>4304</v>
      </c>
      <c r="I127" s="4" t="s">
        <v>3376</v>
      </c>
    </row>
    <row r="128" spans="1:10" x14ac:dyDescent="0.15">
      <c r="B128" s="677" t="s">
        <v>4457</v>
      </c>
      <c r="C128" s="4" t="s">
        <v>3214</v>
      </c>
      <c r="D128" s="4" t="s">
        <v>4303</v>
      </c>
      <c r="E128" s="665" t="s">
        <v>4297</v>
      </c>
      <c r="F128" s="1">
        <v>20</v>
      </c>
      <c r="G128" s="1">
        <v>0</v>
      </c>
      <c r="H128" s="4" t="s">
        <v>4298</v>
      </c>
      <c r="I128" s="4" t="s">
        <v>4666</v>
      </c>
    </row>
    <row r="129" spans="1:9" x14ac:dyDescent="0.15">
      <c r="A129" s="1">
        <v>41</v>
      </c>
      <c r="B129" s="677" t="s">
        <v>652</v>
      </c>
      <c r="C129" s="4" t="s">
        <v>3214</v>
      </c>
      <c r="D129" s="4" t="s">
        <v>4303</v>
      </c>
      <c r="E129" s="665" t="s">
        <v>4297</v>
      </c>
      <c r="F129" s="1">
        <v>20</v>
      </c>
      <c r="G129" s="1">
        <v>1</v>
      </c>
      <c r="H129" s="4" t="s">
        <v>4304</v>
      </c>
      <c r="I129" s="4" t="s">
        <v>3359</v>
      </c>
    </row>
    <row r="130" spans="1:9" x14ac:dyDescent="0.15">
      <c r="A130" s="1">
        <v>115</v>
      </c>
      <c r="B130" s="677" t="s">
        <v>680</v>
      </c>
      <c r="C130" s="4" t="s">
        <v>4074</v>
      </c>
      <c r="D130" s="4" t="s">
        <v>4296</v>
      </c>
      <c r="E130" s="665" t="s">
        <v>4297</v>
      </c>
      <c r="F130" s="1">
        <v>10</v>
      </c>
      <c r="G130" s="1">
        <v>0</v>
      </c>
      <c r="H130" s="4" t="s">
        <v>4298</v>
      </c>
    </row>
    <row r="131" spans="1:9" x14ac:dyDescent="0.15">
      <c r="A131" s="1">
        <v>208</v>
      </c>
      <c r="B131" s="677" t="s">
        <v>2687</v>
      </c>
      <c r="C131" s="4" t="s">
        <v>4074</v>
      </c>
      <c r="D131" s="4" t="s">
        <v>4296</v>
      </c>
      <c r="E131" s="665" t="s">
        <v>4297</v>
      </c>
      <c r="F131" s="1">
        <v>10</v>
      </c>
      <c r="G131" s="1">
        <v>0</v>
      </c>
      <c r="H131" s="4" t="s">
        <v>4298</v>
      </c>
    </row>
    <row r="132" spans="1:9" x14ac:dyDescent="0.15">
      <c r="A132" s="1">
        <v>209</v>
      </c>
      <c r="B132" s="677" t="s">
        <v>4356</v>
      </c>
      <c r="C132" s="4" t="s">
        <v>4074</v>
      </c>
      <c r="D132" s="4" t="s">
        <v>4296</v>
      </c>
      <c r="E132" s="665" t="s">
        <v>4297</v>
      </c>
      <c r="F132" s="1">
        <v>50</v>
      </c>
      <c r="G132" s="1">
        <v>1</v>
      </c>
      <c r="H132" s="4" t="s">
        <v>4304</v>
      </c>
      <c r="I132" s="4" t="s">
        <v>4321</v>
      </c>
    </row>
    <row r="133" spans="1:9" x14ac:dyDescent="0.15">
      <c r="A133" s="1">
        <v>216</v>
      </c>
      <c r="B133" s="677" t="s">
        <v>672</v>
      </c>
      <c r="C133" s="4" t="s">
        <v>4074</v>
      </c>
      <c r="D133" s="4" t="s">
        <v>4296</v>
      </c>
      <c r="E133" s="665" t="s">
        <v>4297</v>
      </c>
      <c r="F133" s="1">
        <v>10</v>
      </c>
      <c r="G133" s="1">
        <v>1</v>
      </c>
      <c r="H133" s="4" t="s">
        <v>4304</v>
      </c>
    </row>
    <row r="134" spans="1:9" x14ac:dyDescent="0.15">
      <c r="A134" s="1">
        <v>217</v>
      </c>
      <c r="B134" s="677" t="s">
        <v>143</v>
      </c>
      <c r="C134" s="4" t="s">
        <v>4074</v>
      </c>
      <c r="D134" s="4" t="s">
        <v>4296</v>
      </c>
      <c r="E134" s="665" t="s">
        <v>4297</v>
      </c>
      <c r="F134" s="1">
        <v>10</v>
      </c>
      <c r="G134" s="1">
        <v>2</v>
      </c>
      <c r="H134" s="4" t="s">
        <v>4334</v>
      </c>
    </row>
    <row r="135" spans="1:9" x14ac:dyDescent="0.15">
      <c r="A135" s="1">
        <v>114</v>
      </c>
      <c r="B135" s="677" t="s">
        <v>676</v>
      </c>
      <c r="C135" s="4" t="s">
        <v>4074</v>
      </c>
      <c r="D135" s="4" t="s">
        <v>4296</v>
      </c>
      <c r="E135" s="665" t="s">
        <v>4297</v>
      </c>
      <c r="F135" s="1">
        <v>20</v>
      </c>
      <c r="G135" s="1">
        <v>2</v>
      </c>
      <c r="H135" s="4" t="s">
        <v>4334</v>
      </c>
    </row>
    <row r="136" spans="1:9" x14ac:dyDescent="0.15">
      <c r="A136" s="1">
        <v>22</v>
      </c>
      <c r="B136" s="677" t="s">
        <v>662</v>
      </c>
      <c r="C136" s="4" t="s">
        <v>651</v>
      </c>
      <c r="D136" s="4" t="s">
        <v>4303</v>
      </c>
      <c r="E136" s="665" t="s">
        <v>4297</v>
      </c>
      <c r="F136" s="1">
        <v>10</v>
      </c>
      <c r="G136" s="1">
        <v>0</v>
      </c>
      <c r="H136" s="4" t="s">
        <v>4298</v>
      </c>
    </row>
    <row r="137" spans="1:9" x14ac:dyDescent="0.15">
      <c r="A137" s="1">
        <v>23</v>
      </c>
      <c r="B137" s="677" t="s">
        <v>665</v>
      </c>
      <c r="C137" s="4" t="s">
        <v>651</v>
      </c>
      <c r="D137" s="4" t="s">
        <v>4303</v>
      </c>
      <c r="E137" s="665" t="s">
        <v>4297</v>
      </c>
      <c r="F137" s="1">
        <v>10</v>
      </c>
      <c r="G137" s="1">
        <v>0</v>
      </c>
      <c r="H137" s="4" t="s">
        <v>4298</v>
      </c>
    </row>
    <row r="138" spans="1:9" x14ac:dyDescent="0.15">
      <c r="A138" s="1">
        <v>23</v>
      </c>
      <c r="B138" s="677" t="s">
        <v>2616</v>
      </c>
      <c r="C138" s="4" t="s">
        <v>651</v>
      </c>
      <c r="D138" s="4" t="s">
        <v>4303</v>
      </c>
      <c r="E138" s="665" t="s">
        <v>4297</v>
      </c>
      <c r="F138" s="1">
        <v>10</v>
      </c>
      <c r="G138" s="1">
        <v>1</v>
      </c>
      <c r="H138" s="4" t="s">
        <v>4304</v>
      </c>
    </row>
    <row r="139" spans="1:9" x14ac:dyDescent="0.15">
      <c r="A139" s="1">
        <v>29</v>
      </c>
      <c r="B139" s="677" t="s">
        <v>2589</v>
      </c>
      <c r="C139" s="4" t="s">
        <v>651</v>
      </c>
      <c r="D139" s="4" t="s">
        <v>4303</v>
      </c>
      <c r="E139" s="665" t="s">
        <v>4297</v>
      </c>
      <c r="F139" s="1">
        <v>10</v>
      </c>
      <c r="G139" s="1">
        <v>0</v>
      </c>
      <c r="H139" s="4" t="s">
        <v>4298</v>
      </c>
    </row>
    <row r="140" spans="1:9" x14ac:dyDescent="0.15">
      <c r="A140" s="1">
        <v>40</v>
      </c>
      <c r="B140" s="677" t="s">
        <v>674</v>
      </c>
      <c r="C140" s="4" t="s">
        <v>651</v>
      </c>
      <c r="D140" s="4" t="s">
        <v>4303</v>
      </c>
      <c r="E140" s="665" t="s">
        <v>4297</v>
      </c>
      <c r="F140" s="1">
        <v>10</v>
      </c>
      <c r="G140" s="1">
        <v>0</v>
      </c>
      <c r="H140" s="4" t="s">
        <v>4298</v>
      </c>
    </row>
    <row r="141" spans="1:9" x14ac:dyDescent="0.15">
      <c r="A141" s="1">
        <v>43</v>
      </c>
      <c r="B141" s="677" t="s">
        <v>2612</v>
      </c>
      <c r="C141" s="4" t="s">
        <v>651</v>
      </c>
      <c r="D141" s="4" t="s">
        <v>4303</v>
      </c>
      <c r="E141" s="665" t="s">
        <v>4297</v>
      </c>
      <c r="F141" s="1">
        <v>20</v>
      </c>
      <c r="G141" s="1">
        <v>1</v>
      </c>
      <c r="H141" s="4" t="s">
        <v>4304</v>
      </c>
    </row>
    <row r="142" spans="1:9" x14ac:dyDescent="0.15">
      <c r="A142" s="1">
        <v>67</v>
      </c>
      <c r="B142" s="677" t="s">
        <v>2636</v>
      </c>
      <c r="C142" s="4" t="s">
        <v>651</v>
      </c>
      <c r="D142" s="4" t="s">
        <v>4303</v>
      </c>
      <c r="E142" s="665" t="s">
        <v>4297</v>
      </c>
      <c r="F142" s="1">
        <v>10</v>
      </c>
      <c r="G142" s="1">
        <v>1</v>
      </c>
      <c r="H142" s="4" t="s">
        <v>4304</v>
      </c>
    </row>
    <row r="143" spans="1:9" x14ac:dyDescent="0.15">
      <c r="A143" s="1">
        <v>72</v>
      </c>
      <c r="B143" s="677" t="s">
        <v>2641</v>
      </c>
      <c r="C143" s="4" t="s">
        <v>651</v>
      </c>
      <c r="D143" s="4" t="s">
        <v>4303</v>
      </c>
      <c r="E143" s="665" t="s">
        <v>4297</v>
      </c>
      <c r="F143" s="1">
        <v>10</v>
      </c>
      <c r="G143" s="1">
        <v>1</v>
      </c>
      <c r="H143" s="4" t="s">
        <v>4304</v>
      </c>
    </row>
    <row r="144" spans="1:9" x14ac:dyDescent="0.15">
      <c r="A144" s="1">
        <v>83</v>
      </c>
      <c r="B144" s="677" t="s">
        <v>684</v>
      </c>
      <c r="C144" s="4" t="s">
        <v>651</v>
      </c>
      <c r="D144" s="4" t="s">
        <v>4303</v>
      </c>
      <c r="E144" s="665" t="s">
        <v>4297</v>
      </c>
      <c r="F144" s="1">
        <v>10</v>
      </c>
      <c r="G144" s="1">
        <v>1</v>
      </c>
      <c r="H144" s="4" t="s">
        <v>4304</v>
      </c>
    </row>
    <row r="145" spans="1:10" x14ac:dyDescent="0.15">
      <c r="A145" s="1">
        <v>84</v>
      </c>
      <c r="B145" s="677" t="s">
        <v>2553</v>
      </c>
      <c r="C145" s="4" t="s">
        <v>651</v>
      </c>
      <c r="D145" s="4" t="s">
        <v>4303</v>
      </c>
      <c r="E145" s="665" t="s">
        <v>4297</v>
      </c>
      <c r="F145" s="1">
        <v>10</v>
      </c>
      <c r="G145" s="1">
        <v>1</v>
      </c>
      <c r="H145" s="4" t="s">
        <v>4304</v>
      </c>
    </row>
    <row r="146" spans="1:10" x14ac:dyDescent="0.15">
      <c r="A146" s="1">
        <v>86</v>
      </c>
      <c r="B146" s="677" t="s">
        <v>2536</v>
      </c>
      <c r="C146" s="4" t="s">
        <v>651</v>
      </c>
      <c r="D146" s="4" t="s">
        <v>4303</v>
      </c>
      <c r="E146" s="665" t="s">
        <v>4297</v>
      </c>
      <c r="F146" s="1">
        <v>10</v>
      </c>
      <c r="G146" s="1">
        <v>1</v>
      </c>
      <c r="H146" s="4" t="s">
        <v>4304</v>
      </c>
    </row>
    <row r="147" spans="1:10" x14ac:dyDescent="0.15">
      <c r="A147" s="1">
        <v>89</v>
      </c>
      <c r="B147" s="677" t="s">
        <v>3326</v>
      </c>
      <c r="C147" s="4" t="s">
        <v>651</v>
      </c>
      <c r="D147" s="4" t="s">
        <v>4303</v>
      </c>
      <c r="E147" s="665" t="s">
        <v>4297</v>
      </c>
      <c r="F147" s="1">
        <v>10</v>
      </c>
      <c r="G147" s="1">
        <v>1</v>
      </c>
      <c r="H147" s="4" t="s">
        <v>4304</v>
      </c>
    </row>
    <row r="148" spans="1:10" x14ac:dyDescent="0.15">
      <c r="A148" s="1">
        <v>118</v>
      </c>
      <c r="B148" s="677" t="s">
        <v>3239</v>
      </c>
      <c r="C148" s="4" t="s">
        <v>651</v>
      </c>
      <c r="D148" s="4" t="s">
        <v>4303</v>
      </c>
      <c r="E148" s="665" t="s">
        <v>4297</v>
      </c>
      <c r="F148" s="1">
        <v>20</v>
      </c>
      <c r="G148" s="1">
        <v>1</v>
      </c>
      <c r="H148" s="4" t="s">
        <v>4304</v>
      </c>
      <c r="I148" s="4" t="s">
        <v>4465</v>
      </c>
    </row>
    <row r="149" spans="1:10" x14ac:dyDescent="0.15">
      <c r="A149" s="1">
        <v>127</v>
      </c>
      <c r="B149" s="677" t="s">
        <v>1540</v>
      </c>
      <c r="C149" s="4" t="s">
        <v>651</v>
      </c>
      <c r="D149" s="4" t="s">
        <v>4303</v>
      </c>
      <c r="E149" s="665" t="s">
        <v>4297</v>
      </c>
      <c r="F149" s="1">
        <v>10</v>
      </c>
      <c r="G149" s="1">
        <v>1</v>
      </c>
      <c r="H149" s="4" t="s">
        <v>4304</v>
      </c>
    </row>
    <row r="150" spans="1:10" x14ac:dyDescent="0.15">
      <c r="A150" s="1">
        <v>195</v>
      </c>
      <c r="B150" s="677" t="s">
        <v>1548</v>
      </c>
      <c r="C150" s="4" t="s">
        <v>651</v>
      </c>
      <c r="D150" s="4" t="s">
        <v>4303</v>
      </c>
      <c r="E150" s="665" t="s">
        <v>4297</v>
      </c>
      <c r="F150" s="1">
        <v>10</v>
      </c>
      <c r="G150" s="1">
        <v>0</v>
      </c>
      <c r="H150" s="4" t="s">
        <v>4298</v>
      </c>
      <c r="I150" s="4" t="s">
        <v>4581</v>
      </c>
    </row>
    <row r="151" spans="1:10" x14ac:dyDescent="0.15">
      <c r="A151" s="1">
        <v>211</v>
      </c>
      <c r="B151" s="677" t="s">
        <v>3339</v>
      </c>
      <c r="C151" s="4" t="s">
        <v>651</v>
      </c>
      <c r="D151" s="4" t="s">
        <v>4303</v>
      </c>
      <c r="E151" s="665" t="s">
        <v>4297</v>
      </c>
      <c r="F151" s="1">
        <v>10</v>
      </c>
      <c r="G151" s="1">
        <v>0</v>
      </c>
      <c r="H151" s="4" t="s">
        <v>4298</v>
      </c>
      <c r="I151" s="4" t="s">
        <v>4585</v>
      </c>
      <c r="J151" s="4" t="s">
        <v>4315</v>
      </c>
    </row>
    <row r="152" spans="1:10" x14ac:dyDescent="0.15">
      <c r="A152" s="1">
        <v>212</v>
      </c>
      <c r="B152" s="677" t="s">
        <v>3392</v>
      </c>
      <c r="C152" s="4" t="s">
        <v>651</v>
      </c>
      <c r="D152" s="4" t="s">
        <v>4303</v>
      </c>
      <c r="E152" s="665" t="s">
        <v>4297</v>
      </c>
      <c r="F152" s="1">
        <v>30</v>
      </c>
      <c r="G152" s="1">
        <v>0</v>
      </c>
      <c r="H152" s="4" t="s">
        <v>4298</v>
      </c>
      <c r="I152" s="4" t="s">
        <v>4585</v>
      </c>
    </row>
    <row r="153" spans="1:10" x14ac:dyDescent="0.15">
      <c r="A153" s="1">
        <v>216</v>
      </c>
      <c r="B153" s="677" t="s">
        <v>3382</v>
      </c>
      <c r="C153" s="4" t="s">
        <v>651</v>
      </c>
      <c r="D153" s="4" t="s">
        <v>4303</v>
      </c>
      <c r="E153" s="665" t="s">
        <v>4297</v>
      </c>
      <c r="F153" s="1">
        <v>10</v>
      </c>
      <c r="G153" s="1">
        <v>0</v>
      </c>
      <c r="H153" s="4" t="s">
        <v>4298</v>
      </c>
    </row>
    <row r="154" spans="1:10" x14ac:dyDescent="0.15">
      <c r="A154" s="1">
        <v>227</v>
      </c>
      <c r="B154" s="677" t="s">
        <v>4089</v>
      </c>
      <c r="C154" s="4" t="s">
        <v>651</v>
      </c>
      <c r="D154" s="4" t="s">
        <v>4303</v>
      </c>
      <c r="E154" s="665" t="s">
        <v>4297</v>
      </c>
      <c r="F154" s="1">
        <v>10</v>
      </c>
      <c r="G154" s="1">
        <v>1</v>
      </c>
      <c r="H154" s="4" t="s">
        <v>4304</v>
      </c>
    </row>
    <row r="155" spans="1:10" x14ac:dyDescent="0.15">
      <c r="A155" s="1">
        <v>2</v>
      </c>
      <c r="B155" s="677" t="s">
        <v>4460</v>
      </c>
      <c r="C155" s="4" t="s">
        <v>4295</v>
      </c>
      <c r="D155" s="4" t="s">
        <v>4296</v>
      </c>
      <c r="E155" s="665" t="s">
        <v>4297</v>
      </c>
      <c r="F155" s="1">
        <v>14</v>
      </c>
      <c r="G155" s="1">
        <v>0</v>
      </c>
      <c r="H155" s="4" t="s">
        <v>4298</v>
      </c>
      <c r="I155" s="1" t="s">
        <v>4299</v>
      </c>
    </row>
    <row r="156" spans="1:10" x14ac:dyDescent="0.15">
      <c r="A156" s="1">
        <v>4</v>
      </c>
      <c r="B156" s="677" t="s">
        <v>3347</v>
      </c>
      <c r="C156" s="4" t="s">
        <v>4295</v>
      </c>
      <c r="D156" s="4" t="s">
        <v>4296</v>
      </c>
      <c r="E156" s="665" t="s">
        <v>4297</v>
      </c>
      <c r="F156" s="1">
        <v>34</v>
      </c>
      <c r="G156" s="1">
        <v>0</v>
      </c>
      <c r="H156" s="4" t="s">
        <v>4298</v>
      </c>
      <c r="I156" s="1" t="s">
        <v>4310</v>
      </c>
    </row>
    <row r="157" spans="1:10" x14ac:dyDescent="0.15">
      <c r="A157" s="1">
        <v>16</v>
      </c>
      <c r="B157" s="677" t="s">
        <v>3267</v>
      </c>
      <c r="C157" s="4" t="s">
        <v>4295</v>
      </c>
      <c r="D157" s="4" t="s">
        <v>4296</v>
      </c>
      <c r="E157" s="665" t="s">
        <v>4297</v>
      </c>
      <c r="F157" s="1">
        <v>9</v>
      </c>
      <c r="G157" s="1">
        <v>0</v>
      </c>
      <c r="H157" s="4" t="s">
        <v>4298</v>
      </c>
      <c r="I157" s="4" t="s">
        <v>4331</v>
      </c>
    </row>
    <row r="158" spans="1:10" x14ac:dyDescent="0.15">
      <c r="A158" s="1">
        <v>17</v>
      </c>
      <c r="B158" s="677" t="s">
        <v>3324</v>
      </c>
      <c r="C158" s="4" t="s">
        <v>4295</v>
      </c>
      <c r="D158" s="4" t="s">
        <v>4296</v>
      </c>
      <c r="E158" s="665" t="s">
        <v>4297</v>
      </c>
      <c r="F158" s="1">
        <v>17</v>
      </c>
      <c r="G158" s="1">
        <v>0</v>
      </c>
      <c r="H158" s="4" t="s">
        <v>4298</v>
      </c>
      <c r="I158" s="4" t="s">
        <v>4339</v>
      </c>
    </row>
    <row r="159" spans="1:10" x14ac:dyDescent="0.15">
      <c r="A159" s="1">
        <v>26</v>
      </c>
      <c r="B159" s="677" t="s">
        <v>5</v>
      </c>
      <c r="C159" s="4" t="s">
        <v>4295</v>
      </c>
      <c r="D159" s="4" t="s">
        <v>4296</v>
      </c>
      <c r="E159" s="665" t="s">
        <v>4297</v>
      </c>
      <c r="F159" s="1">
        <v>17</v>
      </c>
      <c r="G159" s="1">
        <v>0</v>
      </c>
      <c r="H159" s="4" t="s">
        <v>4298</v>
      </c>
      <c r="I159" s="4" t="s">
        <v>4339</v>
      </c>
    </row>
    <row r="160" spans="1:10" x14ac:dyDescent="0.15">
      <c r="A160" s="1">
        <v>27</v>
      </c>
      <c r="B160" s="677" t="s">
        <v>1538</v>
      </c>
      <c r="C160" s="4" t="s">
        <v>4295</v>
      </c>
      <c r="D160" s="4" t="s">
        <v>4296</v>
      </c>
      <c r="E160" s="665" t="s">
        <v>4297</v>
      </c>
      <c r="F160" s="1">
        <v>10</v>
      </c>
      <c r="G160" s="1">
        <v>0</v>
      </c>
      <c r="H160" s="4" t="s">
        <v>4298</v>
      </c>
    </row>
    <row r="161" spans="1:10" x14ac:dyDescent="0.15">
      <c r="A161" s="1">
        <v>28</v>
      </c>
      <c r="B161" s="677" t="s">
        <v>3313</v>
      </c>
      <c r="C161" s="4" t="s">
        <v>4295</v>
      </c>
      <c r="D161" s="4" t="s">
        <v>4296</v>
      </c>
      <c r="E161" s="665" t="s">
        <v>4297</v>
      </c>
      <c r="F161" s="1">
        <v>10</v>
      </c>
      <c r="G161" s="1">
        <v>0</v>
      </c>
      <c r="H161" s="4" t="s">
        <v>4298</v>
      </c>
    </row>
    <row r="162" spans="1:10" x14ac:dyDescent="0.15">
      <c r="A162" s="1">
        <v>91</v>
      </c>
      <c r="B162" s="677" t="s">
        <v>2700</v>
      </c>
      <c r="C162" s="4" t="s">
        <v>4295</v>
      </c>
      <c r="D162" s="4" t="s">
        <v>4296</v>
      </c>
      <c r="E162" s="665" t="s">
        <v>4297</v>
      </c>
      <c r="F162" s="1">
        <v>20</v>
      </c>
      <c r="G162" s="1">
        <v>2</v>
      </c>
      <c r="H162" s="4" t="s">
        <v>4334</v>
      </c>
    </row>
    <row r="163" spans="1:10" x14ac:dyDescent="0.15">
      <c r="A163" s="1">
        <v>218</v>
      </c>
      <c r="B163" s="677" t="s">
        <v>3352</v>
      </c>
      <c r="C163" s="4" t="s">
        <v>4295</v>
      </c>
      <c r="D163" s="4" t="s">
        <v>4296</v>
      </c>
      <c r="E163" s="665" t="s">
        <v>4297</v>
      </c>
      <c r="F163" s="1">
        <v>10</v>
      </c>
      <c r="G163" s="1">
        <v>0</v>
      </c>
      <c r="H163" s="4" t="s">
        <v>4298</v>
      </c>
    </row>
    <row r="164" spans="1:10" x14ac:dyDescent="0.15">
      <c r="A164" s="1">
        <v>219</v>
      </c>
      <c r="B164" s="677" t="s">
        <v>433</v>
      </c>
      <c r="C164" s="4" t="s">
        <v>4295</v>
      </c>
      <c r="D164" s="4" t="s">
        <v>4296</v>
      </c>
      <c r="E164" s="665" t="s">
        <v>4297</v>
      </c>
      <c r="F164" s="1">
        <v>9</v>
      </c>
      <c r="G164" s="1">
        <v>0</v>
      </c>
      <c r="H164" s="4" t="s">
        <v>4298</v>
      </c>
      <c r="I164" s="1" t="s">
        <v>4318</v>
      </c>
    </row>
    <row r="165" spans="1:10" x14ac:dyDescent="0.15">
      <c r="A165" s="1">
        <v>11</v>
      </c>
      <c r="B165" s="677" t="s">
        <v>2882</v>
      </c>
      <c r="C165" s="4" t="s">
        <v>4295</v>
      </c>
      <c r="D165" s="4" t="s">
        <v>4296</v>
      </c>
      <c r="E165" s="665" t="s">
        <v>4297</v>
      </c>
      <c r="F165" s="1">
        <v>34</v>
      </c>
      <c r="G165" s="1">
        <v>0</v>
      </c>
      <c r="H165" s="4" t="s">
        <v>4298</v>
      </c>
      <c r="I165" s="2" t="s">
        <v>4329</v>
      </c>
    </row>
    <row r="166" spans="1:10" x14ac:dyDescent="0.15">
      <c r="A166" s="1">
        <v>12</v>
      </c>
      <c r="B166" s="677" t="s">
        <v>4311</v>
      </c>
      <c r="C166" s="4" t="s">
        <v>4295</v>
      </c>
      <c r="D166" s="4" t="s">
        <v>4296</v>
      </c>
      <c r="E166" s="665" t="s">
        <v>4297</v>
      </c>
      <c r="F166" s="1">
        <v>9</v>
      </c>
      <c r="G166" s="1">
        <v>0</v>
      </c>
      <c r="H166" s="4" t="s">
        <v>4298</v>
      </c>
      <c r="I166" s="663" t="s">
        <v>4331</v>
      </c>
    </row>
    <row r="167" spans="1:10" x14ac:dyDescent="0.15">
      <c r="A167" s="1">
        <v>13</v>
      </c>
      <c r="B167" s="677" t="s">
        <v>3463</v>
      </c>
      <c r="C167" s="4" t="s">
        <v>4295</v>
      </c>
      <c r="D167" s="4" t="s">
        <v>4296</v>
      </c>
      <c r="E167" s="665" t="s">
        <v>4297</v>
      </c>
      <c r="F167" s="1">
        <v>10</v>
      </c>
      <c r="G167" s="1">
        <v>0</v>
      </c>
      <c r="H167" s="4" t="s">
        <v>4298</v>
      </c>
    </row>
    <row r="168" spans="1:10" x14ac:dyDescent="0.15">
      <c r="A168" s="1">
        <v>14</v>
      </c>
      <c r="B168" s="677" t="s">
        <v>1484</v>
      </c>
      <c r="C168" s="4" t="s">
        <v>4295</v>
      </c>
      <c r="D168" s="4" t="s">
        <v>4296</v>
      </c>
      <c r="E168" s="665" t="s">
        <v>4297</v>
      </c>
      <c r="F168" s="1">
        <v>9</v>
      </c>
      <c r="G168" s="1">
        <v>0</v>
      </c>
      <c r="H168" s="4" t="s">
        <v>4298</v>
      </c>
      <c r="I168" s="4" t="s">
        <v>4331</v>
      </c>
    </row>
    <row r="169" spans="1:10" x14ac:dyDescent="0.15">
      <c r="A169" s="1">
        <v>18</v>
      </c>
      <c r="B169" s="677" t="s">
        <v>1475</v>
      </c>
      <c r="C169" s="4" t="s">
        <v>4295</v>
      </c>
      <c r="D169" s="4" t="s">
        <v>4296</v>
      </c>
      <c r="E169" s="665" t="s">
        <v>4297</v>
      </c>
      <c r="F169" s="1">
        <v>9</v>
      </c>
      <c r="G169" s="1">
        <v>0</v>
      </c>
      <c r="H169" s="4" t="s">
        <v>4298</v>
      </c>
      <c r="I169" s="4" t="s">
        <v>4331</v>
      </c>
    </row>
    <row r="170" spans="1:10" x14ac:dyDescent="0.15">
      <c r="A170" s="1">
        <v>19</v>
      </c>
      <c r="B170" s="677" t="s">
        <v>4428</v>
      </c>
      <c r="C170" s="4" t="s">
        <v>4295</v>
      </c>
      <c r="D170" s="4" t="s">
        <v>4296</v>
      </c>
      <c r="E170" s="665" t="s">
        <v>4297</v>
      </c>
      <c r="F170" s="1">
        <v>9</v>
      </c>
      <c r="G170" s="1">
        <v>0</v>
      </c>
      <c r="H170" s="4" t="s">
        <v>4298</v>
      </c>
      <c r="I170" s="4" t="s">
        <v>4331</v>
      </c>
    </row>
    <row r="171" spans="1:10" x14ac:dyDescent="0.15">
      <c r="A171" s="1">
        <v>20</v>
      </c>
      <c r="B171" s="677" t="s">
        <v>3294</v>
      </c>
      <c r="C171" s="4" t="s">
        <v>4295</v>
      </c>
      <c r="D171" s="4" t="s">
        <v>4296</v>
      </c>
      <c r="E171" s="665" t="s">
        <v>4297</v>
      </c>
      <c r="F171" s="1">
        <v>9</v>
      </c>
      <c r="G171" s="1">
        <v>1</v>
      </c>
      <c r="H171" s="4" t="s">
        <v>4304</v>
      </c>
      <c r="I171" s="4" t="s">
        <v>4331</v>
      </c>
    </row>
    <row r="172" spans="1:10" x14ac:dyDescent="0.15">
      <c r="A172" s="1">
        <v>21</v>
      </c>
      <c r="B172" s="677" t="s">
        <v>4515</v>
      </c>
      <c r="C172" s="4" t="s">
        <v>4295</v>
      </c>
      <c r="D172" s="4" t="s">
        <v>4296</v>
      </c>
      <c r="E172" s="665" t="s">
        <v>4297</v>
      </c>
      <c r="F172" s="1">
        <v>9</v>
      </c>
      <c r="G172" s="1">
        <v>0</v>
      </c>
      <c r="H172" s="4" t="s">
        <v>4298</v>
      </c>
      <c r="I172" s="4" t="s">
        <v>4331</v>
      </c>
    </row>
    <row r="173" spans="1:10" x14ac:dyDescent="0.15">
      <c r="A173" s="1">
        <v>22</v>
      </c>
      <c r="B173" s="677" t="s">
        <v>3475</v>
      </c>
      <c r="C173" s="4" t="s">
        <v>4295</v>
      </c>
      <c r="D173" s="4" t="s">
        <v>4296</v>
      </c>
      <c r="E173" s="665" t="s">
        <v>4297</v>
      </c>
      <c r="F173" s="1">
        <v>17</v>
      </c>
      <c r="G173" s="1">
        <v>0</v>
      </c>
      <c r="H173" s="4" t="s">
        <v>4298</v>
      </c>
      <c r="I173" s="4" t="s">
        <v>4339</v>
      </c>
    </row>
    <row r="174" spans="1:10" x14ac:dyDescent="0.15">
      <c r="A174" s="1">
        <v>30</v>
      </c>
      <c r="B174" s="677" t="s">
        <v>4582</v>
      </c>
      <c r="C174" s="4" t="s">
        <v>4295</v>
      </c>
      <c r="D174" s="4" t="s">
        <v>4296</v>
      </c>
      <c r="E174" s="665" t="s">
        <v>4297</v>
      </c>
      <c r="F174" s="1">
        <v>20</v>
      </c>
      <c r="G174" s="1">
        <v>4</v>
      </c>
      <c r="H174" s="4" t="s">
        <v>4358</v>
      </c>
      <c r="I174" s="4" t="s">
        <v>4359</v>
      </c>
    </row>
    <row r="175" spans="1:10" x14ac:dyDescent="0.15">
      <c r="A175" s="1">
        <v>56</v>
      </c>
      <c r="B175" s="677" t="s">
        <v>1482</v>
      </c>
      <c r="C175" s="4" t="s">
        <v>4295</v>
      </c>
      <c r="D175" s="4" t="s">
        <v>4296</v>
      </c>
      <c r="E175" s="665" t="s">
        <v>4297</v>
      </c>
      <c r="F175" s="1">
        <v>5</v>
      </c>
      <c r="G175" s="1">
        <v>1</v>
      </c>
      <c r="H175" s="4" t="s">
        <v>4304</v>
      </c>
      <c r="J175" s="4" t="s">
        <v>4385</v>
      </c>
    </row>
    <row r="176" spans="1:10" x14ac:dyDescent="0.15">
      <c r="A176" s="1">
        <v>70</v>
      </c>
      <c r="B176" s="677" t="s">
        <v>3410</v>
      </c>
      <c r="C176" s="4" t="s">
        <v>4295</v>
      </c>
      <c r="D176" s="4" t="s">
        <v>4296</v>
      </c>
      <c r="E176" s="665" t="s">
        <v>4297</v>
      </c>
      <c r="F176" s="1">
        <v>10</v>
      </c>
      <c r="G176" s="1">
        <v>0</v>
      </c>
      <c r="H176" s="4" t="s">
        <v>4298</v>
      </c>
      <c r="I176" s="4" t="s">
        <v>4393</v>
      </c>
      <c r="J176" s="1" t="s">
        <v>4394</v>
      </c>
    </row>
    <row r="177" spans="1:10" x14ac:dyDescent="0.15">
      <c r="A177" s="1">
        <v>71</v>
      </c>
      <c r="B177" s="677" t="s">
        <v>3401</v>
      </c>
      <c r="C177" s="4" t="s">
        <v>4295</v>
      </c>
      <c r="D177" s="4" t="s">
        <v>4296</v>
      </c>
      <c r="E177" s="665" t="s">
        <v>4297</v>
      </c>
      <c r="F177" s="1">
        <v>10</v>
      </c>
      <c r="G177" s="1">
        <v>0</v>
      </c>
      <c r="H177" s="4" t="s">
        <v>4298</v>
      </c>
      <c r="J177" s="4" t="s">
        <v>4396</v>
      </c>
    </row>
    <row r="178" spans="1:10" x14ac:dyDescent="0.15">
      <c r="A178" s="1">
        <v>101</v>
      </c>
      <c r="B178" s="677" t="s">
        <v>1468</v>
      </c>
      <c r="C178" s="4" t="s">
        <v>4295</v>
      </c>
      <c r="D178" s="4" t="s">
        <v>4296</v>
      </c>
      <c r="E178" s="665" t="s">
        <v>4297</v>
      </c>
      <c r="F178" s="1">
        <v>10</v>
      </c>
      <c r="G178" s="1">
        <v>0</v>
      </c>
      <c r="H178" s="4" t="s">
        <v>4298</v>
      </c>
      <c r="J178" s="4" t="s">
        <v>4435</v>
      </c>
    </row>
    <row r="179" spans="1:10" x14ac:dyDescent="0.15">
      <c r="A179" s="1">
        <v>133</v>
      </c>
      <c r="B179" s="677" t="s">
        <v>3420</v>
      </c>
      <c r="C179" s="4" t="s">
        <v>4295</v>
      </c>
      <c r="D179" s="4" t="s">
        <v>4296</v>
      </c>
      <c r="E179" s="665" t="s">
        <v>4297</v>
      </c>
      <c r="F179" s="1">
        <v>10</v>
      </c>
      <c r="G179" s="1">
        <v>1</v>
      </c>
      <c r="H179" s="4" t="s">
        <v>4304</v>
      </c>
    </row>
    <row r="180" spans="1:10" x14ac:dyDescent="0.15">
      <c r="A180" s="1">
        <v>134</v>
      </c>
      <c r="B180" s="677" t="s">
        <v>3460</v>
      </c>
      <c r="C180" s="4" t="s">
        <v>4295</v>
      </c>
      <c r="D180" s="4" t="s">
        <v>4296</v>
      </c>
      <c r="E180" s="665" t="s">
        <v>4297</v>
      </c>
      <c r="F180" s="1">
        <v>10</v>
      </c>
      <c r="G180" s="1">
        <v>1</v>
      </c>
      <c r="H180" s="4" t="s">
        <v>4304</v>
      </c>
    </row>
    <row r="181" spans="1:10" x14ac:dyDescent="0.15">
      <c r="A181" s="1">
        <v>145</v>
      </c>
      <c r="B181" s="677" t="s">
        <v>2587</v>
      </c>
      <c r="C181" s="4" t="s">
        <v>4295</v>
      </c>
      <c r="D181" s="4" t="s">
        <v>4296</v>
      </c>
      <c r="E181" s="665" t="s">
        <v>4297</v>
      </c>
      <c r="F181" s="1">
        <v>10</v>
      </c>
      <c r="G181" s="1">
        <v>0</v>
      </c>
      <c r="H181" s="4" t="s">
        <v>4298</v>
      </c>
      <c r="I181" s="4" t="s">
        <v>4508</v>
      </c>
    </row>
    <row r="182" spans="1:10" x14ac:dyDescent="0.15">
      <c r="A182" s="1">
        <v>152</v>
      </c>
      <c r="B182" s="677" t="s">
        <v>2619</v>
      </c>
      <c r="C182" s="4" t="s">
        <v>4295</v>
      </c>
      <c r="D182" s="4" t="s">
        <v>4296</v>
      </c>
      <c r="E182" s="665" t="s">
        <v>4297</v>
      </c>
      <c r="F182" s="1">
        <v>10</v>
      </c>
      <c r="G182" s="1">
        <v>1</v>
      </c>
      <c r="H182" s="4" t="s">
        <v>4304</v>
      </c>
      <c r="I182" s="4" t="s">
        <v>4518</v>
      </c>
    </row>
    <row r="183" spans="1:10" x14ac:dyDescent="0.15">
      <c r="A183" s="1">
        <v>153</v>
      </c>
      <c r="B183" s="677" t="s">
        <v>2562</v>
      </c>
      <c r="C183" s="4" t="s">
        <v>4295</v>
      </c>
      <c r="D183" s="4" t="s">
        <v>4296</v>
      </c>
      <c r="E183" s="665" t="s">
        <v>4297</v>
      </c>
      <c r="F183" s="1">
        <v>10</v>
      </c>
      <c r="G183" s="1">
        <v>1</v>
      </c>
      <c r="H183" s="4" t="s">
        <v>4304</v>
      </c>
      <c r="I183" s="4" t="s">
        <v>4520</v>
      </c>
    </row>
    <row r="184" spans="1:10" x14ac:dyDescent="0.15">
      <c r="A184" s="1">
        <v>267</v>
      </c>
      <c r="B184" s="677" t="s">
        <v>2664</v>
      </c>
      <c r="C184" s="4" t="s">
        <v>4295</v>
      </c>
      <c r="D184" s="4" t="s">
        <v>4296</v>
      </c>
      <c r="E184" s="665" t="s">
        <v>4297</v>
      </c>
      <c r="F184" s="1">
        <v>5</v>
      </c>
      <c r="G184" s="1">
        <v>1</v>
      </c>
      <c r="H184" s="4" t="s">
        <v>4304</v>
      </c>
    </row>
    <row r="185" spans="1:10" x14ac:dyDescent="0.15">
      <c r="A185" s="1">
        <v>44</v>
      </c>
      <c r="B185" s="677" t="s">
        <v>2543</v>
      </c>
      <c r="C185" s="4" t="s">
        <v>4378</v>
      </c>
      <c r="D185" s="4" t="s">
        <v>4296</v>
      </c>
      <c r="E185" s="665" t="s">
        <v>4297</v>
      </c>
      <c r="F185" s="1">
        <v>5</v>
      </c>
      <c r="G185" s="1">
        <v>1</v>
      </c>
      <c r="H185" s="4" t="s">
        <v>4304</v>
      </c>
      <c r="I185" s="4" t="s">
        <v>4060</v>
      </c>
    </row>
    <row r="186" spans="1:10" x14ac:dyDescent="0.15">
      <c r="A186" s="1">
        <v>45</v>
      </c>
      <c r="B186" s="677" t="s">
        <v>3578</v>
      </c>
      <c r="C186" s="4" t="s">
        <v>4378</v>
      </c>
      <c r="D186" s="4" t="s">
        <v>4296</v>
      </c>
      <c r="E186" s="665" t="s">
        <v>4297</v>
      </c>
      <c r="F186" s="1">
        <v>10</v>
      </c>
      <c r="G186" s="1">
        <v>0</v>
      </c>
      <c r="H186" s="4" t="s">
        <v>4298</v>
      </c>
      <c r="I186" s="4" t="s">
        <v>4060</v>
      </c>
    </row>
    <row r="187" spans="1:10" x14ac:dyDescent="0.15">
      <c r="A187" s="1">
        <v>46</v>
      </c>
      <c r="B187" s="677" t="s">
        <v>3580</v>
      </c>
      <c r="C187" s="4" t="s">
        <v>4378</v>
      </c>
      <c r="D187" s="4" t="s">
        <v>4296</v>
      </c>
      <c r="E187" s="665" t="s">
        <v>4297</v>
      </c>
      <c r="F187" s="1">
        <v>10</v>
      </c>
      <c r="G187" s="1">
        <v>1</v>
      </c>
      <c r="H187" s="4" t="s">
        <v>4304</v>
      </c>
      <c r="I187" s="4" t="s">
        <v>4060</v>
      </c>
    </row>
    <row r="188" spans="1:10" x14ac:dyDescent="0.15">
      <c r="A188" s="1">
        <v>121</v>
      </c>
      <c r="B188" s="677" t="s">
        <v>2593</v>
      </c>
      <c r="C188" s="4" t="s">
        <v>3231</v>
      </c>
      <c r="D188" s="4" t="s">
        <v>4306</v>
      </c>
      <c r="E188" s="665" t="s">
        <v>4297</v>
      </c>
      <c r="F188" s="1">
        <v>5</v>
      </c>
      <c r="G188" s="1">
        <v>1</v>
      </c>
      <c r="H188" s="4" t="s">
        <v>4304</v>
      </c>
    </row>
    <row r="189" spans="1:10" x14ac:dyDescent="0.15">
      <c r="A189" s="1">
        <v>144</v>
      </c>
      <c r="B189" s="677" t="s">
        <v>3542</v>
      </c>
      <c r="C189" s="4" t="s">
        <v>3231</v>
      </c>
      <c r="D189" s="4" t="s">
        <v>4306</v>
      </c>
      <c r="E189" s="665" t="s">
        <v>4297</v>
      </c>
      <c r="F189" s="1">
        <v>10</v>
      </c>
      <c r="G189" s="1">
        <v>0</v>
      </c>
      <c r="H189" s="4" t="s">
        <v>4298</v>
      </c>
    </row>
    <row r="190" spans="1:10" x14ac:dyDescent="0.15">
      <c r="A190" s="1">
        <v>145</v>
      </c>
      <c r="B190" s="677" t="s">
        <v>3382</v>
      </c>
      <c r="C190" s="4" t="s">
        <v>3231</v>
      </c>
      <c r="D190" s="4" t="s">
        <v>4306</v>
      </c>
      <c r="E190" s="665" t="s">
        <v>4297</v>
      </c>
      <c r="F190" s="1">
        <v>10</v>
      </c>
      <c r="G190" s="1">
        <v>1</v>
      </c>
      <c r="H190" s="4" t="s">
        <v>4304</v>
      </c>
    </row>
    <row r="191" spans="1:10" x14ac:dyDescent="0.15">
      <c r="A191" s="1">
        <v>185</v>
      </c>
      <c r="B191" s="677" t="s">
        <v>2494</v>
      </c>
      <c r="C191" s="4" t="s">
        <v>3231</v>
      </c>
      <c r="D191" s="4" t="s">
        <v>4306</v>
      </c>
      <c r="E191" s="665" t="s">
        <v>4297</v>
      </c>
      <c r="F191" s="1">
        <v>10</v>
      </c>
      <c r="G191" s="1">
        <v>1</v>
      </c>
      <c r="H191" s="4" t="s">
        <v>4304</v>
      </c>
    </row>
    <row r="192" spans="1:10" x14ac:dyDescent="0.15">
      <c r="A192" s="1">
        <v>244</v>
      </c>
      <c r="B192" s="677" t="s">
        <v>2905</v>
      </c>
      <c r="C192" s="4" t="s">
        <v>3231</v>
      </c>
      <c r="D192" s="4" t="s">
        <v>4306</v>
      </c>
      <c r="E192" s="665" t="s">
        <v>4297</v>
      </c>
      <c r="F192" s="1">
        <v>5</v>
      </c>
      <c r="G192" s="1">
        <v>1</v>
      </c>
      <c r="H192" s="4" t="s">
        <v>4304</v>
      </c>
    </row>
    <row r="193" spans="1:10" x14ac:dyDescent="0.15">
      <c r="A193" s="1">
        <v>24</v>
      </c>
      <c r="B193" s="677" t="s">
        <v>1923</v>
      </c>
      <c r="C193" s="4" t="s">
        <v>4346</v>
      </c>
      <c r="D193" s="4" t="s">
        <v>4347</v>
      </c>
      <c r="E193" s="665" t="s">
        <v>4297</v>
      </c>
      <c r="F193" s="1">
        <v>10</v>
      </c>
      <c r="G193" s="1">
        <v>0</v>
      </c>
      <c r="H193" s="4" t="s">
        <v>4298</v>
      </c>
    </row>
    <row r="194" spans="1:10" x14ac:dyDescent="0.15">
      <c r="A194" s="1">
        <v>26</v>
      </c>
      <c r="B194" s="677" t="s">
        <v>3296</v>
      </c>
      <c r="C194" s="4" t="s">
        <v>4346</v>
      </c>
      <c r="D194" s="4" t="s">
        <v>4347</v>
      </c>
      <c r="E194" s="665" t="s">
        <v>4297</v>
      </c>
      <c r="F194" s="1">
        <v>10</v>
      </c>
      <c r="G194" s="1">
        <v>1</v>
      </c>
      <c r="H194" s="4" t="s">
        <v>4304</v>
      </c>
    </row>
    <row r="195" spans="1:10" x14ac:dyDescent="0.15">
      <c r="A195" s="1">
        <v>49</v>
      </c>
      <c r="B195" s="677" t="s">
        <v>2871</v>
      </c>
      <c r="C195" s="4" t="s">
        <v>4346</v>
      </c>
      <c r="D195" s="4" t="s">
        <v>4347</v>
      </c>
      <c r="E195" s="665" t="s">
        <v>4297</v>
      </c>
      <c r="F195" s="1">
        <v>10</v>
      </c>
      <c r="G195" s="1">
        <v>1</v>
      </c>
      <c r="H195" s="4" t="s">
        <v>4304</v>
      </c>
    </row>
    <row r="196" spans="1:10" x14ac:dyDescent="0.15">
      <c r="A196" s="1">
        <v>51</v>
      </c>
      <c r="B196" s="677" t="s">
        <v>3266</v>
      </c>
      <c r="C196" s="4" t="s">
        <v>4346</v>
      </c>
      <c r="D196" s="4" t="s">
        <v>4347</v>
      </c>
      <c r="E196" s="665" t="s">
        <v>4297</v>
      </c>
      <c r="F196" s="1">
        <v>10</v>
      </c>
      <c r="G196" s="1">
        <v>1</v>
      </c>
      <c r="H196" s="4" t="s">
        <v>4304</v>
      </c>
    </row>
    <row r="197" spans="1:10" x14ac:dyDescent="0.15">
      <c r="A197" s="1">
        <v>52</v>
      </c>
      <c r="B197" s="677" t="s">
        <v>1302</v>
      </c>
      <c r="C197" s="4" t="s">
        <v>4346</v>
      </c>
      <c r="D197" s="4" t="s">
        <v>4347</v>
      </c>
      <c r="E197" s="665" t="s">
        <v>4297</v>
      </c>
      <c r="F197" s="1">
        <v>10</v>
      </c>
      <c r="G197" s="1">
        <v>1</v>
      </c>
      <c r="H197" s="4" t="s">
        <v>4304</v>
      </c>
    </row>
    <row r="198" spans="1:10" x14ac:dyDescent="0.15">
      <c r="A198" s="1">
        <v>53</v>
      </c>
      <c r="B198" s="677" t="s">
        <v>667</v>
      </c>
      <c r="C198" s="4" t="s">
        <v>4346</v>
      </c>
      <c r="D198" s="4" t="s">
        <v>4347</v>
      </c>
      <c r="E198" s="665" t="s">
        <v>4297</v>
      </c>
      <c r="F198" s="1">
        <v>10</v>
      </c>
      <c r="G198" s="1">
        <v>0</v>
      </c>
      <c r="H198" s="4" t="s">
        <v>4298</v>
      </c>
    </row>
    <row r="199" spans="1:10" x14ac:dyDescent="0.15">
      <c r="A199" s="1">
        <v>69</v>
      </c>
      <c r="B199" s="677" t="s">
        <v>3353</v>
      </c>
      <c r="C199" s="4" t="s">
        <v>4346</v>
      </c>
      <c r="D199" s="4" t="s">
        <v>4296</v>
      </c>
      <c r="E199" s="665" t="s">
        <v>4297</v>
      </c>
      <c r="F199" s="1">
        <v>20</v>
      </c>
      <c r="G199" s="1">
        <v>2</v>
      </c>
      <c r="H199" s="4" t="s">
        <v>4334</v>
      </c>
      <c r="J199" s="4" t="s">
        <v>4391</v>
      </c>
    </row>
    <row r="200" spans="1:10" x14ac:dyDescent="0.15">
      <c r="A200" s="1">
        <v>117</v>
      </c>
      <c r="B200" s="677" t="s">
        <v>2112</v>
      </c>
      <c r="C200" s="4" t="s">
        <v>4346</v>
      </c>
      <c r="D200" s="1" t="s">
        <v>4463</v>
      </c>
      <c r="E200" s="665" t="s">
        <v>4297</v>
      </c>
      <c r="F200" s="1">
        <v>10</v>
      </c>
      <c r="G200" s="1">
        <v>1</v>
      </c>
      <c r="H200" s="4" t="s">
        <v>4304</v>
      </c>
    </row>
    <row r="201" spans="1:10" x14ac:dyDescent="0.15">
      <c r="A201" s="1">
        <v>120</v>
      </c>
      <c r="B201" s="677" t="s">
        <v>2364</v>
      </c>
      <c r="C201" s="4" t="s">
        <v>4346</v>
      </c>
      <c r="D201" s="4" t="s">
        <v>4347</v>
      </c>
      <c r="E201" s="665" t="s">
        <v>4297</v>
      </c>
      <c r="F201" s="1">
        <v>5</v>
      </c>
      <c r="G201" s="1">
        <v>1</v>
      </c>
      <c r="H201" s="4" t="s">
        <v>4304</v>
      </c>
    </row>
    <row r="202" spans="1:10" x14ac:dyDescent="0.15">
      <c r="A202" s="1">
        <v>53</v>
      </c>
      <c r="B202" s="677" t="s">
        <v>4322</v>
      </c>
      <c r="C202" s="4" t="s">
        <v>4383</v>
      </c>
      <c r="D202" s="4" t="s">
        <v>3227</v>
      </c>
      <c r="E202" s="665" t="s">
        <v>4297</v>
      </c>
      <c r="F202" s="1">
        <v>10</v>
      </c>
      <c r="G202" s="1">
        <v>1</v>
      </c>
      <c r="H202" s="4" t="s">
        <v>4304</v>
      </c>
    </row>
    <row r="203" spans="1:10" x14ac:dyDescent="0.15">
      <c r="A203" s="1">
        <v>77</v>
      </c>
      <c r="B203" s="677" t="s">
        <v>2393</v>
      </c>
      <c r="C203" s="4" t="s">
        <v>4383</v>
      </c>
      <c r="D203" s="4" t="s">
        <v>3227</v>
      </c>
      <c r="E203" s="665" t="s">
        <v>4297</v>
      </c>
      <c r="F203" s="1">
        <v>10</v>
      </c>
      <c r="G203" s="1">
        <v>2</v>
      </c>
      <c r="H203" s="4" t="s">
        <v>4334</v>
      </c>
    </row>
    <row r="204" spans="1:10" x14ac:dyDescent="0.15">
      <c r="A204" s="1">
        <v>85</v>
      </c>
      <c r="B204" s="677" t="s">
        <v>2893</v>
      </c>
      <c r="C204" s="4" t="s">
        <v>4383</v>
      </c>
      <c r="D204" s="4" t="s">
        <v>3227</v>
      </c>
      <c r="E204" s="665" t="s">
        <v>4297</v>
      </c>
      <c r="F204" s="1">
        <v>10</v>
      </c>
      <c r="G204" s="1">
        <v>1</v>
      </c>
      <c r="H204" s="4" t="s">
        <v>4304</v>
      </c>
    </row>
    <row r="205" spans="1:10" x14ac:dyDescent="0.15">
      <c r="A205" s="1">
        <v>86</v>
      </c>
      <c r="B205" s="677" t="s">
        <v>3365</v>
      </c>
      <c r="C205" s="4" t="s">
        <v>4383</v>
      </c>
      <c r="D205" s="4" t="s">
        <v>3227</v>
      </c>
      <c r="E205" s="665" t="s">
        <v>4297</v>
      </c>
      <c r="F205" s="1">
        <v>10</v>
      </c>
      <c r="G205" s="1">
        <v>1</v>
      </c>
      <c r="H205" s="4" t="s">
        <v>4304</v>
      </c>
    </row>
    <row r="206" spans="1:10" x14ac:dyDescent="0.15">
      <c r="A206" s="1">
        <v>95</v>
      </c>
      <c r="B206" s="677" t="s">
        <v>2065</v>
      </c>
      <c r="C206" s="4" t="s">
        <v>4383</v>
      </c>
      <c r="D206" s="4" t="s">
        <v>3227</v>
      </c>
      <c r="E206" s="665" t="s">
        <v>4297</v>
      </c>
      <c r="F206" s="1">
        <v>10</v>
      </c>
      <c r="G206" s="1">
        <v>1</v>
      </c>
      <c r="H206" s="4" t="s">
        <v>4304</v>
      </c>
    </row>
    <row r="207" spans="1:10" x14ac:dyDescent="0.15">
      <c r="A207" s="1">
        <v>116</v>
      </c>
      <c r="B207" s="677" t="s">
        <v>2976</v>
      </c>
      <c r="C207" s="4" t="s">
        <v>4383</v>
      </c>
      <c r="D207" s="4" t="s">
        <v>3227</v>
      </c>
      <c r="E207" s="665" t="s">
        <v>4297</v>
      </c>
      <c r="F207" s="1">
        <v>10</v>
      </c>
      <c r="G207" s="1">
        <v>2</v>
      </c>
      <c r="H207" s="4" t="s">
        <v>4334</v>
      </c>
    </row>
    <row r="208" spans="1:10" x14ac:dyDescent="0.15">
      <c r="A208" s="1">
        <v>179</v>
      </c>
      <c r="B208" s="677" t="s">
        <v>2253</v>
      </c>
      <c r="C208" s="4" t="s">
        <v>4383</v>
      </c>
      <c r="D208" s="4" t="s">
        <v>3227</v>
      </c>
      <c r="E208" s="665" t="s">
        <v>4297</v>
      </c>
      <c r="F208" s="1">
        <v>10</v>
      </c>
      <c r="G208" s="1">
        <v>1</v>
      </c>
      <c r="H208" s="4" t="s">
        <v>4304</v>
      </c>
    </row>
    <row r="209" spans="1:9" x14ac:dyDescent="0.15">
      <c r="A209" s="1">
        <v>250</v>
      </c>
      <c r="B209" s="677" t="s">
        <v>2189</v>
      </c>
      <c r="C209" s="4" t="s">
        <v>4633</v>
      </c>
      <c r="E209" s="665" t="s">
        <v>4297</v>
      </c>
      <c r="F209" s="1">
        <v>5</v>
      </c>
      <c r="G209" s="1">
        <v>1</v>
      </c>
    </row>
    <row r="210" spans="1:9" x14ac:dyDescent="0.15">
      <c r="A210" s="1">
        <v>9</v>
      </c>
      <c r="B210" s="677" t="s">
        <v>2263</v>
      </c>
      <c r="C210" s="4" t="s">
        <v>4320</v>
      </c>
      <c r="D210" s="4" t="s">
        <v>4303</v>
      </c>
      <c r="E210" s="665" t="s">
        <v>4297</v>
      </c>
      <c r="F210" s="1">
        <v>10</v>
      </c>
      <c r="G210" s="1">
        <v>1</v>
      </c>
      <c r="H210" s="4" t="s">
        <v>4304</v>
      </c>
      <c r="I210" s="4" t="s">
        <v>4321</v>
      </c>
    </row>
    <row r="211" spans="1:9" x14ac:dyDescent="0.15">
      <c r="A211" s="1">
        <v>15</v>
      </c>
      <c r="B211" s="677" t="s">
        <v>2221</v>
      </c>
      <c r="C211" s="4" t="s">
        <v>4320</v>
      </c>
      <c r="D211" s="4" t="s">
        <v>4303</v>
      </c>
      <c r="E211" s="665" t="s">
        <v>4297</v>
      </c>
      <c r="F211" s="1">
        <v>10</v>
      </c>
      <c r="G211" s="1">
        <v>1</v>
      </c>
      <c r="H211" s="4" t="s">
        <v>4304</v>
      </c>
    </row>
    <row r="212" spans="1:9" x14ac:dyDescent="0.15">
      <c r="A212" s="1">
        <v>16</v>
      </c>
      <c r="B212" s="677" t="s">
        <v>4390</v>
      </c>
      <c r="C212" s="4" t="s">
        <v>4320</v>
      </c>
      <c r="D212" s="4" t="s">
        <v>4303</v>
      </c>
      <c r="E212" s="665" t="s">
        <v>4297</v>
      </c>
      <c r="F212" s="1">
        <v>10</v>
      </c>
      <c r="G212" s="1">
        <v>0</v>
      </c>
      <c r="H212" s="4" t="s">
        <v>4298</v>
      </c>
    </row>
    <row r="213" spans="1:9" x14ac:dyDescent="0.15">
      <c r="A213" s="1">
        <v>17</v>
      </c>
      <c r="B213" s="677" t="s">
        <v>2163</v>
      </c>
      <c r="C213" s="4" t="s">
        <v>4320</v>
      </c>
      <c r="D213" s="4" t="s">
        <v>4303</v>
      </c>
      <c r="E213" s="665" t="s">
        <v>4297</v>
      </c>
      <c r="F213" s="1">
        <v>20</v>
      </c>
      <c r="G213" s="1">
        <v>2</v>
      </c>
      <c r="H213" s="4" t="s">
        <v>4334</v>
      </c>
    </row>
    <row r="214" spans="1:9" x14ac:dyDescent="0.15">
      <c r="A214" s="1">
        <v>18</v>
      </c>
      <c r="B214" s="677" t="s">
        <v>2093</v>
      </c>
      <c r="C214" s="4" t="s">
        <v>4320</v>
      </c>
      <c r="D214" s="4" t="s">
        <v>4303</v>
      </c>
      <c r="E214" s="665" t="s">
        <v>4297</v>
      </c>
      <c r="F214" s="1">
        <v>10</v>
      </c>
      <c r="G214" s="1">
        <v>0</v>
      </c>
      <c r="H214" s="4" t="s">
        <v>4298</v>
      </c>
    </row>
    <row r="215" spans="1:9" x14ac:dyDescent="0.15">
      <c r="A215" s="1">
        <v>19</v>
      </c>
      <c r="B215" s="677" t="s">
        <v>2107</v>
      </c>
      <c r="C215" s="4" t="s">
        <v>4320</v>
      </c>
      <c r="D215" s="4" t="s">
        <v>4303</v>
      </c>
      <c r="E215" s="665" t="s">
        <v>4297</v>
      </c>
      <c r="F215" s="1">
        <v>10</v>
      </c>
      <c r="G215" s="1">
        <v>0</v>
      </c>
      <c r="H215" s="4" t="s">
        <v>4298</v>
      </c>
    </row>
    <row r="216" spans="1:9" x14ac:dyDescent="0.15">
      <c r="A216" s="1">
        <v>54</v>
      </c>
      <c r="B216" s="677" t="s">
        <v>2063</v>
      </c>
      <c r="C216" s="4" t="s">
        <v>4320</v>
      </c>
      <c r="D216" s="4" t="s">
        <v>4303</v>
      </c>
      <c r="E216" s="665" t="s">
        <v>4297</v>
      </c>
      <c r="F216" s="1">
        <v>10</v>
      </c>
      <c r="G216" s="1">
        <v>0</v>
      </c>
      <c r="H216" s="4" t="s">
        <v>4298</v>
      </c>
    </row>
    <row r="217" spans="1:9" x14ac:dyDescent="0.15">
      <c r="A217" s="1">
        <v>55</v>
      </c>
      <c r="B217" s="677" t="s">
        <v>2043</v>
      </c>
      <c r="C217" s="4" t="s">
        <v>4320</v>
      </c>
      <c r="D217" s="4" t="s">
        <v>4303</v>
      </c>
      <c r="E217" s="665" t="s">
        <v>4297</v>
      </c>
      <c r="F217" s="1">
        <v>10</v>
      </c>
      <c r="G217" s="1">
        <v>1</v>
      </c>
      <c r="H217" s="4" t="s">
        <v>4304</v>
      </c>
    </row>
    <row r="218" spans="1:9" x14ac:dyDescent="0.15">
      <c r="A218" s="1">
        <v>61</v>
      </c>
      <c r="B218" s="677" t="s">
        <v>2152</v>
      </c>
      <c r="C218" s="4" t="s">
        <v>4320</v>
      </c>
      <c r="D218" s="4" t="s">
        <v>4303</v>
      </c>
      <c r="E218" s="665" t="s">
        <v>4297</v>
      </c>
      <c r="F218" s="1">
        <v>10</v>
      </c>
      <c r="G218" s="1">
        <v>1</v>
      </c>
      <c r="H218" s="4" t="s">
        <v>4304</v>
      </c>
    </row>
    <row r="219" spans="1:9" x14ac:dyDescent="0.15">
      <c r="A219" s="1">
        <v>226</v>
      </c>
      <c r="B219" s="677" t="s">
        <v>2488</v>
      </c>
      <c r="C219" s="4" t="s">
        <v>4320</v>
      </c>
      <c r="D219" s="4" t="s">
        <v>4427</v>
      </c>
      <c r="E219" s="665" t="s">
        <v>4297</v>
      </c>
      <c r="F219" s="1">
        <v>10</v>
      </c>
      <c r="G219" s="1">
        <v>1</v>
      </c>
      <c r="H219" s="4" t="s">
        <v>4304</v>
      </c>
    </row>
    <row r="220" spans="1:9" x14ac:dyDescent="0.15">
      <c r="A220" s="1">
        <v>37</v>
      </c>
      <c r="B220" s="677" t="s">
        <v>2149</v>
      </c>
      <c r="C220" s="4" t="s">
        <v>4365</v>
      </c>
      <c r="D220" s="4" t="s">
        <v>4323</v>
      </c>
      <c r="E220" s="665" t="s">
        <v>4365</v>
      </c>
      <c r="F220" s="1">
        <v>5</v>
      </c>
      <c r="G220" s="1">
        <v>3</v>
      </c>
      <c r="H220" s="4" t="s">
        <v>4366</v>
      </c>
    </row>
    <row r="221" spans="1:9" x14ac:dyDescent="0.15">
      <c r="A221" s="1">
        <v>39</v>
      </c>
      <c r="B221" s="677" t="s">
        <v>2344</v>
      </c>
      <c r="C221" s="4" t="s">
        <v>4365</v>
      </c>
      <c r="D221" s="4" t="s">
        <v>4323</v>
      </c>
      <c r="E221" s="665" t="s">
        <v>4365</v>
      </c>
      <c r="F221" s="1">
        <v>5</v>
      </c>
      <c r="G221" s="1">
        <v>1</v>
      </c>
      <c r="H221" s="4" t="s">
        <v>4304</v>
      </c>
      <c r="I221" s="4" t="s">
        <v>4372</v>
      </c>
    </row>
    <row r="222" spans="1:9" x14ac:dyDescent="0.15">
      <c r="A222" s="1">
        <v>58</v>
      </c>
      <c r="B222" s="677" t="s">
        <v>2414</v>
      </c>
      <c r="C222" s="4" t="s">
        <v>4365</v>
      </c>
      <c r="D222" s="4" t="s">
        <v>745</v>
      </c>
      <c r="E222" s="665" t="s">
        <v>4365</v>
      </c>
      <c r="F222" s="1">
        <v>10</v>
      </c>
      <c r="G222" s="1">
        <v>1</v>
      </c>
      <c r="H222" s="4" t="s">
        <v>4388</v>
      </c>
      <c r="I222" s="4" t="s">
        <v>4372</v>
      </c>
    </row>
    <row r="223" spans="1:9" x14ac:dyDescent="0.15">
      <c r="A223" s="1">
        <v>73</v>
      </c>
      <c r="B223" s="677" t="s">
        <v>2342</v>
      </c>
      <c r="C223" s="4" t="s">
        <v>4365</v>
      </c>
      <c r="D223" s="4" t="s">
        <v>4323</v>
      </c>
      <c r="E223" s="665" t="s">
        <v>4365</v>
      </c>
      <c r="F223" s="1">
        <v>5</v>
      </c>
      <c r="G223" s="1">
        <v>1</v>
      </c>
      <c r="H223" s="4" t="s">
        <v>4304</v>
      </c>
    </row>
    <row r="224" spans="1:9" x14ac:dyDescent="0.15">
      <c r="A224" s="1">
        <v>74</v>
      </c>
      <c r="B224" s="677" t="s">
        <v>2146</v>
      </c>
      <c r="C224" s="4" t="s">
        <v>4365</v>
      </c>
      <c r="D224" s="4" t="s">
        <v>4323</v>
      </c>
      <c r="E224" s="665" t="s">
        <v>4365</v>
      </c>
      <c r="F224" s="1">
        <v>5</v>
      </c>
      <c r="G224" s="1">
        <v>0</v>
      </c>
      <c r="H224" s="4" t="s">
        <v>4298</v>
      </c>
    </row>
    <row r="225" spans="1:9" x14ac:dyDescent="0.15">
      <c r="A225" s="1">
        <v>75</v>
      </c>
      <c r="B225" s="677" t="s">
        <v>2023</v>
      </c>
      <c r="C225" s="4" t="s">
        <v>4365</v>
      </c>
      <c r="D225" s="4" t="s">
        <v>4323</v>
      </c>
      <c r="E225" s="665" t="s">
        <v>4365</v>
      </c>
      <c r="F225" s="1">
        <v>3</v>
      </c>
      <c r="G225" s="1">
        <v>0</v>
      </c>
      <c r="H225" s="4" t="s">
        <v>4298</v>
      </c>
    </row>
    <row r="226" spans="1:9" x14ac:dyDescent="0.15">
      <c r="A226" s="1">
        <v>76</v>
      </c>
      <c r="B226" s="677" t="s">
        <v>2351</v>
      </c>
      <c r="C226" s="4" t="s">
        <v>4365</v>
      </c>
      <c r="D226" s="4" t="s">
        <v>4323</v>
      </c>
      <c r="E226" s="665" t="s">
        <v>4365</v>
      </c>
      <c r="F226" s="1">
        <v>3</v>
      </c>
      <c r="G226" s="1">
        <v>0</v>
      </c>
      <c r="H226" s="4" t="s">
        <v>4298</v>
      </c>
    </row>
    <row r="227" spans="1:9" x14ac:dyDescent="0.15">
      <c r="A227" s="1">
        <v>77</v>
      </c>
      <c r="B227" s="677" t="s">
        <v>2267</v>
      </c>
      <c r="C227" s="4" t="s">
        <v>4365</v>
      </c>
      <c r="D227" s="4" t="s">
        <v>4323</v>
      </c>
      <c r="E227" s="665" t="s">
        <v>4365</v>
      </c>
      <c r="F227" s="1">
        <v>3</v>
      </c>
      <c r="G227" s="1">
        <v>0</v>
      </c>
      <c r="H227" s="4" t="s">
        <v>4298</v>
      </c>
    </row>
    <row r="228" spans="1:9" x14ac:dyDescent="0.15">
      <c r="A228" s="1">
        <v>88</v>
      </c>
      <c r="B228" s="677" t="s">
        <v>2460</v>
      </c>
      <c r="C228" s="4" t="s">
        <v>4365</v>
      </c>
      <c r="D228" s="4" t="s">
        <v>4411</v>
      </c>
      <c r="E228" s="665" t="s">
        <v>4365</v>
      </c>
      <c r="F228" s="1">
        <v>10</v>
      </c>
      <c r="G228" s="1">
        <v>2</v>
      </c>
      <c r="H228" s="4" t="s">
        <v>4334</v>
      </c>
    </row>
    <row r="229" spans="1:9" x14ac:dyDescent="0.15">
      <c r="A229" s="1">
        <v>88</v>
      </c>
      <c r="B229" s="677" t="s">
        <v>2347</v>
      </c>
      <c r="C229" s="4" t="s">
        <v>4365</v>
      </c>
      <c r="D229" s="4" t="s">
        <v>4323</v>
      </c>
      <c r="E229" s="665" t="s">
        <v>4365</v>
      </c>
      <c r="F229" s="1">
        <v>5</v>
      </c>
      <c r="G229" s="1">
        <v>1</v>
      </c>
      <c r="H229" s="4" t="s">
        <v>4304</v>
      </c>
    </row>
    <row r="230" spans="1:9" x14ac:dyDescent="0.15">
      <c r="A230" s="1">
        <v>90</v>
      </c>
      <c r="B230" s="677" t="s">
        <v>2298</v>
      </c>
      <c r="C230" s="4" t="s">
        <v>4365</v>
      </c>
      <c r="D230" s="4" t="s">
        <v>4417</v>
      </c>
      <c r="E230" s="665" t="s">
        <v>4365</v>
      </c>
      <c r="F230" s="1">
        <v>10</v>
      </c>
      <c r="G230" s="1">
        <v>1</v>
      </c>
      <c r="H230" s="4" t="s">
        <v>4304</v>
      </c>
      <c r="I230" s="4" t="s">
        <v>4418</v>
      </c>
    </row>
    <row r="231" spans="1:9" x14ac:dyDescent="0.15">
      <c r="A231" s="1">
        <v>91</v>
      </c>
      <c r="B231" s="677" t="s">
        <v>2472</v>
      </c>
      <c r="C231" s="4" t="s">
        <v>4365</v>
      </c>
      <c r="D231" s="4" t="s">
        <v>4411</v>
      </c>
      <c r="E231" s="665" t="s">
        <v>4365</v>
      </c>
      <c r="F231" s="1">
        <v>5</v>
      </c>
      <c r="G231" s="1">
        <v>1</v>
      </c>
      <c r="H231" s="4" t="s">
        <v>4304</v>
      </c>
    </row>
    <row r="232" spans="1:9" x14ac:dyDescent="0.15">
      <c r="A232" s="1">
        <v>92</v>
      </c>
      <c r="B232" s="677" t="s">
        <v>2144</v>
      </c>
      <c r="C232" s="4" t="s">
        <v>4365</v>
      </c>
      <c r="D232" s="4" t="s">
        <v>4411</v>
      </c>
      <c r="E232" s="665" t="s">
        <v>4365</v>
      </c>
      <c r="F232" s="1">
        <v>5</v>
      </c>
      <c r="G232" s="1">
        <v>1</v>
      </c>
      <c r="H232" s="4" t="s">
        <v>4304</v>
      </c>
    </row>
    <row r="233" spans="1:9" x14ac:dyDescent="0.15">
      <c r="A233" s="1">
        <v>93</v>
      </c>
      <c r="B233" s="677" t="s">
        <v>2418</v>
      </c>
      <c r="C233" s="4" t="s">
        <v>4365</v>
      </c>
      <c r="D233" s="4" t="s">
        <v>4411</v>
      </c>
      <c r="E233" s="665" t="s">
        <v>4365</v>
      </c>
      <c r="F233" s="1">
        <v>5</v>
      </c>
      <c r="G233" s="1">
        <v>0</v>
      </c>
    </row>
    <row r="234" spans="1:9" x14ac:dyDescent="0.15">
      <c r="A234" s="1">
        <v>94</v>
      </c>
      <c r="B234" s="677" t="s">
        <v>2490</v>
      </c>
      <c r="C234" s="4" t="s">
        <v>4365</v>
      </c>
      <c r="D234" s="4" t="s">
        <v>4417</v>
      </c>
      <c r="E234" s="665" t="s">
        <v>4365</v>
      </c>
      <c r="F234" s="1">
        <v>15</v>
      </c>
      <c r="G234" s="1">
        <v>2</v>
      </c>
      <c r="H234" s="4" t="s">
        <v>4334</v>
      </c>
    </row>
    <row r="235" spans="1:9" x14ac:dyDescent="0.15">
      <c r="A235" s="1">
        <v>94</v>
      </c>
      <c r="B235" s="677" t="s">
        <v>2199</v>
      </c>
      <c r="C235" s="4" t="s">
        <v>4365</v>
      </c>
      <c r="D235" s="4" t="s">
        <v>4411</v>
      </c>
      <c r="E235" s="665" t="s">
        <v>4365</v>
      </c>
      <c r="F235" s="1">
        <v>5</v>
      </c>
      <c r="G235" s="1">
        <v>0</v>
      </c>
    </row>
    <row r="236" spans="1:9" x14ac:dyDescent="0.15">
      <c r="A236" s="1">
        <v>95</v>
      </c>
      <c r="B236" s="677" t="s">
        <v>2258</v>
      </c>
      <c r="C236" s="4" t="s">
        <v>4365</v>
      </c>
      <c r="D236" s="4" t="s">
        <v>4323</v>
      </c>
      <c r="E236" s="665" t="s">
        <v>4365</v>
      </c>
      <c r="F236" s="1">
        <v>5</v>
      </c>
      <c r="G236" s="1">
        <v>1</v>
      </c>
      <c r="H236" s="4" t="s">
        <v>4304</v>
      </c>
    </row>
    <row r="237" spans="1:9" x14ac:dyDescent="0.15">
      <c r="A237" s="1">
        <v>98</v>
      </c>
      <c r="B237" s="677" t="s">
        <v>4591</v>
      </c>
      <c r="C237" s="4" t="s">
        <v>4365</v>
      </c>
      <c r="D237" s="4" t="s">
        <v>4417</v>
      </c>
      <c r="E237" s="665" t="s">
        <v>4365</v>
      </c>
      <c r="F237" s="1">
        <v>10</v>
      </c>
      <c r="G237" s="1">
        <v>1</v>
      </c>
      <c r="H237" s="4" t="s">
        <v>4304</v>
      </c>
    </row>
    <row r="238" spans="1:9" x14ac:dyDescent="0.15">
      <c r="A238" s="1">
        <v>99</v>
      </c>
      <c r="B238" s="677" t="s">
        <v>2173</v>
      </c>
      <c r="C238" s="4" t="s">
        <v>4365</v>
      </c>
      <c r="D238" s="4" t="s">
        <v>4432</v>
      </c>
      <c r="E238" s="665" t="s">
        <v>4365</v>
      </c>
      <c r="F238" s="1">
        <v>10</v>
      </c>
      <c r="G238" s="1">
        <v>2</v>
      </c>
      <c r="H238" s="4" t="s">
        <v>4433</v>
      </c>
    </row>
    <row r="239" spans="1:9" x14ac:dyDescent="0.15">
      <c r="A239" s="1">
        <v>100</v>
      </c>
      <c r="B239" s="677" t="s">
        <v>4595</v>
      </c>
      <c r="C239" s="4" t="s">
        <v>4365</v>
      </c>
      <c r="D239" s="4" t="s">
        <v>4432</v>
      </c>
      <c r="E239" s="665" t="s">
        <v>4365</v>
      </c>
      <c r="F239" s="1">
        <v>10</v>
      </c>
      <c r="G239" s="1">
        <v>1</v>
      </c>
      <c r="H239" s="4" t="s">
        <v>4304</v>
      </c>
    </row>
    <row r="240" spans="1:9" x14ac:dyDescent="0.15">
      <c r="A240" s="1">
        <v>101</v>
      </c>
      <c r="B240" s="677" t="s">
        <v>4599</v>
      </c>
      <c r="C240" s="4" t="s">
        <v>4365</v>
      </c>
      <c r="D240" s="4" t="s">
        <v>4411</v>
      </c>
      <c r="E240" s="665" t="s">
        <v>4365</v>
      </c>
      <c r="F240" s="1">
        <v>5</v>
      </c>
      <c r="G240" s="1">
        <v>0</v>
      </c>
    </row>
    <row r="241" spans="1:9" x14ac:dyDescent="0.15">
      <c r="A241" s="1">
        <v>102</v>
      </c>
      <c r="B241" s="677" t="s">
        <v>2825</v>
      </c>
      <c r="C241" s="4" t="s">
        <v>4365</v>
      </c>
      <c r="D241" s="4" t="s">
        <v>4411</v>
      </c>
      <c r="E241" s="665" t="s">
        <v>4365</v>
      </c>
      <c r="F241" s="1">
        <v>5</v>
      </c>
      <c r="G241" s="1">
        <v>0</v>
      </c>
    </row>
    <row r="242" spans="1:9" x14ac:dyDescent="0.15">
      <c r="A242" s="1">
        <v>103</v>
      </c>
      <c r="B242" s="677" t="s">
        <v>3318</v>
      </c>
      <c r="C242" s="4" t="s">
        <v>4365</v>
      </c>
      <c r="D242" s="4" t="s">
        <v>4411</v>
      </c>
      <c r="E242" s="665" t="s">
        <v>4365</v>
      </c>
      <c r="F242" s="1">
        <v>5</v>
      </c>
      <c r="G242" s="1">
        <v>0</v>
      </c>
    </row>
    <row r="243" spans="1:9" x14ac:dyDescent="0.15">
      <c r="A243" s="1">
        <v>103</v>
      </c>
      <c r="B243" s="664" t="s">
        <v>1622</v>
      </c>
      <c r="C243" s="4" t="s">
        <v>4365</v>
      </c>
      <c r="D243" s="4" t="s">
        <v>4432</v>
      </c>
      <c r="E243" s="665" t="s">
        <v>4365</v>
      </c>
      <c r="F243" s="1">
        <v>10</v>
      </c>
      <c r="G243" s="1">
        <v>1</v>
      </c>
      <c r="H243" s="4" t="s">
        <v>4304</v>
      </c>
    </row>
    <row r="244" spans="1:9" x14ac:dyDescent="0.15">
      <c r="A244" s="1">
        <v>105</v>
      </c>
      <c r="B244" s="664" t="s">
        <v>1628</v>
      </c>
      <c r="C244" s="4" t="s">
        <v>4365</v>
      </c>
      <c r="D244" s="4" t="s">
        <v>4323</v>
      </c>
      <c r="E244" s="665" t="s">
        <v>4365</v>
      </c>
      <c r="F244" s="1">
        <v>5</v>
      </c>
      <c r="G244" s="1">
        <v>0</v>
      </c>
    </row>
    <row r="245" spans="1:9" x14ac:dyDescent="0.15">
      <c r="A245" s="1">
        <v>105</v>
      </c>
      <c r="B245" s="664" t="s">
        <v>467</v>
      </c>
      <c r="C245" s="4" t="s">
        <v>4365</v>
      </c>
      <c r="D245" s="4" t="s">
        <v>4411</v>
      </c>
      <c r="E245" s="665" t="s">
        <v>4365</v>
      </c>
      <c r="F245" s="1">
        <v>10</v>
      </c>
      <c r="G245" s="1">
        <v>0</v>
      </c>
      <c r="H245" s="4" t="s">
        <v>4304</v>
      </c>
      <c r="I245" s="4"/>
    </row>
    <row r="246" spans="1:9" x14ac:dyDescent="0.15">
      <c r="A246" s="1">
        <v>106</v>
      </c>
      <c r="B246" s="664" t="s">
        <v>1613</v>
      </c>
      <c r="C246" s="4" t="s">
        <v>4365</v>
      </c>
      <c r="D246" s="4" t="s">
        <v>4323</v>
      </c>
      <c r="E246" s="665" t="s">
        <v>4365</v>
      </c>
      <c r="F246" s="1">
        <v>5</v>
      </c>
      <c r="G246" s="1">
        <v>1</v>
      </c>
      <c r="H246" s="4" t="s">
        <v>4304</v>
      </c>
    </row>
    <row r="247" spans="1:9" x14ac:dyDescent="0.15">
      <c r="A247" s="1">
        <v>106</v>
      </c>
      <c r="B247" s="664" t="s">
        <v>1650</v>
      </c>
      <c r="C247" s="4" t="s">
        <v>4365</v>
      </c>
      <c r="D247" s="4" t="s">
        <v>4432</v>
      </c>
      <c r="E247" s="665" t="s">
        <v>4365</v>
      </c>
      <c r="F247" s="1">
        <v>10</v>
      </c>
      <c r="G247" s="1">
        <v>2</v>
      </c>
      <c r="H247" s="4" t="s">
        <v>4334</v>
      </c>
    </row>
    <row r="248" spans="1:9" x14ac:dyDescent="0.15">
      <c r="A248" s="1">
        <v>107</v>
      </c>
      <c r="B248" s="664" t="s">
        <v>455</v>
      </c>
      <c r="C248" s="4" t="s">
        <v>4365</v>
      </c>
      <c r="D248" s="4" t="s">
        <v>4323</v>
      </c>
      <c r="E248" s="665" t="s">
        <v>4365</v>
      </c>
      <c r="F248" s="1">
        <v>10</v>
      </c>
      <c r="G248" s="1">
        <v>0</v>
      </c>
    </row>
    <row r="249" spans="1:9" x14ac:dyDescent="0.15">
      <c r="A249" s="1">
        <v>107</v>
      </c>
      <c r="B249" s="664" t="s">
        <v>4325</v>
      </c>
      <c r="C249" s="4" t="s">
        <v>4365</v>
      </c>
      <c r="D249" s="4" t="s">
        <v>4417</v>
      </c>
      <c r="E249" s="665" t="s">
        <v>4365</v>
      </c>
      <c r="F249" s="1">
        <v>10</v>
      </c>
      <c r="G249" s="1">
        <v>0</v>
      </c>
    </row>
    <row r="250" spans="1:9" x14ac:dyDescent="0.15">
      <c r="A250" s="1">
        <v>108</v>
      </c>
      <c r="B250" s="665" t="s">
        <v>651</v>
      </c>
      <c r="C250" s="4" t="s">
        <v>4365</v>
      </c>
      <c r="D250" s="4" t="s">
        <v>4323</v>
      </c>
      <c r="E250" s="665" t="s">
        <v>4365</v>
      </c>
      <c r="F250" s="1">
        <v>5</v>
      </c>
      <c r="G250" s="1">
        <v>0</v>
      </c>
    </row>
    <row r="251" spans="1:9" x14ac:dyDescent="0.15">
      <c r="A251" s="1">
        <v>108</v>
      </c>
      <c r="B251" s="665" t="s">
        <v>3316</v>
      </c>
      <c r="C251" s="4" t="s">
        <v>4365</v>
      </c>
      <c r="D251" s="4" t="s">
        <v>4323</v>
      </c>
      <c r="E251" s="665" t="s">
        <v>4365</v>
      </c>
      <c r="F251" s="1">
        <v>5</v>
      </c>
      <c r="G251" s="1">
        <v>1</v>
      </c>
      <c r="H251" s="4" t="s">
        <v>4304</v>
      </c>
    </row>
    <row r="252" spans="1:9" x14ac:dyDescent="0.15">
      <c r="A252" s="1">
        <v>109</v>
      </c>
      <c r="B252" s="665" t="s">
        <v>694</v>
      </c>
      <c r="C252" s="4" t="s">
        <v>4365</v>
      </c>
      <c r="D252" s="4" t="s">
        <v>4417</v>
      </c>
      <c r="E252" s="665" t="s">
        <v>4365</v>
      </c>
      <c r="F252" s="1">
        <v>5</v>
      </c>
      <c r="G252" s="1">
        <v>1</v>
      </c>
      <c r="H252" s="4" t="s">
        <v>4304</v>
      </c>
    </row>
    <row r="253" spans="1:9" x14ac:dyDescent="0.15">
      <c r="A253" s="1">
        <v>110</v>
      </c>
      <c r="B253" s="665" t="s">
        <v>4337</v>
      </c>
      <c r="C253" s="4" t="s">
        <v>4365</v>
      </c>
      <c r="D253" s="4" t="s">
        <v>4323</v>
      </c>
      <c r="E253" s="665" t="s">
        <v>4365</v>
      </c>
      <c r="F253" s="1">
        <v>5</v>
      </c>
      <c r="G253" s="1">
        <v>1</v>
      </c>
      <c r="H253" s="4" t="s">
        <v>4304</v>
      </c>
    </row>
    <row r="254" spans="1:9" x14ac:dyDescent="0.15">
      <c r="A254" s="1">
        <v>111</v>
      </c>
      <c r="B254" s="665" t="s">
        <v>4338</v>
      </c>
      <c r="C254" s="4" t="s">
        <v>4365</v>
      </c>
      <c r="D254" s="4" t="s">
        <v>4417</v>
      </c>
      <c r="E254" s="665" t="s">
        <v>4365</v>
      </c>
      <c r="F254" s="1">
        <v>10</v>
      </c>
      <c r="G254" s="1">
        <v>1</v>
      </c>
      <c r="H254" s="4" t="s">
        <v>4304</v>
      </c>
    </row>
    <row r="255" spans="1:9" x14ac:dyDescent="0.15">
      <c r="A255" s="1">
        <v>112</v>
      </c>
      <c r="B255" s="665" t="s">
        <v>4352</v>
      </c>
      <c r="C255" s="4" t="s">
        <v>4365</v>
      </c>
      <c r="D255" s="4" t="s">
        <v>4453</v>
      </c>
      <c r="E255" s="665" t="s">
        <v>4365</v>
      </c>
      <c r="F255" s="1">
        <v>10</v>
      </c>
      <c r="G255" s="1">
        <v>1</v>
      </c>
      <c r="H255" s="4" t="s">
        <v>4304</v>
      </c>
    </row>
    <row r="256" spans="1:9" x14ac:dyDescent="0.15">
      <c r="A256" s="1">
        <v>112</v>
      </c>
      <c r="B256" s="665" t="s">
        <v>4354</v>
      </c>
      <c r="C256" s="4" t="s">
        <v>4365</v>
      </c>
      <c r="D256" s="4" t="s">
        <v>4453</v>
      </c>
      <c r="E256" s="665" t="s">
        <v>4365</v>
      </c>
      <c r="F256" s="1">
        <v>5</v>
      </c>
      <c r="G256" s="1">
        <v>1</v>
      </c>
      <c r="H256" s="4" t="s">
        <v>4304</v>
      </c>
    </row>
    <row r="257" spans="1:9" x14ac:dyDescent="0.15">
      <c r="A257" s="1">
        <v>113</v>
      </c>
      <c r="B257" s="665" t="s">
        <v>4355</v>
      </c>
      <c r="C257" s="4" t="s">
        <v>4365</v>
      </c>
      <c r="D257" s="4" t="s">
        <v>4432</v>
      </c>
      <c r="E257" s="665" t="s">
        <v>4365</v>
      </c>
      <c r="F257" s="1">
        <v>5</v>
      </c>
      <c r="G257" s="1">
        <v>1</v>
      </c>
      <c r="H257" s="4" t="s">
        <v>4304</v>
      </c>
    </row>
    <row r="258" spans="1:9" x14ac:dyDescent="0.15">
      <c r="A258" s="1">
        <v>114</v>
      </c>
      <c r="B258" s="665" t="s">
        <v>4419</v>
      </c>
      <c r="C258" s="4" t="s">
        <v>4365</v>
      </c>
      <c r="D258" s="4" t="s">
        <v>4432</v>
      </c>
      <c r="E258" s="665" t="s">
        <v>4365</v>
      </c>
      <c r="F258" s="1">
        <v>5</v>
      </c>
      <c r="G258" s="1">
        <v>1</v>
      </c>
      <c r="H258" s="4" t="s">
        <v>4304</v>
      </c>
    </row>
    <row r="259" spans="1:9" x14ac:dyDescent="0.15">
      <c r="A259" s="1">
        <v>115</v>
      </c>
      <c r="B259" s="665" t="s">
        <v>4611</v>
      </c>
      <c r="C259" s="4" t="s">
        <v>4365</v>
      </c>
      <c r="D259" s="4" t="s">
        <v>745</v>
      </c>
      <c r="E259" s="665" t="s">
        <v>4365</v>
      </c>
      <c r="F259" s="1">
        <v>5</v>
      </c>
      <c r="G259" s="1">
        <v>1</v>
      </c>
      <c r="H259" s="4" t="s">
        <v>4304</v>
      </c>
    </row>
    <row r="260" spans="1:9" x14ac:dyDescent="0.15">
      <c r="A260" s="1">
        <v>116</v>
      </c>
      <c r="B260" s="665" t="s">
        <v>4613</v>
      </c>
      <c r="C260" s="4" t="s">
        <v>4365</v>
      </c>
      <c r="D260" s="4" t="s">
        <v>4323</v>
      </c>
      <c r="E260" s="665" t="s">
        <v>4365</v>
      </c>
      <c r="F260" s="1">
        <v>5</v>
      </c>
      <c r="G260" s="1">
        <v>1</v>
      </c>
      <c r="H260" s="4" t="s">
        <v>4304</v>
      </c>
    </row>
    <row r="261" spans="1:9" x14ac:dyDescent="0.15">
      <c r="A261" s="1">
        <v>118</v>
      </c>
      <c r="B261" s="665" t="s">
        <v>4328</v>
      </c>
      <c r="C261" s="4" t="s">
        <v>4365</v>
      </c>
      <c r="D261" s="4" t="s">
        <v>4323</v>
      </c>
      <c r="E261" s="665" t="s">
        <v>4365</v>
      </c>
      <c r="F261" s="1">
        <v>5</v>
      </c>
      <c r="G261" s="1">
        <v>1</v>
      </c>
      <c r="H261" s="4" t="s">
        <v>4304</v>
      </c>
    </row>
    <row r="262" spans="1:9" x14ac:dyDescent="0.15">
      <c r="A262" s="1">
        <v>119</v>
      </c>
      <c r="B262" s="665" t="s">
        <v>4330</v>
      </c>
      <c r="C262" s="4" t="s">
        <v>4365</v>
      </c>
      <c r="D262" s="4" t="s">
        <v>4417</v>
      </c>
      <c r="E262" s="665" t="s">
        <v>4365</v>
      </c>
      <c r="F262" s="1">
        <v>5</v>
      </c>
      <c r="G262" s="1">
        <v>0</v>
      </c>
    </row>
    <row r="263" spans="1:9" x14ac:dyDescent="0.15">
      <c r="A263" s="1">
        <v>121</v>
      </c>
      <c r="B263" s="665" t="s">
        <v>4332</v>
      </c>
      <c r="C263" s="4" t="s">
        <v>4365</v>
      </c>
      <c r="D263" s="4" t="s">
        <v>4323</v>
      </c>
      <c r="E263" s="665" t="s">
        <v>4365</v>
      </c>
      <c r="F263" s="1">
        <v>10</v>
      </c>
      <c r="G263" s="1">
        <v>1</v>
      </c>
      <c r="H263" s="4" t="s">
        <v>4304</v>
      </c>
    </row>
    <row r="264" spans="1:9" x14ac:dyDescent="0.15">
      <c r="A264" s="1">
        <v>122</v>
      </c>
      <c r="B264" s="665" t="s">
        <v>4335</v>
      </c>
      <c r="C264" s="4" t="s">
        <v>4365</v>
      </c>
      <c r="D264" s="4" t="s">
        <v>4323</v>
      </c>
      <c r="E264" s="665" t="s">
        <v>4365</v>
      </c>
      <c r="F264" s="1">
        <v>20</v>
      </c>
      <c r="G264" s="1">
        <v>1</v>
      </c>
      <c r="H264" s="4" t="s">
        <v>4304</v>
      </c>
    </row>
    <row r="265" spans="1:9" x14ac:dyDescent="0.15">
      <c r="A265" s="1">
        <v>122</v>
      </c>
      <c r="B265" s="665" t="s">
        <v>4340</v>
      </c>
      <c r="C265" s="4" t="s">
        <v>4365</v>
      </c>
      <c r="D265" s="4" t="s">
        <v>4323</v>
      </c>
      <c r="E265" s="665" t="s">
        <v>4365</v>
      </c>
      <c r="F265" s="1">
        <v>5</v>
      </c>
      <c r="G265" s="1">
        <v>1</v>
      </c>
      <c r="H265" s="4" t="s">
        <v>4304</v>
      </c>
    </row>
    <row r="266" spans="1:9" x14ac:dyDescent="0.15">
      <c r="A266" s="1">
        <v>123</v>
      </c>
      <c r="B266" s="665" t="s">
        <v>4341</v>
      </c>
      <c r="C266" s="4" t="s">
        <v>4365</v>
      </c>
      <c r="D266" s="4" t="s">
        <v>4323</v>
      </c>
      <c r="E266" s="665" t="s">
        <v>4365</v>
      </c>
      <c r="F266" s="1">
        <v>5</v>
      </c>
      <c r="G266" s="1">
        <v>0</v>
      </c>
    </row>
    <row r="267" spans="1:9" x14ac:dyDescent="0.15">
      <c r="A267" s="1">
        <v>124</v>
      </c>
      <c r="B267" s="665" t="s">
        <v>4343</v>
      </c>
      <c r="C267" s="4" t="s">
        <v>4365</v>
      </c>
      <c r="D267" s="4" t="s">
        <v>4432</v>
      </c>
      <c r="E267" s="665" t="s">
        <v>4365</v>
      </c>
      <c r="F267" s="1">
        <v>7</v>
      </c>
      <c r="G267" s="1">
        <v>1</v>
      </c>
      <c r="H267" s="4" t="s">
        <v>4304</v>
      </c>
    </row>
    <row r="268" spans="1:9" x14ac:dyDescent="0.15">
      <c r="A268" s="1">
        <v>125</v>
      </c>
      <c r="B268" s="665" t="s">
        <v>4344</v>
      </c>
      <c r="C268" s="4" t="s">
        <v>4365</v>
      </c>
      <c r="D268" s="4" t="s">
        <v>4323</v>
      </c>
      <c r="E268" s="665" t="s">
        <v>4365</v>
      </c>
      <c r="F268" s="1">
        <v>5</v>
      </c>
      <c r="G268" s="1">
        <v>0</v>
      </c>
      <c r="H268" s="4" t="s">
        <v>4304</v>
      </c>
      <c r="I268" s="4"/>
    </row>
    <row r="269" spans="1:9" x14ac:dyDescent="0.15">
      <c r="A269" s="1">
        <v>125</v>
      </c>
      <c r="B269" s="665" t="s">
        <v>4345</v>
      </c>
      <c r="C269" s="4" t="s">
        <v>4365</v>
      </c>
      <c r="D269" s="4" t="s">
        <v>4323</v>
      </c>
      <c r="E269" s="665" t="s">
        <v>4365</v>
      </c>
      <c r="F269" s="1">
        <v>5</v>
      </c>
      <c r="G269" s="1">
        <v>1</v>
      </c>
      <c r="H269" s="4" t="s">
        <v>4304</v>
      </c>
    </row>
    <row r="270" spans="1:9" x14ac:dyDescent="0.15">
      <c r="A270" s="1">
        <v>128</v>
      </c>
      <c r="B270" s="665" t="s">
        <v>3547</v>
      </c>
      <c r="C270" s="4" t="s">
        <v>4365</v>
      </c>
      <c r="D270" s="4" t="s">
        <v>4323</v>
      </c>
      <c r="E270" s="665" t="s">
        <v>4365</v>
      </c>
      <c r="F270" s="1">
        <v>5</v>
      </c>
      <c r="G270" s="1">
        <v>1</v>
      </c>
      <c r="H270" s="4" t="s">
        <v>4304</v>
      </c>
    </row>
    <row r="271" spans="1:9" x14ac:dyDescent="0.15">
      <c r="A271" s="1">
        <v>129</v>
      </c>
      <c r="B271" s="665" t="s">
        <v>3552</v>
      </c>
      <c r="C271" s="4" t="s">
        <v>4365</v>
      </c>
      <c r="D271" s="4" t="s">
        <v>4323</v>
      </c>
      <c r="E271" s="665" t="s">
        <v>4365</v>
      </c>
      <c r="F271" s="1">
        <v>5</v>
      </c>
      <c r="G271" s="1">
        <v>1</v>
      </c>
      <c r="H271" s="4" t="s">
        <v>4304</v>
      </c>
    </row>
    <row r="272" spans="1:9" x14ac:dyDescent="0.15">
      <c r="A272" s="1">
        <v>129</v>
      </c>
      <c r="B272" s="665" t="s">
        <v>4392</v>
      </c>
      <c r="C272" s="4" t="s">
        <v>4365</v>
      </c>
      <c r="D272" s="4" t="s">
        <v>4323</v>
      </c>
      <c r="E272" s="665" t="s">
        <v>4365</v>
      </c>
      <c r="F272" s="1">
        <v>5</v>
      </c>
      <c r="G272" s="1">
        <v>1</v>
      </c>
      <c r="H272" s="4" t="s">
        <v>4304</v>
      </c>
    </row>
    <row r="273" spans="1:8" x14ac:dyDescent="0.15">
      <c r="A273" s="1">
        <v>130</v>
      </c>
      <c r="B273" s="665" t="s">
        <v>4395</v>
      </c>
      <c r="C273" s="4" t="s">
        <v>4365</v>
      </c>
      <c r="D273" s="4" t="s">
        <v>4323</v>
      </c>
      <c r="E273" s="665" t="s">
        <v>4365</v>
      </c>
      <c r="F273" s="1">
        <v>5</v>
      </c>
      <c r="G273" s="1">
        <v>1</v>
      </c>
      <c r="H273" s="4" t="s">
        <v>4304</v>
      </c>
    </row>
    <row r="274" spans="1:8" x14ac:dyDescent="0.15">
      <c r="A274" s="1">
        <v>130</v>
      </c>
      <c r="B274" s="665" t="s">
        <v>3549</v>
      </c>
      <c r="C274" s="4" t="s">
        <v>4365</v>
      </c>
      <c r="D274" s="4" t="s">
        <v>4323</v>
      </c>
      <c r="E274" s="665" t="s">
        <v>4365</v>
      </c>
      <c r="F274" s="1">
        <v>10</v>
      </c>
      <c r="G274" s="1">
        <v>1</v>
      </c>
      <c r="H274" s="4" t="s">
        <v>4334</v>
      </c>
    </row>
    <row r="275" spans="1:8" x14ac:dyDescent="0.15">
      <c r="A275" s="1">
        <v>131</v>
      </c>
      <c r="B275" s="665" t="s">
        <v>3532</v>
      </c>
      <c r="C275" s="4" t="s">
        <v>4365</v>
      </c>
      <c r="D275" s="4" t="s">
        <v>4323</v>
      </c>
      <c r="E275" s="665" t="s">
        <v>4365</v>
      </c>
      <c r="F275" s="1">
        <v>5</v>
      </c>
      <c r="G275" s="1">
        <v>0</v>
      </c>
    </row>
    <row r="276" spans="1:8" x14ac:dyDescent="0.15">
      <c r="A276" s="1">
        <v>131</v>
      </c>
      <c r="B276" s="665" t="s">
        <v>4485</v>
      </c>
      <c r="C276" s="4" t="s">
        <v>4365</v>
      </c>
      <c r="D276" s="4" t="s">
        <v>4432</v>
      </c>
      <c r="E276" s="665" t="s">
        <v>4365</v>
      </c>
      <c r="F276" s="1">
        <v>10</v>
      </c>
      <c r="G276" s="1">
        <v>1</v>
      </c>
      <c r="H276" s="4" t="s">
        <v>4304</v>
      </c>
    </row>
    <row r="277" spans="1:8" x14ac:dyDescent="0.15">
      <c r="A277" s="1">
        <v>132</v>
      </c>
      <c r="B277" s="665" t="s">
        <v>4507</v>
      </c>
      <c r="C277" s="4" t="s">
        <v>4365</v>
      </c>
      <c r="D277" s="4" t="s">
        <v>4432</v>
      </c>
      <c r="E277" s="665" t="s">
        <v>4365</v>
      </c>
      <c r="F277" s="1">
        <v>5</v>
      </c>
      <c r="G277" s="1">
        <v>2</v>
      </c>
      <c r="H277" s="4" t="s">
        <v>4482</v>
      </c>
    </row>
    <row r="278" spans="1:8" x14ac:dyDescent="0.15">
      <c r="A278" s="1">
        <v>132</v>
      </c>
      <c r="B278" s="665" t="s">
        <v>4517</v>
      </c>
      <c r="C278" s="4" t="s">
        <v>4365</v>
      </c>
      <c r="D278" s="4" t="s">
        <v>4417</v>
      </c>
      <c r="E278" s="665" t="s">
        <v>4365</v>
      </c>
      <c r="F278" s="1">
        <v>20</v>
      </c>
      <c r="G278" s="1">
        <v>1</v>
      </c>
      <c r="H278" s="4" t="s">
        <v>4304</v>
      </c>
    </row>
    <row r="279" spans="1:8" x14ac:dyDescent="0.15">
      <c r="A279" s="1">
        <v>133</v>
      </c>
      <c r="B279" s="665" t="s">
        <v>4519</v>
      </c>
      <c r="C279" s="4" t="s">
        <v>4365</v>
      </c>
      <c r="D279" s="4" t="s">
        <v>4432</v>
      </c>
      <c r="E279" s="665" t="s">
        <v>4365</v>
      </c>
      <c r="F279" s="1">
        <v>5</v>
      </c>
      <c r="G279" s="1">
        <v>0</v>
      </c>
    </row>
    <row r="280" spans="1:8" x14ac:dyDescent="0.15">
      <c r="A280" s="1">
        <v>134</v>
      </c>
      <c r="B280" s="665" t="s">
        <v>4649</v>
      </c>
      <c r="C280" s="4" t="s">
        <v>4365</v>
      </c>
      <c r="D280" s="4" t="s">
        <v>4417</v>
      </c>
      <c r="E280" s="665" t="s">
        <v>4365</v>
      </c>
      <c r="F280" s="1">
        <v>10</v>
      </c>
      <c r="G280" s="1">
        <v>1</v>
      </c>
      <c r="H280" s="4" t="s">
        <v>4304</v>
      </c>
    </row>
    <row r="281" spans="1:8" x14ac:dyDescent="0.15">
      <c r="A281" s="1">
        <v>135</v>
      </c>
      <c r="B281" s="665" t="s">
        <v>1316</v>
      </c>
      <c r="C281" s="4" t="s">
        <v>4365</v>
      </c>
      <c r="D281" s="4" t="s">
        <v>4323</v>
      </c>
      <c r="E281" s="665" t="s">
        <v>4365</v>
      </c>
      <c r="F281" s="1">
        <v>5</v>
      </c>
      <c r="G281" s="1">
        <v>1</v>
      </c>
      <c r="H281" s="4" t="s">
        <v>4304</v>
      </c>
    </row>
    <row r="282" spans="1:8" x14ac:dyDescent="0.15">
      <c r="A282" s="1">
        <v>135</v>
      </c>
      <c r="B282" s="665" t="s">
        <v>3273</v>
      </c>
      <c r="C282" s="4" t="s">
        <v>4365</v>
      </c>
      <c r="D282" s="4" t="s">
        <v>4432</v>
      </c>
      <c r="E282" s="665" t="s">
        <v>4365</v>
      </c>
      <c r="F282" s="1">
        <v>10</v>
      </c>
      <c r="G282" s="1">
        <v>0</v>
      </c>
    </row>
    <row r="283" spans="1:8" x14ac:dyDescent="0.15">
      <c r="A283" s="1">
        <v>136</v>
      </c>
      <c r="B283" s="665" t="s">
        <v>3283</v>
      </c>
      <c r="C283" s="4" t="s">
        <v>4365</v>
      </c>
      <c r="D283" s="4" t="s">
        <v>4432</v>
      </c>
      <c r="E283" s="665" t="s">
        <v>4365</v>
      </c>
      <c r="F283" s="1">
        <v>10</v>
      </c>
      <c r="G283" s="1">
        <v>1</v>
      </c>
      <c r="H283" s="4" t="s">
        <v>4304</v>
      </c>
    </row>
    <row r="284" spans="1:8" x14ac:dyDescent="0.15">
      <c r="A284" s="1">
        <v>137</v>
      </c>
      <c r="B284" s="665" t="s">
        <v>4254</v>
      </c>
      <c r="C284" s="4" t="s">
        <v>4365</v>
      </c>
      <c r="D284" s="4" t="s">
        <v>4323</v>
      </c>
      <c r="E284" s="665" t="s">
        <v>4365</v>
      </c>
      <c r="F284" s="1">
        <v>5</v>
      </c>
      <c r="G284" s="1">
        <v>0</v>
      </c>
    </row>
    <row r="285" spans="1:8" x14ac:dyDescent="0.15">
      <c r="A285" s="1">
        <v>138</v>
      </c>
      <c r="B285" s="665" t="s">
        <v>3263</v>
      </c>
      <c r="C285" s="4" t="s">
        <v>4365</v>
      </c>
      <c r="D285" s="4" t="s">
        <v>4323</v>
      </c>
      <c r="E285" s="665" t="s">
        <v>4365</v>
      </c>
      <c r="F285" s="1">
        <v>5</v>
      </c>
      <c r="G285" s="1">
        <v>0</v>
      </c>
    </row>
    <row r="286" spans="1:8" x14ac:dyDescent="0.15">
      <c r="A286" s="1">
        <v>139</v>
      </c>
      <c r="B286" s="665" t="s">
        <v>4353</v>
      </c>
      <c r="C286" s="4" t="s">
        <v>4365</v>
      </c>
      <c r="D286" s="4" t="s">
        <v>4323</v>
      </c>
      <c r="E286" s="665" t="s">
        <v>4365</v>
      </c>
      <c r="F286" s="1">
        <v>5</v>
      </c>
      <c r="G286" s="1">
        <v>1</v>
      </c>
      <c r="H286" s="4" t="s">
        <v>4304</v>
      </c>
    </row>
    <row r="287" spans="1:8" x14ac:dyDescent="0.15">
      <c r="A287" s="1">
        <v>140</v>
      </c>
      <c r="B287" s="665" t="s">
        <v>3285</v>
      </c>
      <c r="C287" s="4" t="s">
        <v>4365</v>
      </c>
      <c r="D287" s="4" t="s">
        <v>4323</v>
      </c>
      <c r="E287" s="665" t="s">
        <v>4365</v>
      </c>
      <c r="F287" s="1">
        <v>5</v>
      </c>
      <c r="G287" s="1">
        <v>1</v>
      </c>
      <c r="H287" s="4" t="s">
        <v>4304</v>
      </c>
    </row>
    <row r="288" spans="1:8" x14ac:dyDescent="0.15">
      <c r="A288" s="1">
        <v>141</v>
      </c>
      <c r="B288" s="665" t="s">
        <v>3309</v>
      </c>
      <c r="C288" s="4" t="s">
        <v>4365</v>
      </c>
      <c r="D288" s="4" t="s">
        <v>4323</v>
      </c>
      <c r="E288" s="665" t="s">
        <v>4365</v>
      </c>
      <c r="F288" s="1">
        <v>7</v>
      </c>
      <c r="G288" s="1">
        <v>1</v>
      </c>
      <c r="H288" s="4" t="s">
        <v>4304</v>
      </c>
    </row>
    <row r="289" spans="1:9" x14ac:dyDescent="0.15">
      <c r="A289" s="1">
        <v>142</v>
      </c>
      <c r="B289" s="665" t="s">
        <v>3274</v>
      </c>
      <c r="C289" s="4" t="s">
        <v>4365</v>
      </c>
      <c r="D289" s="4" t="s">
        <v>4453</v>
      </c>
      <c r="E289" s="665" t="s">
        <v>4365</v>
      </c>
      <c r="F289" s="1">
        <v>5</v>
      </c>
      <c r="G289" s="1">
        <v>0</v>
      </c>
    </row>
    <row r="290" spans="1:9" x14ac:dyDescent="0.15">
      <c r="A290" s="1">
        <v>143</v>
      </c>
      <c r="B290" s="665" t="s">
        <v>4382</v>
      </c>
      <c r="C290" s="4" t="s">
        <v>4365</v>
      </c>
      <c r="D290" s="4" t="s">
        <v>4453</v>
      </c>
      <c r="E290" s="665" t="s">
        <v>4365</v>
      </c>
      <c r="F290" s="1">
        <v>5</v>
      </c>
      <c r="G290" s="1">
        <v>1</v>
      </c>
      <c r="H290" s="4" t="s">
        <v>4304</v>
      </c>
    </row>
    <row r="291" spans="1:9" x14ac:dyDescent="0.15">
      <c r="A291" s="1">
        <v>143</v>
      </c>
      <c r="B291" s="665" t="s">
        <v>1266</v>
      </c>
      <c r="C291" s="4" t="s">
        <v>4365</v>
      </c>
      <c r="D291" s="4" t="s">
        <v>745</v>
      </c>
      <c r="E291" s="665" t="s">
        <v>4365</v>
      </c>
      <c r="F291" s="1">
        <v>5</v>
      </c>
      <c r="G291" s="1">
        <v>6</v>
      </c>
      <c r="H291" s="4" t="s">
        <v>4504</v>
      </c>
      <c r="I291" s="4" t="s">
        <v>4505</v>
      </c>
    </row>
    <row r="292" spans="1:9" x14ac:dyDescent="0.15">
      <c r="A292" s="1">
        <v>147</v>
      </c>
      <c r="B292" s="665" t="s">
        <v>4462</v>
      </c>
      <c r="C292" s="4" t="s">
        <v>4365</v>
      </c>
      <c r="D292" s="4" t="s">
        <v>4323</v>
      </c>
      <c r="E292" s="665" t="s">
        <v>4365</v>
      </c>
      <c r="F292" s="1">
        <v>5</v>
      </c>
      <c r="G292" s="1">
        <v>1</v>
      </c>
      <c r="H292" s="4" t="s">
        <v>4304</v>
      </c>
    </row>
    <row r="293" spans="1:9" x14ac:dyDescent="0.15">
      <c r="A293" s="1">
        <v>148</v>
      </c>
      <c r="B293" s="665" t="s">
        <v>3299</v>
      </c>
      <c r="C293" s="4" t="s">
        <v>4365</v>
      </c>
      <c r="D293" s="4" t="s">
        <v>4323</v>
      </c>
      <c r="E293" s="665" t="s">
        <v>4365</v>
      </c>
      <c r="F293" s="1">
        <v>5</v>
      </c>
      <c r="G293" s="1">
        <v>1</v>
      </c>
      <c r="H293" s="4" t="s">
        <v>4304</v>
      </c>
    </row>
    <row r="294" spans="1:9" x14ac:dyDescent="0.15">
      <c r="A294" s="1">
        <v>149</v>
      </c>
      <c r="B294" s="665" t="s">
        <v>4401</v>
      </c>
      <c r="C294" s="4" t="s">
        <v>4365</v>
      </c>
      <c r="D294" s="4" t="s">
        <v>4453</v>
      </c>
      <c r="E294" s="665" t="s">
        <v>4365</v>
      </c>
      <c r="F294" s="1">
        <v>20</v>
      </c>
      <c r="G294" s="1">
        <v>2</v>
      </c>
      <c r="H294" s="4" t="s">
        <v>4334</v>
      </c>
    </row>
    <row r="295" spans="1:9" x14ac:dyDescent="0.15">
      <c r="A295" s="1">
        <v>150</v>
      </c>
      <c r="B295" s="665" t="s">
        <v>4632</v>
      </c>
      <c r="C295" s="4" t="s">
        <v>4365</v>
      </c>
      <c r="D295" s="4" t="s">
        <v>4453</v>
      </c>
      <c r="E295" s="665" t="s">
        <v>4365</v>
      </c>
      <c r="F295" s="1">
        <v>10</v>
      </c>
      <c r="G295" s="1">
        <v>1</v>
      </c>
      <c r="H295" s="4" t="s">
        <v>4304</v>
      </c>
    </row>
    <row r="296" spans="1:9" x14ac:dyDescent="0.15">
      <c r="A296" s="1">
        <v>153</v>
      </c>
      <c r="B296" s="665" t="s">
        <v>2551</v>
      </c>
      <c r="C296" s="4" t="s">
        <v>4365</v>
      </c>
      <c r="D296" s="4" t="s">
        <v>4323</v>
      </c>
      <c r="E296" s="665" t="s">
        <v>4365</v>
      </c>
      <c r="F296" s="1">
        <v>10</v>
      </c>
      <c r="G296" s="1">
        <v>0</v>
      </c>
    </row>
    <row r="297" spans="1:9" x14ac:dyDescent="0.15">
      <c r="A297" s="1">
        <v>154</v>
      </c>
      <c r="B297" s="666" t="s">
        <v>4364</v>
      </c>
      <c r="C297" s="4" t="s">
        <v>4365</v>
      </c>
      <c r="D297" s="4" t="s">
        <v>4323</v>
      </c>
      <c r="E297" s="665" t="s">
        <v>4365</v>
      </c>
      <c r="F297" s="1">
        <v>10</v>
      </c>
      <c r="G297" s="1">
        <v>1</v>
      </c>
      <c r="H297" s="4" t="s">
        <v>4304</v>
      </c>
    </row>
    <row r="298" spans="1:9" x14ac:dyDescent="0.15">
      <c r="A298" s="1">
        <v>155</v>
      </c>
      <c r="B298" s="666" t="s">
        <v>4371</v>
      </c>
      <c r="C298" s="4" t="s">
        <v>4365</v>
      </c>
      <c r="D298" s="4" t="s">
        <v>4323</v>
      </c>
      <c r="E298" s="665" t="s">
        <v>4365</v>
      </c>
      <c r="F298" s="1">
        <v>5</v>
      </c>
      <c r="G298" s="1">
        <v>0</v>
      </c>
    </row>
    <row r="299" spans="1:9" x14ac:dyDescent="0.15">
      <c r="A299" s="1">
        <v>158</v>
      </c>
      <c r="B299" s="666" t="s">
        <v>4387</v>
      </c>
      <c r="C299" s="4" t="s">
        <v>4365</v>
      </c>
      <c r="D299" s="4" t="s">
        <v>4453</v>
      </c>
      <c r="E299" s="665" t="s">
        <v>4365</v>
      </c>
      <c r="F299" s="1">
        <v>5</v>
      </c>
      <c r="G299" s="1">
        <v>0</v>
      </c>
    </row>
    <row r="300" spans="1:9" x14ac:dyDescent="0.15">
      <c r="A300" s="1">
        <v>159</v>
      </c>
      <c r="B300" s="666" t="s">
        <v>4397</v>
      </c>
      <c r="C300" s="4" t="s">
        <v>4365</v>
      </c>
      <c r="D300" s="4" t="s">
        <v>4453</v>
      </c>
      <c r="E300" s="665" t="s">
        <v>4365</v>
      </c>
      <c r="F300" s="1">
        <v>5</v>
      </c>
      <c r="G300" s="1">
        <v>1</v>
      </c>
      <c r="H300" s="4" t="s">
        <v>4304</v>
      </c>
    </row>
    <row r="301" spans="1:9" x14ac:dyDescent="0.15">
      <c r="A301" s="1">
        <v>160</v>
      </c>
      <c r="B301" s="666" t="s">
        <v>4398</v>
      </c>
      <c r="C301" s="4" t="s">
        <v>4365</v>
      </c>
      <c r="D301" s="4" t="s">
        <v>4453</v>
      </c>
      <c r="E301" s="665" t="s">
        <v>4365</v>
      </c>
      <c r="F301" s="1">
        <v>10</v>
      </c>
      <c r="G301" s="1">
        <v>0</v>
      </c>
    </row>
    <row r="302" spans="1:9" x14ac:dyDescent="0.15">
      <c r="A302" s="1">
        <v>161</v>
      </c>
      <c r="B302" s="666" t="s">
        <v>4399</v>
      </c>
      <c r="C302" s="4" t="s">
        <v>4365</v>
      </c>
      <c r="D302" s="4" t="s">
        <v>4323</v>
      </c>
      <c r="E302" s="665" t="s">
        <v>4365</v>
      </c>
      <c r="F302" s="1">
        <v>5</v>
      </c>
      <c r="G302" s="1">
        <v>1</v>
      </c>
      <c r="H302" s="4" t="s">
        <v>4304</v>
      </c>
    </row>
    <row r="303" spans="1:9" x14ac:dyDescent="0.15">
      <c r="A303" s="1">
        <v>163</v>
      </c>
      <c r="B303" s="666" t="s">
        <v>4400</v>
      </c>
      <c r="C303" s="4" t="s">
        <v>4365</v>
      </c>
      <c r="D303" s="4" t="s">
        <v>4323</v>
      </c>
      <c r="E303" s="665" t="s">
        <v>4365</v>
      </c>
      <c r="F303" s="1">
        <v>10</v>
      </c>
      <c r="G303" s="1">
        <v>1</v>
      </c>
      <c r="H303" s="4" t="s">
        <v>4304</v>
      </c>
    </row>
    <row r="304" spans="1:9" x14ac:dyDescent="0.15">
      <c r="A304" s="1">
        <v>163</v>
      </c>
      <c r="B304" s="666" t="s">
        <v>4402</v>
      </c>
      <c r="C304" s="4" t="s">
        <v>4365</v>
      </c>
      <c r="D304" s="4" t="s">
        <v>4453</v>
      </c>
      <c r="E304" s="665" t="s">
        <v>4365</v>
      </c>
      <c r="F304" s="1">
        <v>10</v>
      </c>
      <c r="G304" s="1">
        <v>1</v>
      </c>
      <c r="H304" s="4" t="s">
        <v>4304</v>
      </c>
    </row>
    <row r="305" spans="1:8" x14ac:dyDescent="0.15">
      <c r="A305" s="1">
        <v>164</v>
      </c>
      <c r="B305" s="666" t="s">
        <v>4410</v>
      </c>
      <c r="C305" s="4" t="s">
        <v>4365</v>
      </c>
      <c r="D305" s="4" t="s">
        <v>4323</v>
      </c>
      <c r="E305" s="665" t="s">
        <v>4365</v>
      </c>
      <c r="F305" s="1">
        <v>5</v>
      </c>
      <c r="G305" s="1">
        <v>0</v>
      </c>
    </row>
    <row r="306" spans="1:8" x14ac:dyDescent="0.15">
      <c r="A306" s="1">
        <v>165</v>
      </c>
      <c r="B306" s="666" t="s">
        <v>4412</v>
      </c>
      <c r="C306" s="4" t="s">
        <v>4365</v>
      </c>
      <c r="D306" s="4" t="s">
        <v>4417</v>
      </c>
      <c r="E306" s="665" t="s">
        <v>4365</v>
      </c>
      <c r="F306" s="1">
        <v>20</v>
      </c>
      <c r="G306" s="1">
        <v>1</v>
      </c>
      <c r="H306" s="4" t="s">
        <v>4304</v>
      </c>
    </row>
    <row r="307" spans="1:8" x14ac:dyDescent="0.15">
      <c r="A307" s="1">
        <v>167</v>
      </c>
      <c r="B307" s="666" t="s">
        <v>4416</v>
      </c>
      <c r="C307" s="4" t="s">
        <v>4365</v>
      </c>
      <c r="D307" s="4" t="s">
        <v>4432</v>
      </c>
      <c r="E307" s="665" t="s">
        <v>4365</v>
      </c>
      <c r="F307" s="1">
        <v>5</v>
      </c>
      <c r="G307" s="1">
        <v>1</v>
      </c>
      <c r="H307" s="4" t="s">
        <v>4304</v>
      </c>
    </row>
    <row r="308" spans="1:8" x14ac:dyDescent="0.15">
      <c r="A308" s="1">
        <v>168</v>
      </c>
      <c r="B308" s="666" t="s">
        <v>4420</v>
      </c>
      <c r="C308" s="4" t="s">
        <v>4365</v>
      </c>
      <c r="D308" s="4" t="s">
        <v>4453</v>
      </c>
      <c r="E308" s="665" t="s">
        <v>4365</v>
      </c>
      <c r="F308" s="1">
        <v>5</v>
      </c>
      <c r="G308" s="1">
        <v>0</v>
      </c>
    </row>
    <row r="309" spans="1:8" x14ac:dyDescent="0.15">
      <c r="A309" s="1">
        <v>169</v>
      </c>
      <c r="B309" s="666" t="s">
        <v>4421</v>
      </c>
      <c r="C309" s="4" t="s">
        <v>4365</v>
      </c>
      <c r="D309" s="4" t="s">
        <v>4453</v>
      </c>
      <c r="E309" s="665" t="s">
        <v>4365</v>
      </c>
      <c r="F309" s="1">
        <v>5</v>
      </c>
      <c r="G309" s="1">
        <v>0</v>
      </c>
    </row>
    <row r="310" spans="1:8" x14ac:dyDescent="0.15">
      <c r="A310" s="1">
        <v>170</v>
      </c>
      <c r="B310" s="666" t="s">
        <v>4423</v>
      </c>
      <c r="C310" s="4" t="s">
        <v>4365</v>
      </c>
      <c r="D310" s="4" t="s">
        <v>4323</v>
      </c>
      <c r="E310" s="665" t="s">
        <v>4365</v>
      </c>
      <c r="F310" s="1">
        <v>5</v>
      </c>
      <c r="G310" s="1">
        <v>0</v>
      </c>
    </row>
    <row r="311" spans="1:8" x14ac:dyDescent="0.15">
      <c r="A311" s="1">
        <v>171</v>
      </c>
      <c r="B311" s="666" t="s">
        <v>4424</v>
      </c>
      <c r="C311" s="4" t="s">
        <v>4365</v>
      </c>
      <c r="D311" s="4" t="s">
        <v>4323</v>
      </c>
      <c r="E311" s="665" t="s">
        <v>4365</v>
      </c>
      <c r="F311" s="1">
        <v>10</v>
      </c>
      <c r="G311" s="1">
        <v>0</v>
      </c>
    </row>
    <row r="312" spans="1:8" x14ac:dyDescent="0.15">
      <c r="A312" s="1">
        <v>172</v>
      </c>
      <c r="B312" s="666" t="s">
        <v>4425</v>
      </c>
      <c r="C312" s="4" t="s">
        <v>4365</v>
      </c>
      <c r="D312" s="4" t="s">
        <v>4453</v>
      </c>
      <c r="E312" s="665" t="s">
        <v>4365</v>
      </c>
      <c r="F312" s="1">
        <v>5</v>
      </c>
      <c r="G312" s="1">
        <v>1</v>
      </c>
      <c r="H312" s="4" t="s">
        <v>4304</v>
      </c>
    </row>
    <row r="313" spans="1:8" x14ac:dyDescent="0.15">
      <c r="A313" s="1">
        <v>174</v>
      </c>
      <c r="B313" s="666" t="s">
        <v>4426</v>
      </c>
      <c r="C313" s="4" t="s">
        <v>4365</v>
      </c>
      <c r="D313" s="4" t="s">
        <v>4323</v>
      </c>
      <c r="E313" s="665" t="s">
        <v>4365</v>
      </c>
      <c r="F313" s="1">
        <v>10</v>
      </c>
      <c r="G313" s="1">
        <v>1</v>
      </c>
      <c r="H313" s="4" t="s">
        <v>4304</v>
      </c>
    </row>
    <row r="314" spans="1:8" x14ac:dyDescent="0.15">
      <c r="A314" s="1">
        <v>174</v>
      </c>
      <c r="B314" s="666" t="s">
        <v>4430</v>
      </c>
      <c r="C314" s="4" t="s">
        <v>4365</v>
      </c>
      <c r="D314" s="4" t="s">
        <v>4453</v>
      </c>
      <c r="E314" s="665" t="s">
        <v>4365</v>
      </c>
      <c r="F314" s="1">
        <v>7</v>
      </c>
      <c r="G314" s="1">
        <v>1</v>
      </c>
      <c r="H314" s="4" t="s">
        <v>4304</v>
      </c>
    </row>
    <row r="315" spans="1:8" x14ac:dyDescent="0.15">
      <c r="A315" s="1">
        <v>175</v>
      </c>
      <c r="B315" s="666" t="s">
        <v>4431</v>
      </c>
      <c r="C315" s="4" t="s">
        <v>4365</v>
      </c>
      <c r="D315" s="4" t="s">
        <v>4453</v>
      </c>
      <c r="E315" s="665" t="s">
        <v>4365</v>
      </c>
      <c r="F315" s="1">
        <v>5</v>
      </c>
      <c r="G315" s="1">
        <v>1</v>
      </c>
      <c r="H315" s="4" t="s">
        <v>4304</v>
      </c>
    </row>
    <row r="316" spans="1:8" x14ac:dyDescent="0.15">
      <c r="A316" s="1">
        <v>176</v>
      </c>
      <c r="B316" s="666" t="s">
        <v>4434</v>
      </c>
      <c r="C316" s="4" t="s">
        <v>4365</v>
      </c>
      <c r="D316" s="4" t="s">
        <v>4453</v>
      </c>
      <c r="E316" s="665" t="s">
        <v>4365</v>
      </c>
      <c r="F316" s="1">
        <v>10</v>
      </c>
      <c r="G316" s="1">
        <v>1</v>
      </c>
      <c r="H316" s="4" t="s">
        <v>4334</v>
      </c>
    </row>
    <row r="317" spans="1:8" x14ac:dyDescent="0.15">
      <c r="A317" s="1">
        <v>177</v>
      </c>
      <c r="B317" s="666" t="s">
        <v>4436</v>
      </c>
      <c r="C317" s="4" t="s">
        <v>4365</v>
      </c>
      <c r="D317" s="4" t="s">
        <v>4453</v>
      </c>
      <c r="E317" s="665" t="s">
        <v>4365</v>
      </c>
      <c r="F317" s="1">
        <v>5</v>
      </c>
      <c r="G317" s="1">
        <v>1</v>
      </c>
      <c r="H317" s="4" t="s">
        <v>4304</v>
      </c>
    </row>
    <row r="318" spans="1:8" x14ac:dyDescent="0.15">
      <c r="A318" s="1">
        <v>178</v>
      </c>
      <c r="B318" s="666" t="s">
        <v>4437</v>
      </c>
      <c r="C318" s="4" t="s">
        <v>4365</v>
      </c>
      <c r="D318" s="4" t="s">
        <v>4323</v>
      </c>
      <c r="E318" s="665" t="s">
        <v>4365</v>
      </c>
      <c r="F318" s="1">
        <v>5</v>
      </c>
      <c r="G318" s="1">
        <v>1</v>
      </c>
      <c r="H318" s="4" t="s">
        <v>4304</v>
      </c>
    </row>
    <row r="319" spans="1:8" x14ac:dyDescent="0.15">
      <c r="A319" s="1">
        <v>179</v>
      </c>
      <c r="B319" s="666" t="s">
        <v>4438</v>
      </c>
      <c r="C319" s="4" t="s">
        <v>4365</v>
      </c>
      <c r="D319" s="4" t="s">
        <v>4323</v>
      </c>
      <c r="E319" s="665" t="s">
        <v>4365</v>
      </c>
      <c r="F319" s="1">
        <v>5</v>
      </c>
      <c r="G319" s="1">
        <v>1</v>
      </c>
      <c r="H319" s="4" t="s">
        <v>4304</v>
      </c>
    </row>
    <row r="320" spans="1:8" x14ac:dyDescent="0.15">
      <c r="A320" s="1">
        <v>180</v>
      </c>
      <c r="B320" s="666" t="s">
        <v>4439</v>
      </c>
      <c r="C320" s="4" t="s">
        <v>4365</v>
      </c>
      <c r="D320" s="4" t="s">
        <v>4323</v>
      </c>
      <c r="E320" s="665" t="s">
        <v>4365</v>
      </c>
      <c r="F320" s="1">
        <v>5</v>
      </c>
      <c r="G320" s="1">
        <v>0</v>
      </c>
    </row>
    <row r="321" spans="1:10" x14ac:dyDescent="0.15">
      <c r="A321" s="1">
        <v>180</v>
      </c>
      <c r="B321" s="666" t="s">
        <v>4440</v>
      </c>
      <c r="C321" s="4" t="s">
        <v>4365</v>
      </c>
      <c r="D321" s="4" t="s">
        <v>4323</v>
      </c>
      <c r="E321" s="665" t="s">
        <v>4365</v>
      </c>
      <c r="F321" s="1">
        <v>5</v>
      </c>
      <c r="G321" s="1">
        <v>0</v>
      </c>
      <c r="J321" s="4" t="s">
        <v>4411</v>
      </c>
    </row>
    <row r="322" spans="1:10" x14ac:dyDescent="0.15">
      <c r="A322" s="1">
        <v>181</v>
      </c>
      <c r="B322" s="666" t="s">
        <v>4441</v>
      </c>
      <c r="C322" s="4" t="s">
        <v>4365</v>
      </c>
      <c r="D322" s="4" t="s">
        <v>4323</v>
      </c>
      <c r="E322" s="665" t="s">
        <v>4365</v>
      </c>
      <c r="F322" s="1">
        <v>10</v>
      </c>
      <c r="G322" s="1">
        <v>2</v>
      </c>
      <c r="H322" s="4" t="s">
        <v>4559</v>
      </c>
    </row>
    <row r="323" spans="1:10" x14ac:dyDescent="0.15">
      <c r="A323" s="1">
        <v>181</v>
      </c>
      <c r="B323" s="666" t="s">
        <v>4442</v>
      </c>
      <c r="C323" s="4" t="s">
        <v>4365</v>
      </c>
      <c r="D323" s="4" t="s">
        <v>4323</v>
      </c>
      <c r="E323" s="665" t="s">
        <v>4365</v>
      </c>
      <c r="F323" s="1">
        <v>5</v>
      </c>
      <c r="G323" s="1">
        <v>0</v>
      </c>
    </row>
    <row r="324" spans="1:10" x14ac:dyDescent="0.15">
      <c r="A324" s="1">
        <v>182</v>
      </c>
      <c r="B324" s="666" t="s">
        <v>4443</v>
      </c>
      <c r="C324" s="4" t="s">
        <v>4365</v>
      </c>
      <c r="D324" s="4" t="s">
        <v>4323</v>
      </c>
      <c r="E324" s="665" t="s">
        <v>4365</v>
      </c>
      <c r="F324" s="1">
        <v>5</v>
      </c>
      <c r="G324" s="1">
        <v>1</v>
      </c>
      <c r="H324" s="4" t="s">
        <v>4304</v>
      </c>
    </row>
    <row r="325" spans="1:10" x14ac:dyDescent="0.15">
      <c r="A325" s="1">
        <v>182</v>
      </c>
      <c r="B325" s="666" t="s">
        <v>4444</v>
      </c>
      <c r="C325" s="4" t="s">
        <v>4365</v>
      </c>
      <c r="D325" s="4" t="s">
        <v>4323</v>
      </c>
      <c r="E325" s="665" t="s">
        <v>4365</v>
      </c>
      <c r="F325" s="1">
        <v>5</v>
      </c>
      <c r="G325" s="1">
        <v>0</v>
      </c>
    </row>
    <row r="326" spans="1:10" x14ac:dyDescent="0.15">
      <c r="A326" s="1">
        <v>183</v>
      </c>
      <c r="B326" s="666" t="s">
        <v>4445</v>
      </c>
      <c r="C326" s="4" t="s">
        <v>4365</v>
      </c>
      <c r="D326" s="4" t="s">
        <v>4323</v>
      </c>
      <c r="E326" s="665" t="s">
        <v>4365</v>
      </c>
      <c r="F326" s="1">
        <v>7</v>
      </c>
      <c r="G326" s="1">
        <v>1</v>
      </c>
      <c r="H326" s="4" t="s">
        <v>4304</v>
      </c>
    </row>
    <row r="327" spans="1:10" x14ac:dyDescent="0.15">
      <c r="A327" s="1">
        <v>183</v>
      </c>
      <c r="B327" s="666" t="s">
        <v>4446</v>
      </c>
      <c r="C327" s="4" t="s">
        <v>4365</v>
      </c>
      <c r="D327" s="4" t="s">
        <v>4323</v>
      </c>
      <c r="E327" s="665" t="s">
        <v>4365</v>
      </c>
      <c r="F327" s="1">
        <v>5</v>
      </c>
      <c r="G327" s="1">
        <v>1</v>
      </c>
      <c r="H327" s="4" t="s">
        <v>4304</v>
      </c>
    </row>
    <row r="328" spans="1:10" x14ac:dyDescent="0.15">
      <c r="A328" s="1">
        <v>184</v>
      </c>
      <c r="B328" s="666" t="s">
        <v>4447</v>
      </c>
      <c r="C328" s="4" t="s">
        <v>4365</v>
      </c>
      <c r="D328" s="4" t="s">
        <v>4323</v>
      </c>
      <c r="E328" s="665" t="s">
        <v>4365</v>
      </c>
      <c r="F328" s="1">
        <v>5</v>
      </c>
      <c r="G328" s="1">
        <v>1</v>
      </c>
      <c r="H328" s="4" t="s">
        <v>4304</v>
      </c>
    </row>
    <row r="329" spans="1:10" x14ac:dyDescent="0.15">
      <c r="A329" s="1">
        <v>184</v>
      </c>
      <c r="B329" s="666" t="s">
        <v>4449</v>
      </c>
      <c r="C329" s="4" t="s">
        <v>4365</v>
      </c>
      <c r="D329" s="4" t="s">
        <v>4453</v>
      </c>
      <c r="E329" s="665" t="s">
        <v>4365</v>
      </c>
      <c r="F329" s="1">
        <v>10</v>
      </c>
      <c r="G329" s="1">
        <v>2</v>
      </c>
      <c r="H329" s="4" t="s">
        <v>4334</v>
      </c>
    </row>
    <row r="330" spans="1:10" x14ac:dyDescent="0.15">
      <c r="A330" s="1">
        <v>185</v>
      </c>
      <c r="B330" s="666" t="s">
        <v>4450</v>
      </c>
      <c r="C330" s="4" t="s">
        <v>4365</v>
      </c>
      <c r="D330" s="4" t="s">
        <v>4323</v>
      </c>
      <c r="E330" s="665" t="s">
        <v>4365</v>
      </c>
      <c r="F330" s="1">
        <v>5</v>
      </c>
      <c r="G330" s="1">
        <v>0</v>
      </c>
    </row>
    <row r="331" spans="1:10" x14ac:dyDescent="0.15">
      <c r="A331" s="1">
        <v>186</v>
      </c>
      <c r="B331" s="666" t="s">
        <v>4451</v>
      </c>
      <c r="C331" s="4" t="s">
        <v>4365</v>
      </c>
      <c r="D331" s="4" t="s">
        <v>4323</v>
      </c>
      <c r="E331" s="665" t="s">
        <v>4365</v>
      </c>
      <c r="F331" s="1">
        <v>5</v>
      </c>
      <c r="G331" s="1">
        <v>2</v>
      </c>
      <c r="H331" s="4" t="s">
        <v>4559</v>
      </c>
    </row>
    <row r="332" spans="1:10" x14ac:dyDescent="0.15">
      <c r="A332" s="1">
        <v>188</v>
      </c>
      <c r="B332" s="666" t="s">
        <v>4452</v>
      </c>
      <c r="C332" s="4" t="s">
        <v>4365</v>
      </c>
      <c r="D332" s="4" t="s">
        <v>4417</v>
      </c>
      <c r="E332" s="665" t="s">
        <v>4365</v>
      </c>
      <c r="F332" s="1">
        <v>10</v>
      </c>
      <c r="G332" s="1">
        <v>1</v>
      </c>
      <c r="H332" s="4" t="s">
        <v>4304</v>
      </c>
    </row>
    <row r="333" spans="1:10" x14ac:dyDescent="0.15">
      <c r="A333" s="1">
        <v>188</v>
      </c>
      <c r="B333" s="666" t="s">
        <v>4454</v>
      </c>
      <c r="C333" s="4" t="s">
        <v>4365</v>
      </c>
      <c r="D333" s="4" t="s">
        <v>4323</v>
      </c>
      <c r="E333" s="665" t="s">
        <v>4365</v>
      </c>
      <c r="F333" s="1">
        <v>5</v>
      </c>
      <c r="G333" s="1">
        <v>0</v>
      </c>
    </row>
    <row r="334" spans="1:10" x14ac:dyDescent="0.15">
      <c r="A334" s="1">
        <v>189</v>
      </c>
      <c r="B334" s="666" t="s">
        <v>4456</v>
      </c>
      <c r="C334" s="4" t="s">
        <v>4365</v>
      </c>
      <c r="D334" s="4" t="s">
        <v>4417</v>
      </c>
      <c r="E334" s="665" t="s">
        <v>4365</v>
      </c>
      <c r="F334" s="1">
        <v>10</v>
      </c>
      <c r="G334" s="1">
        <v>0</v>
      </c>
      <c r="H334" s="4" t="s">
        <v>4304</v>
      </c>
      <c r="I334" s="4"/>
    </row>
    <row r="335" spans="1:10" x14ac:dyDescent="0.15">
      <c r="A335" s="1">
        <v>189</v>
      </c>
      <c r="B335" s="666" t="s">
        <v>4458</v>
      </c>
      <c r="C335" s="4" t="s">
        <v>4365</v>
      </c>
      <c r="D335" s="4" t="s">
        <v>4323</v>
      </c>
      <c r="E335" s="665" t="s">
        <v>4365</v>
      </c>
      <c r="F335" s="1">
        <v>5</v>
      </c>
      <c r="G335" s="1">
        <v>0</v>
      </c>
    </row>
    <row r="336" spans="1:10" x14ac:dyDescent="0.15">
      <c r="A336" s="1">
        <v>190</v>
      </c>
      <c r="B336" s="666" t="s">
        <v>4459</v>
      </c>
      <c r="C336" s="4" t="s">
        <v>4365</v>
      </c>
      <c r="D336" s="4" t="s">
        <v>4417</v>
      </c>
      <c r="E336" s="665" t="s">
        <v>4365</v>
      </c>
      <c r="F336" s="1">
        <v>10</v>
      </c>
      <c r="G336" s="1">
        <v>0</v>
      </c>
    </row>
    <row r="337" spans="1:9" x14ac:dyDescent="0.15">
      <c r="A337" s="1">
        <v>190</v>
      </c>
      <c r="B337" s="666" t="s">
        <v>4461</v>
      </c>
      <c r="C337" s="4" t="s">
        <v>4365</v>
      </c>
      <c r="D337" s="4" t="s">
        <v>4323</v>
      </c>
      <c r="E337" s="665" t="s">
        <v>4365</v>
      </c>
      <c r="F337" s="1">
        <v>5</v>
      </c>
      <c r="G337" s="1">
        <v>1</v>
      </c>
      <c r="H337" s="4" t="s">
        <v>4304</v>
      </c>
    </row>
    <row r="338" spans="1:9" x14ac:dyDescent="0.15">
      <c r="A338" s="1">
        <v>191</v>
      </c>
      <c r="B338" s="666" t="s">
        <v>4466</v>
      </c>
      <c r="C338" s="4" t="s">
        <v>4365</v>
      </c>
      <c r="D338" s="4" t="s">
        <v>4453</v>
      </c>
      <c r="E338" s="665" t="s">
        <v>4365</v>
      </c>
      <c r="F338" s="1">
        <v>10</v>
      </c>
      <c r="G338" s="1">
        <v>0</v>
      </c>
    </row>
    <row r="339" spans="1:9" x14ac:dyDescent="0.15">
      <c r="A339" s="1">
        <v>193</v>
      </c>
      <c r="B339" s="666" t="s">
        <v>4467</v>
      </c>
      <c r="C339" s="4" t="s">
        <v>4365</v>
      </c>
      <c r="D339" s="4" t="s">
        <v>4417</v>
      </c>
      <c r="E339" s="665" t="s">
        <v>4365</v>
      </c>
      <c r="F339" s="1">
        <v>10</v>
      </c>
      <c r="G339" s="1">
        <v>1</v>
      </c>
      <c r="H339" s="4" t="s">
        <v>4304</v>
      </c>
    </row>
    <row r="340" spans="1:9" x14ac:dyDescent="0.15">
      <c r="A340" s="1">
        <v>194</v>
      </c>
      <c r="B340" s="666" t="s">
        <v>4468</v>
      </c>
      <c r="C340" s="4" t="s">
        <v>4365</v>
      </c>
      <c r="D340" s="4" t="s">
        <v>4453</v>
      </c>
      <c r="E340" s="665" t="s">
        <v>4365</v>
      </c>
      <c r="F340" s="1">
        <v>5</v>
      </c>
      <c r="G340" s="1">
        <v>0</v>
      </c>
      <c r="H340" s="4" t="s">
        <v>3396</v>
      </c>
    </row>
    <row r="341" spans="1:9" x14ac:dyDescent="0.15">
      <c r="A341" s="1">
        <v>196</v>
      </c>
      <c r="B341" s="666" t="s">
        <v>4469</v>
      </c>
      <c r="C341" s="4" t="s">
        <v>4365</v>
      </c>
      <c r="D341" s="4" t="s">
        <v>4323</v>
      </c>
      <c r="E341" s="665" t="s">
        <v>4365</v>
      </c>
      <c r="F341" s="1">
        <v>5</v>
      </c>
      <c r="G341" s="1">
        <v>0</v>
      </c>
      <c r="H341" s="4"/>
    </row>
    <row r="342" spans="1:9" x14ac:dyDescent="0.15">
      <c r="A342" s="1">
        <v>197</v>
      </c>
      <c r="B342" s="666" t="s">
        <v>4470</v>
      </c>
      <c r="C342" s="4" t="s">
        <v>4365</v>
      </c>
      <c r="D342" s="4" t="s">
        <v>4323</v>
      </c>
      <c r="E342" s="665" t="s">
        <v>4365</v>
      </c>
      <c r="F342" s="1">
        <v>5</v>
      </c>
      <c r="G342" s="1">
        <v>0</v>
      </c>
    </row>
    <row r="343" spans="1:9" x14ac:dyDescent="0.15">
      <c r="A343" s="1">
        <v>198</v>
      </c>
      <c r="B343" s="666" t="s">
        <v>4471</v>
      </c>
      <c r="C343" s="4" t="s">
        <v>4365</v>
      </c>
      <c r="D343" s="4" t="s">
        <v>4323</v>
      </c>
      <c r="E343" s="665" t="s">
        <v>4365</v>
      </c>
      <c r="F343" s="1">
        <v>5</v>
      </c>
      <c r="G343" s="1">
        <v>1</v>
      </c>
      <c r="H343" s="4" t="s">
        <v>4304</v>
      </c>
    </row>
    <row r="344" spans="1:9" x14ac:dyDescent="0.15">
      <c r="A344" s="1">
        <v>199</v>
      </c>
      <c r="B344" s="666" t="s">
        <v>4472</v>
      </c>
      <c r="C344" s="4" t="s">
        <v>4365</v>
      </c>
      <c r="D344" s="4" t="s">
        <v>4323</v>
      </c>
      <c r="E344" s="665" t="s">
        <v>4365</v>
      </c>
      <c r="F344" s="1">
        <v>5</v>
      </c>
      <c r="G344" s="1">
        <v>0</v>
      </c>
    </row>
    <row r="345" spans="1:9" x14ac:dyDescent="0.15">
      <c r="A345" s="1">
        <v>200</v>
      </c>
      <c r="B345" s="666" t="s">
        <v>4474</v>
      </c>
      <c r="C345" s="4" t="s">
        <v>4365</v>
      </c>
      <c r="D345" s="4" t="s">
        <v>4323</v>
      </c>
      <c r="E345" s="665" t="s">
        <v>4365</v>
      </c>
      <c r="F345" s="1">
        <v>5</v>
      </c>
      <c r="G345" s="1">
        <v>0</v>
      </c>
    </row>
    <row r="346" spans="1:9" x14ac:dyDescent="0.15">
      <c r="A346" s="1">
        <v>201</v>
      </c>
      <c r="B346" s="666" t="s">
        <v>4475</v>
      </c>
      <c r="C346" s="4" t="s">
        <v>4365</v>
      </c>
      <c r="D346" s="4" t="s">
        <v>4323</v>
      </c>
      <c r="E346" s="665" t="s">
        <v>4365</v>
      </c>
      <c r="F346" s="1">
        <v>5</v>
      </c>
      <c r="G346" s="1">
        <v>0</v>
      </c>
    </row>
    <row r="347" spans="1:9" x14ac:dyDescent="0.15">
      <c r="A347" s="1">
        <v>202</v>
      </c>
      <c r="B347" s="666" t="s">
        <v>4476</v>
      </c>
      <c r="C347" s="4" t="s">
        <v>4365</v>
      </c>
      <c r="D347" s="4" t="s">
        <v>4323</v>
      </c>
      <c r="E347" s="665" t="s">
        <v>4365</v>
      </c>
      <c r="F347" s="1">
        <v>10</v>
      </c>
      <c r="G347" s="1">
        <v>0</v>
      </c>
    </row>
    <row r="348" spans="1:9" x14ac:dyDescent="0.15">
      <c r="A348" s="1">
        <v>203</v>
      </c>
      <c r="B348" s="666" t="s">
        <v>4477</v>
      </c>
      <c r="C348" s="4" t="s">
        <v>4365</v>
      </c>
      <c r="D348" s="4" t="s">
        <v>4323</v>
      </c>
      <c r="E348" s="665" t="s">
        <v>4365</v>
      </c>
      <c r="F348" s="1">
        <v>5</v>
      </c>
      <c r="G348" s="1">
        <v>0</v>
      </c>
      <c r="I348" s="4" t="s">
        <v>4593</v>
      </c>
    </row>
    <row r="349" spans="1:9" x14ac:dyDescent="0.15">
      <c r="A349" s="1">
        <v>204</v>
      </c>
      <c r="B349" s="666" t="s">
        <v>4478</v>
      </c>
      <c r="C349" s="4" t="s">
        <v>4365</v>
      </c>
      <c r="D349" s="4" t="s">
        <v>4323</v>
      </c>
      <c r="E349" s="665" t="s">
        <v>4365</v>
      </c>
      <c r="F349" s="1">
        <v>10</v>
      </c>
      <c r="G349" s="1">
        <v>0</v>
      </c>
      <c r="I349" s="1" t="s">
        <v>3396</v>
      </c>
    </row>
    <row r="350" spans="1:9" x14ac:dyDescent="0.15">
      <c r="A350" s="1">
        <v>205</v>
      </c>
      <c r="B350" s="666" t="s">
        <v>4479</v>
      </c>
      <c r="C350" s="4" t="s">
        <v>4365</v>
      </c>
      <c r="D350" s="4" t="s">
        <v>4323</v>
      </c>
      <c r="E350" s="665" t="s">
        <v>4365</v>
      </c>
      <c r="F350" s="1">
        <v>5</v>
      </c>
      <c r="G350" s="1">
        <v>1</v>
      </c>
      <c r="H350" s="4" t="s">
        <v>4304</v>
      </c>
    </row>
    <row r="351" spans="1:9" x14ac:dyDescent="0.15">
      <c r="A351" s="1">
        <v>206</v>
      </c>
      <c r="B351" s="666" t="s">
        <v>4480</v>
      </c>
      <c r="C351" s="4" t="s">
        <v>4365</v>
      </c>
      <c r="D351" s="4" t="s">
        <v>4323</v>
      </c>
      <c r="E351" s="665" t="s">
        <v>4365</v>
      </c>
      <c r="F351" s="1">
        <v>5</v>
      </c>
      <c r="G351" s="1">
        <v>0</v>
      </c>
    </row>
    <row r="352" spans="1:9" x14ac:dyDescent="0.15">
      <c r="A352" s="1">
        <v>207</v>
      </c>
      <c r="B352" s="666" t="s">
        <v>1167</v>
      </c>
      <c r="C352" s="4" t="s">
        <v>4365</v>
      </c>
      <c r="D352" s="4" t="s">
        <v>4323</v>
      </c>
      <c r="E352" s="665" t="s">
        <v>4365</v>
      </c>
      <c r="F352" s="1">
        <v>5</v>
      </c>
      <c r="G352" s="1">
        <v>0</v>
      </c>
    </row>
    <row r="353" spans="1:9" x14ac:dyDescent="0.15">
      <c r="A353" s="1">
        <v>212</v>
      </c>
      <c r="B353" s="666" t="s">
        <v>3248</v>
      </c>
      <c r="C353" s="4" t="s">
        <v>4365</v>
      </c>
      <c r="D353" s="4" t="s">
        <v>4453</v>
      </c>
      <c r="E353" s="665" t="s">
        <v>4365</v>
      </c>
      <c r="F353" s="1">
        <v>5</v>
      </c>
      <c r="G353" s="1">
        <v>0</v>
      </c>
    </row>
    <row r="354" spans="1:9" x14ac:dyDescent="0.15">
      <c r="A354" s="1">
        <v>213</v>
      </c>
      <c r="B354" s="666" t="s">
        <v>4481</v>
      </c>
      <c r="C354" s="4" t="s">
        <v>4365</v>
      </c>
      <c r="D354" s="4" t="s">
        <v>4453</v>
      </c>
      <c r="E354" s="665" t="s">
        <v>4365</v>
      </c>
      <c r="F354" s="1">
        <v>10</v>
      </c>
      <c r="G354" s="1">
        <v>1</v>
      </c>
      <c r="H354" s="4" t="s">
        <v>4304</v>
      </c>
    </row>
    <row r="355" spans="1:9" x14ac:dyDescent="0.15">
      <c r="A355" s="1">
        <v>214</v>
      </c>
      <c r="B355" s="666" t="s">
        <v>4483</v>
      </c>
      <c r="C355" s="4" t="s">
        <v>4365</v>
      </c>
      <c r="D355" s="4" t="s">
        <v>4453</v>
      </c>
      <c r="E355" s="665" t="s">
        <v>4365</v>
      </c>
      <c r="F355" s="1">
        <v>5</v>
      </c>
      <c r="G355" s="1">
        <v>0</v>
      </c>
    </row>
    <row r="356" spans="1:9" x14ac:dyDescent="0.15">
      <c r="A356" s="1">
        <v>218</v>
      </c>
      <c r="B356" s="666" t="s">
        <v>4484</v>
      </c>
      <c r="C356" s="4" t="s">
        <v>4365</v>
      </c>
      <c r="D356" s="4" t="s">
        <v>4432</v>
      </c>
      <c r="E356" s="665" t="s">
        <v>4365</v>
      </c>
      <c r="F356" s="1">
        <v>10</v>
      </c>
      <c r="G356" s="1">
        <v>1</v>
      </c>
      <c r="H356" s="4" t="s">
        <v>4304</v>
      </c>
      <c r="I356" s="4" t="s">
        <v>4372</v>
      </c>
    </row>
    <row r="357" spans="1:9" x14ac:dyDescent="0.15">
      <c r="A357" s="1">
        <v>220</v>
      </c>
      <c r="B357" s="666" t="s">
        <v>4486</v>
      </c>
      <c r="C357" s="4" t="s">
        <v>4365</v>
      </c>
      <c r="D357" s="4" t="s">
        <v>4453</v>
      </c>
      <c r="E357" s="665" t="s">
        <v>4365</v>
      </c>
      <c r="F357" s="1">
        <v>3</v>
      </c>
      <c r="G357" s="1">
        <v>1</v>
      </c>
      <c r="H357" s="4" t="s">
        <v>4304</v>
      </c>
    </row>
    <row r="358" spans="1:9" x14ac:dyDescent="0.15">
      <c r="A358" s="1">
        <v>223</v>
      </c>
      <c r="B358" s="666" t="s">
        <v>4487</v>
      </c>
      <c r="C358" s="4" t="s">
        <v>4365</v>
      </c>
      <c r="D358" s="4" t="s">
        <v>4323</v>
      </c>
      <c r="E358" s="665" t="s">
        <v>4365</v>
      </c>
      <c r="F358" s="1">
        <v>5</v>
      </c>
      <c r="G358" s="1">
        <v>1</v>
      </c>
      <c r="H358" s="4" t="s">
        <v>4304</v>
      </c>
    </row>
    <row r="359" spans="1:9" x14ac:dyDescent="0.15">
      <c r="A359" s="1">
        <v>229</v>
      </c>
      <c r="B359" s="666" t="s">
        <v>4488</v>
      </c>
      <c r="C359" s="4" t="s">
        <v>4365</v>
      </c>
      <c r="D359" s="4" t="s">
        <v>745</v>
      </c>
      <c r="E359" s="665" t="s">
        <v>4365</v>
      </c>
      <c r="F359" s="1">
        <v>6</v>
      </c>
      <c r="G359" s="1">
        <v>1</v>
      </c>
      <c r="H359" s="4" t="s">
        <v>4304</v>
      </c>
    </row>
    <row r="360" spans="1:9" x14ac:dyDescent="0.15">
      <c r="A360" s="1">
        <v>235</v>
      </c>
      <c r="B360" s="666" t="s">
        <v>4489</v>
      </c>
      <c r="C360" s="4" t="s">
        <v>4365</v>
      </c>
      <c r="D360" s="4" t="s">
        <v>4417</v>
      </c>
      <c r="E360" s="665" t="s">
        <v>4365</v>
      </c>
      <c r="F360" s="1">
        <v>5</v>
      </c>
      <c r="G360" s="1">
        <v>0</v>
      </c>
    </row>
    <row r="361" spans="1:9" x14ac:dyDescent="0.15">
      <c r="A361" s="1">
        <v>236</v>
      </c>
      <c r="B361" s="666" t="s">
        <v>4491</v>
      </c>
      <c r="C361" s="4" t="s">
        <v>4365</v>
      </c>
      <c r="D361" s="4" t="s">
        <v>4323</v>
      </c>
      <c r="E361" s="665" t="s">
        <v>4365</v>
      </c>
      <c r="F361" s="1">
        <v>5</v>
      </c>
      <c r="G361" s="1">
        <v>1</v>
      </c>
      <c r="H361" s="4" t="s">
        <v>4304</v>
      </c>
    </row>
    <row r="362" spans="1:9" x14ac:dyDescent="0.15">
      <c r="A362" s="1">
        <v>237</v>
      </c>
      <c r="B362" s="666" t="s">
        <v>4493</v>
      </c>
      <c r="C362" s="4" t="s">
        <v>4365</v>
      </c>
      <c r="D362" s="4" t="s">
        <v>4323</v>
      </c>
      <c r="E362" s="665" t="s">
        <v>4365</v>
      </c>
      <c r="F362" s="1">
        <v>3</v>
      </c>
      <c r="G362" s="1">
        <v>0</v>
      </c>
    </row>
    <row r="363" spans="1:9" x14ac:dyDescent="0.15">
      <c r="A363" s="1">
        <v>238</v>
      </c>
      <c r="B363" s="666" t="s">
        <v>4495</v>
      </c>
      <c r="C363" s="4" t="s">
        <v>4365</v>
      </c>
      <c r="D363" s="4" t="s">
        <v>4323</v>
      </c>
      <c r="E363" s="665" t="s">
        <v>4365</v>
      </c>
      <c r="F363" s="1">
        <v>5</v>
      </c>
      <c r="G363" s="1">
        <v>0</v>
      </c>
    </row>
    <row r="364" spans="1:9" x14ac:dyDescent="0.15">
      <c r="A364" s="1">
        <v>239</v>
      </c>
      <c r="B364" s="666" t="s">
        <v>4496</v>
      </c>
      <c r="C364" s="4" t="s">
        <v>4365</v>
      </c>
      <c r="D364" s="4" t="s">
        <v>4323</v>
      </c>
      <c r="E364" s="665" t="s">
        <v>4365</v>
      </c>
      <c r="F364" s="1">
        <v>5</v>
      </c>
      <c r="G364" s="1">
        <v>1</v>
      </c>
      <c r="H364" s="4" t="s">
        <v>4304</v>
      </c>
    </row>
    <row r="365" spans="1:9" x14ac:dyDescent="0.15">
      <c r="A365" s="1">
        <v>240</v>
      </c>
      <c r="B365" s="666" t="s">
        <v>4499</v>
      </c>
      <c r="C365" s="4" t="s">
        <v>4365</v>
      </c>
      <c r="D365" s="4" t="s">
        <v>745</v>
      </c>
      <c r="E365" s="665" t="s">
        <v>4365</v>
      </c>
      <c r="F365" s="1">
        <v>5</v>
      </c>
      <c r="G365" s="1">
        <v>0</v>
      </c>
    </row>
    <row r="366" spans="1:9" x14ac:dyDescent="0.15">
      <c r="A366" s="1">
        <v>241</v>
      </c>
      <c r="B366" s="666" t="s">
        <v>4501</v>
      </c>
      <c r="C366" s="4" t="s">
        <v>4365</v>
      </c>
      <c r="D366" s="4" t="s">
        <v>4323</v>
      </c>
      <c r="E366" s="665" t="s">
        <v>4365</v>
      </c>
      <c r="F366" s="1">
        <v>5</v>
      </c>
      <c r="G366" s="1">
        <v>0</v>
      </c>
    </row>
    <row r="367" spans="1:9" x14ac:dyDescent="0.15">
      <c r="A367" s="1">
        <v>242</v>
      </c>
      <c r="B367" s="666" t="s">
        <v>4502</v>
      </c>
      <c r="C367" s="4" t="s">
        <v>4365</v>
      </c>
      <c r="D367" s="4" t="s">
        <v>4323</v>
      </c>
      <c r="E367" s="665" t="s">
        <v>4365</v>
      </c>
      <c r="F367" s="1">
        <v>5</v>
      </c>
      <c r="G367" s="1">
        <v>0</v>
      </c>
    </row>
    <row r="368" spans="1:9" x14ac:dyDescent="0.15">
      <c r="A368" s="1">
        <v>246</v>
      </c>
      <c r="B368" s="666" t="s">
        <v>4503</v>
      </c>
      <c r="C368" s="4" t="s">
        <v>4365</v>
      </c>
      <c r="D368" s="4" t="s">
        <v>4323</v>
      </c>
      <c r="E368" s="665" t="s">
        <v>4365</v>
      </c>
      <c r="F368" s="1">
        <v>5</v>
      </c>
      <c r="G368" s="1">
        <v>1</v>
      </c>
    </row>
    <row r="369" spans="1:8" x14ac:dyDescent="0.15">
      <c r="A369" s="1">
        <v>247</v>
      </c>
      <c r="B369" s="666" t="s">
        <v>4509</v>
      </c>
      <c r="C369" s="4" t="s">
        <v>4365</v>
      </c>
      <c r="D369" s="4" t="s">
        <v>4323</v>
      </c>
      <c r="E369" s="665" t="s">
        <v>4365</v>
      </c>
      <c r="F369" s="1">
        <v>5</v>
      </c>
      <c r="G369" s="1">
        <v>0</v>
      </c>
    </row>
    <row r="370" spans="1:8" x14ac:dyDescent="0.15">
      <c r="A370" s="1">
        <v>248</v>
      </c>
      <c r="B370" s="666" t="s">
        <v>4510</v>
      </c>
      <c r="C370" s="4" t="s">
        <v>4365</v>
      </c>
      <c r="D370" s="4" t="s">
        <v>4417</v>
      </c>
      <c r="E370" s="665" t="s">
        <v>4365</v>
      </c>
      <c r="F370" s="1">
        <v>5</v>
      </c>
      <c r="G370" s="1">
        <v>2</v>
      </c>
      <c r="H370" s="4" t="s">
        <v>4334</v>
      </c>
    </row>
    <row r="371" spans="1:8" x14ac:dyDescent="0.15">
      <c r="A371" s="1">
        <v>249</v>
      </c>
      <c r="B371" s="666" t="s">
        <v>4511</v>
      </c>
      <c r="C371" s="4" t="s">
        <v>4365</v>
      </c>
      <c r="D371" s="4" t="s">
        <v>4453</v>
      </c>
      <c r="E371" s="665" t="s">
        <v>4365</v>
      </c>
      <c r="F371" s="1">
        <v>10</v>
      </c>
      <c r="G371" s="1">
        <v>1</v>
      </c>
      <c r="H371" s="4" t="s">
        <v>4304</v>
      </c>
    </row>
    <row r="372" spans="1:8" x14ac:dyDescent="0.15">
      <c r="A372" s="1">
        <v>251</v>
      </c>
      <c r="B372" s="666" t="s">
        <v>4514</v>
      </c>
      <c r="C372" s="4" t="s">
        <v>4365</v>
      </c>
      <c r="D372" s="4" t="s">
        <v>4432</v>
      </c>
      <c r="E372" s="665" t="s">
        <v>4365</v>
      </c>
      <c r="F372" s="1">
        <v>5</v>
      </c>
      <c r="G372" s="1">
        <v>1</v>
      </c>
      <c r="H372" s="4" t="s">
        <v>4304</v>
      </c>
    </row>
    <row r="373" spans="1:8" x14ac:dyDescent="0.15">
      <c r="A373" s="1">
        <v>252</v>
      </c>
      <c r="B373" s="666" t="s">
        <v>4521</v>
      </c>
      <c r="C373" s="4" t="s">
        <v>4365</v>
      </c>
      <c r="D373" s="4" t="s">
        <v>4323</v>
      </c>
      <c r="E373" s="665" t="s">
        <v>4365</v>
      </c>
      <c r="F373" s="1">
        <v>5</v>
      </c>
      <c r="G373" s="1">
        <v>1</v>
      </c>
      <c r="H373" s="4" t="s">
        <v>4304</v>
      </c>
    </row>
    <row r="374" spans="1:8" x14ac:dyDescent="0.15">
      <c r="A374" s="1">
        <v>253</v>
      </c>
      <c r="B374" s="666" t="s">
        <v>4522</v>
      </c>
      <c r="C374" s="4" t="s">
        <v>4365</v>
      </c>
      <c r="D374" s="4" t="s">
        <v>4323</v>
      </c>
      <c r="E374" s="665" t="s">
        <v>4365</v>
      </c>
      <c r="F374" s="1">
        <v>5</v>
      </c>
      <c r="G374" s="1">
        <v>1</v>
      </c>
      <c r="H374" s="4" t="s">
        <v>4304</v>
      </c>
    </row>
    <row r="375" spans="1:8" x14ac:dyDescent="0.15">
      <c r="A375" s="1">
        <v>254</v>
      </c>
      <c r="B375" s="666" t="s">
        <v>4524</v>
      </c>
      <c r="C375" s="4" t="s">
        <v>4365</v>
      </c>
      <c r="D375" s="4" t="s">
        <v>4323</v>
      </c>
      <c r="E375" s="665" t="s">
        <v>4365</v>
      </c>
      <c r="F375" s="1">
        <v>10</v>
      </c>
      <c r="G375" s="1">
        <v>1</v>
      </c>
      <c r="H375" s="4" t="s">
        <v>4304</v>
      </c>
    </row>
    <row r="376" spans="1:8" x14ac:dyDescent="0.15">
      <c r="A376" s="1">
        <v>255</v>
      </c>
      <c r="B376" s="666" t="s">
        <v>4528</v>
      </c>
      <c r="C376" s="4" t="s">
        <v>4365</v>
      </c>
      <c r="D376" s="4" t="s">
        <v>4323</v>
      </c>
      <c r="E376" s="665" t="s">
        <v>4365</v>
      </c>
      <c r="F376" s="1">
        <v>0</v>
      </c>
      <c r="G376" s="1">
        <v>0</v>
      </c>
    </row>
    <row r="377" spans="1:8" x14ac:dyDescent="0.15">
      <c r="A377" s="1">
        <v>256</v>
      </c>
      <c r="B377" s="666" t="s">
        <v>4529</v>
      </c>
      <c r="C377" s="4" t="s">
        <v>4365</v>
      </c>
      <c r="D377" s="4" t="s">
        <v>4453</v>
      </c>
      <c r="E377" s="665" t="s">
        <v>4365</v>
      </c>
      <c r="F377" s="1">
        <v>5</v>
      </c>
      <c r="G377" s="1">
        <v>0</v>
      </c>
    </row>
    <row r="378" spans="1:8" x14ac:dyDescent="0.15">
      <c r="A378" s="1">
        <v>258</v>
      </c>
      <c r="B378" s="666" t="s">
        <v>4530</v>
      </c>
      <c r="C378" s="4" t="s">
        <v>4365</v>
      </c>
      <c r="D378" s="4" t="s">
        <v>4453</v>
      </c>
      <c r="E378" s="665" t="s">
        <v>4365</v>
      </c>
      <c r="F378" s="1">
        <v>5</v>
      </c>
      <c r="G378" s="1">
        <v>1</v>
      </c>
      <c r="H378" s="4" t="s">
        <v>4304</v>
      </c>
    </row>
    <row r="379" spans="1:8" x14ac:dyDescent="0.15">
      <c r="A379" s="1">
        <v>259</v>
      </c>
      <c r="B379" s="666" t="s">
        <v>4531</v>
      </c>
      <c r="C379" s="4" t="s">
        <v>4365</v>
      </c>
      <c r="D379" s="4" t="s">
        <v>4453</v>
      </c>
      <c r="E379" s="665" t="s">
        <v>4365</v>
      </c>
      <c r="F379" s="1">
        <v>5</v>
      </c>
      <c r="G379" s="1">
        <v>1</v>
      </c>
    </row>
    <row r="380" spans="1:8" x14ac:dyDescent="0.15">
      <c r="A380" s="1">
        <v>260</v>
      </c>
      <c r="B380" s="666" t="s">
        <v>4534</v>
      </c>
      <c r="C380" s="4" t="s">
        <v>4365</v>
      </c>
      <c r="D380" s="4" t="s">
        <v>4417</v>
      </c>
      <c r="E380" s="665" t="s">
        <v>4365</v>
      </c>
      <c r="F380" s="1">
        <v>8</v>
      </c>
      <c r="G380" s="1">
        <v>1</v>
      </c>
      <c r="H380" s="4" t="s">
        <v>4304</v>
      </c>
    </row>
    <row r="381" spans="1:8" x14ac:dyDescent="0.15">
      <c r="A381" s="1">
        <v>261</v>
      </c>
      <c r="B381" s="666" t="s">
        <v>4535</v>
      </c>
      <c r="C381" s="4" t="s">
        <v>4365</v>
      </c>
      <c r="D381" s="4" t="s">
        <v>4453</v>
      </c>
      <c r="E381" s="665" t="s">
        <v>4365</v>
      </c>
      <c r="F381" s="1">
        <v>10</v>
      </c>
      <c r="G381" s="1">
        <v>1</v>
      </c>
      <c r="H381" s="4" t="s">
        <v>4304</v>
      </c>
    </row>
    <row r="382" spans="1:8" x14ac:dyDescent="0.15">
      <c r="A382" s="1">
        <v>262</v>
      </c>
      <c r="B382" s="666" t="s">
        <v>4536</v>
      </c>
      <c r="C382" s="4" t="s">
        <v>4365</v>
      </c>
      <c r="D382" s="4" t="s">
        <v>4323</v>
      </c>
      <c r="E382" s="665" t="s">
        <v>4365</v>
      </c>
      <c r="F382" s="1">
        <v>5</v>
      </c>
      <c r="G382" s="1">
        <v>0</v>
      </c>
    </row>
    <row r="383" spans="1:8" x14ac:dyDescent="0.15">
      <c r="A383" s="1">
        <v>263</v>
      </c>
      <c r="B383" s="666" t="s">
        <v>4537</v>
      </c>
      <c r="C383" s="4" t="s">
        <v>4365</v>
      </c>
      <c r="D383" s="4" t="s">
        <v>4323</v>
      </c>
      <c r="E383" s="665" t="s">
        <v>4365</v>
      </c>
      <c r="F383" s="1">
        <v>5</v>
      </c>
      <c r="G383" s="1">
        <v>1</v>
      </c>
      <c r="H383" s="4" t="s">
        <v>4304</v>
      </c>
    </row>
    <row r="384" spans="1:8" x14ac:dyDescent="0.15">
      <c r="A384" s="1">
        <v>264</v>
      </c>
      <c r="B384" s="666" t="s">
        <v>4538</v>
      </c>
      <c r="C384" s="4" t="s">
        <v>4365</v>
      </c>
      <c r="D384" s="4" t="s">
        <v>4323</v>
      </c>
      <c r="E384" s="665" t="s">
        <v>4365</v>
      </c>
      <c r="F384" s="1">
        <v>5</v>
      </c>
      <c r="G384" s="1">
        <v>1</v>
      </c>
      <c r="H384" s="4" t="s">
        <v>4304</v>
      </c>
    </row>
    <row r="385" spans="1:9" x14ac:dyDescent="0.15">
      <c r="A385" s="1">
        <v>265</v>
      </c>
      <c r="B385" s="666" t="s">
        <v>4539</v>
      </c>
      <c r="C385" s="4" t="s">
        <v>4365</v>
      </c>
      <c r="D385" s="4" t="s">
        <v>4323</v>
      </c>
      <c r="E385" s="665" t="s">
        <v>4365</v>
      </c>
      <c r="F385" s="1">
        <v>5</v>
      </c>
      <c r="G385" s="1">
        <v>1</v>
      </c>
      <c r="H385" s="4" t="s">
        <v>4334</v>
      </c>
    </row>
    <row r="386" spans="1:9" x14ac:dyDescent="0.15">
      <c r="A386" s="1">
        <v>266</v>
      </c>
      <c r="B386" s="666" t="s">
        <v>4540</v>
      </c>
      <c r="C386" s="4" t="s">
        <v>4365</v>
      </c>
      <c r="D386" s="4" t="s">
        <v>4453</v>
      </c>
      <c r="E386" s="665" t="s">
        <v>4365</v>
      </c>
      <c r="F386" s="1">
        <v>10</v>
      </c>
      <c r="G386" s="1">
        <v>1</v>
      </c>
      <c r="H386" s="4" t="s">
        <v>4304</v>
      </c>
    </row>
    <row r="387" spans="1:9" x14ac:dyDescent="0.15">
      <c r="A387" s="1">
        <v>268</v>
      </c>
      <c r="B387" s="666" t="s">
        <v>1272</v>
      </c>
      <c r="C387" s="4" t="s">
        <v>4365</v>
      </c>
      <c r="D387" s="4" t="s">
        <v>4323</v>
      </c>
      <c r="E387" s="665" t="s">
        <v>4365</v>
      </c>
      <c r="F387" s="1">
        <v>5</v>
      </c>
      <c r="G387" s="1">
        <v>0</v>
      </c>
    </row>
    <row r="388" spans="1:9" x14ac:dyDescent="0.15">
      <c r="A388" s="1">
        <v>269</v>
      </c>
      <c r="B388" s="666" t="s">
        <v>4544</v>
      </c>
      <c r="C388" s="4" t="s">
        <v>4365</v>
      </c>
      <c r="D388" s="4" t="s">
        <v>4323</v>
      </c>
      <c r="E388" s="665" t="s">
        <v>4365</v>
      </c>
      <c r="F388" s="1">
        <v>10</v>
      </c>
      <c r="G388" s="1">
        <v>1</v>
      </c>
      <c r="H388" s="4" t="s">
        <v>4304</v>
      </c>
    </row>
    <row r="389" spans="1:9" x14ac:dyDescent="0.15">
      <c r="A389" s="1">
        <v>271</v>
      </c>
      <c r="B389" s="666" t="s">
        <v>4545</v>
      </c>
      <c r="C389" s="4" t="s">
        <v>4365</v>
      </c>
      <c r="D389" s="4" t="s">
        <v>4323</v>
      </c>
      <c r="E389" s="665" t="s">
        <v>4365</v>
      </c>
      <c r="F389" s="1">
        <v>10</v>
      </c>
      <c r="G389" s="1">
        <v>1</v>
      </c>
    </row>
    <row r="390" spans="1:9" x14ac:dyDescent="0.15">
      <c r="A390" s="1">
        <v>272</v>
      </c>
      <c r="B390" s="666" t="s">
        <v>4546</v>
      </c>
      <c r="C390" s="4" t="s">
        <v>4365</v>
      </c>
      <c r="D390" s="4" t="s">
        <v>4323</v>
      </c>
      <c r="E390" s="665" t="s">
        <v>4365</v>
      </c>
      <c r="F390" s="1">
        <v>10</v>
      </c>
      <c r="G390" s="1">
        <v>0</v>
      </c>
    </row>
    <row r="391" spans="1:9" x14ac:dyDescent="0.15">
      <c r="A391" s="1">
        <v>273</v>
      </c>
      <c r="B391" s="666" t="s">
        <v>4547</v>
      </c>
      <c r="C391" s="4" t="s">
        <v>4365</v>
      </c>
      <c r="D391" s="4" t="s">
        <v>4323</v>
      </c>
      <c r="E391" s="665" t="s">
        <v>4365</v>
      </c>
      <c r="F391" s="1">
        <v>10</v>
      </c>
      <c r="G391" s="1">
        <v>1</v>
      </c>
      <c r="H391" s="4" t="s">
        <v>4304</v>
      </c>
    </row>
    <row r="392" spans="1:9" x14ac:dyDescent="0.15">
      <c r="A392" s="1">
        <v>274</v>
      </c>
      <c r="B392" s="666" t="s">
        <v>4548</v>
      </c>
      <c r="C392" s="4" t="s">
        <v>4365</v>
      </c>
      <c r="D392" s="4" t="s">
        <v>4323</v>
      </c>
      <c r="E392" s="665" t="s">
        <v>4365</v>
      </c>
      <c r="F392" s="1">
        <v>5</v>
      </c>
      <c r="G392" s="1">
        <v>0</v>
      </c>
    </row>
    <row r="393" spans="1:9" x14ac:dyDescent="0.15">
      <c r="A393" s="1">
        <v>275</v>
      </c>
      <c r="B393" s="666" t="s">
        <v>4549</v>
      </c>
      <c r="C393" s="4" t="s">
        <v>4365</v>
      </c>
      <c r="D393" s="4" t="s">
        <v>4323</v>
      </c>
      <c r="E393" s="665" t="s">
        <v>4365</v>
      </c>
      <c r="F393" s="1">
        <v>5</v>
      </c>
      <c r="G393" s="1">
        <v>0</v>
      </c>
    </row>
    <row r="394" spans="1:9" x14ac:dyDescent="0.15">
      <c r="A394" s="1">
        <v>276</v>
      </c>
      <c r="B394" s="666" t="s">
        <v>4552</v>
      </c>
      <c r="C394" s="4" t="s">
        <v>4365</v>
      </c>
      <c r="D394" s="4" t="s">
        <v>4323</v>
      </c>
      <c r="E394" s="665" t="s">
        <v>4365</v>
      </c>
      <c r="F394" s="1">
        <v>5</v>
      </c>
      <c r="G394" s="1">
        <v>0</v>
      </c>
    </row>
    <row r="395" spans="1:9" x14ac:dyDescent="0.15">
      <c r="A395" s="1">
        <v>277</v>
      </c>
      <c r="B395" s="666" t="s">
        <v>4554</v>
      </c>
      <c r="C395" s="4" t="s">
        <v>4365</v>
      </c>
      <c r="D395" s="4" t="s">
        <v>4323</v>
      </c>
      <c r="E395" s="665" t="s">
        <v>4365</v>
      </c>
      <c r="F395" s="1">
        <v>5</v>
      </c>
      <c r="G395" s="1">
        <v>0</v>
      </c>
    </row>
    <row r="396" spans="1:9" x14ac:dyDescent="0.15">
      <c r="A396" s="1">
        <v>278</v>
      </c>
      <c r="B396" s="666" t="s">
        <v>4555</v>
      </c>
      <c r="C396" s="4" t="s">
        <v>4365</v>
      </c>
      <c r="D396" s="4" t="s">
        <v>4323</v>
      </c>
      <c r="E396" s="665" t="s">
        <v>4365</v>
      </c>
      <c r="F396" s="1">
        <v>5</v>
      </c>
      <c r="G396" s="1">
        <v>0</v>
      </c>
    </row>
    <row r="397" spans="1:9" x14ac:dyDescent="0.15">
      <c r="A397" s="1">
        <v>281</v>
      </c>
      <c r="B397" s="666" t="s">
        <v>4556</v>
      </c>
      <c r="C397" s="4" t="s">
        <v>4365</v>
      </c>
      <c r="D397" s="4" t="s">
        <v>4323</v>
      </c>
      <c r="E397" s="665" t="s">
        <v>4365</v>
      </c>
      <c r="F397" s="1">
        <v>5</v>
      </c>
      <c r="G397" s="1">
        <v>0</v>
      </c>
    </row>
    <row r="398" spans="1:9" x14ac:dyDescent="0.15">
      <c r="B398" s="666" t="s">
        <v>4557</v>
      </c>
      <c r="C398" s="4" t="s">
        <v>4365</v>
      </c>
      <c r="D398" s="4" t="s">
        <v>4323</v>
      </c>
      <c r="E398" s="665" t="s">
        <v>4365</v>
      </c>
      <c r="F398" s="1">
        <v>5</v>
      </c>
      <c r="G398" s="1">
        <v>0</v>
      </c>
      <c r="I398" s="1" t="s">
        <v>4668</v>
      </c>
    </row>
    <row r="399" spans="1:9" x14ac:dyDescent="0.15">
      <c r="A399" s="1">
        <v>120</v>
      </c>
      <c r="B399" s="666" t="s">
        <v>4558</v>
      </c>
      <c r="C399" s="4" t="s">
        <v>4365</v>
      </c>
      <c r="D399" s="4" t="s">
        <v>4417</v>
      </c>
      <c r="E399" s="665" t="s">
        <v>4365</v>
      </c>
      <c r="F399" s="1">
        <v>10</v>
      </c>
      <c r="G399" s="1">
        <v>1</v>
      </c>
      <c r="H399" s="4" t="s">
        <v>4334</v>
      </c>
      <c r="I399" s="4" t="s">
        <v>3396</v>
      </c>
    </row>
    <row r="400" spans="1:9" x14ac:dyDescent="0.15">
      <c r="A400" s="1">
        <v>98</v>
      </c>
      <c r="B400" s="666" t="s">
        <v>4560</v>
      </c>
      <c r="C400" s="4" t="s">
        <v>4365</v>
      </c>
      <c r="D400" s="4" t="s">
        <v>4432</v>
      </c>
      <c r="E400" s="665" t="s">
        <v>4365</v>
      </c>
      <c r="F400" s="1">
        <v>10</v>
      </c>
      <c r="G400" s="1">
        <v>1</v>
      </c>
      <c r="H400" s="4" t="s">
        <v>4304</v>
      </c>
    </row>
    <row r="401" spans="1:8" x14ac:dyDescent="0.15">
      <c r="A401" s="1">
        <v>136</v>
      </c>
      <c r="B401" s="666" t="s">
        <v>4561</v>
      </c>
      <c r="C401" s="4" t="s">
        <v>4365</v>
      </c>
      <c r="D401" s="4" t="s">
        <v>4323</v>
      </c>
      <c r="E401" s="665" t="s">
        <v>4365</v>
      </c>
      <c r="F401" s="1">
        <v>5</v>
      </c>
      <c r="G401" s="1">
        <v>0</v>
      </c>
    </row>
    <row r="402" spans="1:8" x14ac:dyDescent="0.15">
      <c r="A402" s="1">
        <v>154</v>
      </c>
      <c r="B402" s="666" t="s">
        <v>4562</v>
      </c>
      <c r="C402" s="4" t="s">
        <v>4365</v>
      </c>
      <c r="D402" s="4" t="s">
        <v>745</v>
      </c>
      <c r="E402" s="665" t="s">
        <v>4365</v>
      </c>
      <c r="F402" s="1">
        <v>10</v>
      </c>
      <c r="G402" s="1">
        <v>1</v>
      </c>
    </row>
    <row r="403" spans="1:8" x14ac:dyDescent="0.15">
      <c r="A403" s="1">
        <v>155</v>
      </c>
      <c r="B403" s="666" t="s">
        <v>4563</v>
      </c>
      <c r="C403" s="4" t="s">
        <v>4365</v>
      </c>
      <c r="D403" s="4" t="s">
        <v>745</v>
      </c>
      <c r="E403" s="665" t="s">
        <v>4365</v>
      </c>
      <c r="F403" s="1">
        <v>10</v>
      </c>
      <c r="G403" s="1">
        <v>1</v>
      </c>
      <c r="H403" s="4" t="s">
        <v>4304</v>
      </c>
    </row>
    <row r="404" spans="1:8" x14ac:dyDescent="0.15">
      <c r="A404" s="1">
        <v>25</v>
      </c>
      <c r="B404" s="666" t="s">
        <v>4564</v>
      </c>
      <c r="C404" s="4" t="s">
        <v>4350</v>
      </c>
      <c r="D404" s="4" t="s">
        <v>3227</v>
      </c>
      <c r="E404" s="665" t="s">
        <v>4297</v>
      </c>
      <c r="F404" s="1">
        <v>100</v>
      </c>
      <c r="G404" s="1">
        <v>4</v>
      </c>
      <c r="H404" s="4" t="s">
        <v>4334</v>
      </c>
    </row>
    <row r="405" spans="1:8" x14ac:dyDescent="0.15">
      <c r="A405" s="1">
        <v>52</v>
      </c>
      <c r="B405" s="666" t="s">
        <v>4565</v>
      </c>
      <c r="C405" s="4" t="s">
        <v>4350</v>
      </c>
      <c r="D405" s="4" t="s">
        <v>3227</v>
      </c>
      <c r="E405" s="665" t="s">
        <v>4297</v>
      </c>
      <c r="F405" s="1">
        <v>100</v>
      </c>
      <c r="G405" s="1">
        <v>4</v>
      </c>
      <c r="H405" s="4" t="s">
        <v>4334</v>
      </c>
    </row>
    <row r="406" spans="1:8" x14ac:dyDescent="0.15">
      <c r="A406" s="1">
        <v>87</v>
      </c>
      <c r="B406" s="666" t="s">
        <v>4566</v>
      </c>
      <c r="C406" s="4" t="s">
        <v>4350</v>
      </c>
      <c r="D406" s="4" t="s">
        <v>3227</v>
      </c>
      <c r="E406" s="665" t="s">
        <v>4297</v>
      </c>
      <c r="F406" s="1">
        <v>10</v>
      </c>
      <c r="G406" s="1">
        <v>1</v>
      </c>
      <c r="H406" s="4" t="s">
        <v>4409</v>
      </c>
    </row>
    <row r="407" spans="1:8" x14ac:dyDescent="0.15">
      <c r="A407" s="1">
        <v>104</v>
      </c>
      <c r="B407" s="666" t="s">
        <v>3515</v>
      </c>
      <c r="C407" s="4" t="s">
        <v>4350</v>
      </c>
      <c r="D407" s="4" t="s">
        <v>3227</v>
      </c>
      <c r="E407" s="665" t="s">
        <v>4297</v>
      </c>
      <c r="F407" s="1">
        <v>10</v>
      </c>
      <c r="G407" s="1">
        <v>2</v>
      </c>
      <c r="H407" s="4" t="s">
        <v>4334</v>
      </c>
    </row>
    <row r="408" spans="1:8" x14ac:dyDescent="0.15">
      <c r="A408" s="1">
        <v>123</v>
      </c>
      <c r="B408" s="666" t="s">
        <v>4568</v>
      </c>
      <c r="C408" s="4" t="s">
        <v>4350</v>
      </c>
      <c r="D408" s="4" t="s">
        <v>3227</v>
      </c>
      <c r="E408" s="665" t="s">
        <v>4297</v>
      </c>
      <c r="F408" s="1">
        <v>20</v>
      </c>
      <c r="G408" s="1">
        <v>2</v>
      </c>
      <c r="H408" s="4" t="s">
        <v>4334</v>
      </c>
    </row>
    <row r="409" spans="1:8" x14ac:dyDescent="0.15">
      <c r="A409" s="1">
        <v>124</v>
      </c>
      <c r="B409" s="666" t="s">
        <v>4571</v>
      </c>
      <c r="C409" s="4" t="s">
        <v>4350</v>
      </c>
      <c r="D409" s="4" t="s">
        <v>3227</v>
      </c>
      <c r="E409" s="665" t="s">
        <v>4297</v>
      </c>
      <c r="F409" s="1">
        <v>10</v>
      </c>
      <c r="G409" s="1">
        <v>2</v>
      </c>
      <c r="H409" s="4" t="s">
        <v>4334</v>
      </c>
    </row>
    <row r="410" spans="1:8" x14ac:dyDescent="0.15">
      <c r="A410" s="1">
        <v>151</v>
      </c>
      <c r="B410" s="666" t="s">
        <v>4572</v>
      </c>
      <c r="C410" s="4" t="s">
        <v>4350</v>
      </c>
      <c r="D410" s="4" t="s">
        <v>3227</v>
      </c>
      <c r="E410" s="665" t="s">
        <v>4297</v>
      </c>
      <c r="F410" s="1">
        <v>200</v>
      </c>
      <c r="G410" s="1">
        <v>1</v>
      </c>
      <c r="H410" s="4" t="s">
        <v>4304</v>
      </c>
    </row>
    <row r="411" spans="1:8" x14ac:dyDescent="0.15">
      <c r="A411" s="1">
        <v>157</v>
      </c>
      <c r="B411" s="666" t="s">
        <v>4573</v>
      </c>
      <c r="C411" s="4" t="s">
        <v>4350</v>
      </c>
      <c r="D411" s="4" t="s">
        <v>3227</v>
      </c>
      <c r="E411" s="665" t="s">
        <v>4297</v>
      </c>
      <c r="F411" s="1">
        <v>20</v>
      </c>
      <c r="G411" s="1">
        <v>2</v>
      </c>
      <c r="H411" s="4" t="s">
        <v>4334</v>
      </c>
    </row>
    <row r="412" spans="1:8" x14ac:dyDescent="0.15">
      <c r="A412" s="1">
        <v>173</v>
      </c>
      <c r="B412" s="666" t="s">
        <v>4574</v>
      </c>
      <c r="C412" s="4" t="s">
        <v>4350</v>
      </c>
      <c r="D412" s="4" t="s">
        <v>3227</v>
      </c>
      <c r="E412" s="665" t="s">
        <v>4297</v>
      </c>
      <c r="F412" s="1">
        <v>10</v>
      </c>
      <c r="G412" s="1">
        <v>1</v>
      </c>
      <c r="H412" s="4" t="s">
        <v>4304</v>
      </c>
    </row>
    <row r="413" spans="1:8" x14ac:dyDescent="0.15">
      <c r="A413" s="1">
        <v>193</v>
      </c>
      <c r="B413" s="666" t="s">
        <v>4575</v>
      </c>
      <c r="C413" s="4" t="s">
        <v>4350</v>
      </c>
      <c r="D413" s="4" t="s">
        <v>3227</v>
      </c>
      <c r="E413" s="665" t="s">
        <v>4297</v>
      </c>
      <c r="F413" s="1">
        <v>10</v>
      </c>
      <c r="G413" s="1">
        <v>1</v>
      </c>
      <c r="H413" s="4" t="s">
        <v>4304</v>
      </c>
    </row>
    <row r="414" spans="1:8" x14ac:dyDescent="0.15">
      <c r="A414" s="1">
        <v>282</v>
      </c>
      <c r="B414" s="666" t="s">
        <v>4576</v>
      </c>
      <c r="C414" s="4" t="s">
        <v>4350</v>
      </c>
      <c r="D414" s="4" t="s">
        <v>3227</v>
      </c>
      <c r="E414" s="665" t="s">
        <v>4297</v>
      </c>
      <c r="F414" s="1">
        <v>100</v>
      </c>
      <c r="G414" s="1">
        <v>4</v>
      </c>
      <c r="H414" s="4" t="s">
        <v>4550</v>
      </c>
    </row>
    <row r="415" spans="1:8" x14ac:dyDescent="0.15">
      <c r="A415" s="1">
        <v>283</v>
      </c>
      <c r="B415" s="666" t="s">
        <v>4577</v>
      </c>
      <c r="C415" s="4" t="s">
        <v>4350</v>
      </c>
      <c r="D415" s="4" t="s">
        <v>4663</v>
      </c>
      <c r="E415" s="665" t="s">
        <v>4297</v>
      </c>
      <c r="F415" s="1">
        <v>10</v>
      </c>
      <c r="G415" s="1">
        <v>1</v>
      </c>
      <c r="H415" s="4" t="s">
        <v>4304</v>
      </c>
    </row>
    <row r="416" spans="1:8" x14ac:dyDescent="0.15">
      <c r="A416" s="1">
        <v>213</v>
      </c>
      <c r="B416" s="666" t="s">
        <v>4579</v>
      </c>
      <c r="C416" s="4" t="s">
        <v>4301</v>
      </c>
      <c r="D416" s="4" t="s">
        <v>3223</v>
      </c>
      <c r="E416" s="665" t="s">
        <v>4297</v>
      </c>
      <c r="F416" s="1">
        <v>0</v>
      </c>
      <c r="G416" s="1">
        <v>1</v>
      </c>
    </row>
    <row r="417" spans="1:9" x14ac:dyDescent="0.15">
      <c r="A417" s="1">
        <v>214</v>
      </c>
      <c r="B417" s="666" t="s">
        <v>4580</v>
      </c>
      <c r="C417" s="4" t="s">
        <v>4301</v>
      </c>
      <c r="D417" s="4" t="s">
        <v>4323</v>
      </c>
      <c r="E417" s="665" t="s">
        <v>4297</v>
      </c>
      <c r="F417" s="1">
        <v>0</v>
      </c>
      <c r="G417" s="1">
        <v>1</v>
      </c>
    </row>
    <row r="418" spans="1:9" x14ac:dyDescent="0.15">
      <c r="A418" s="1">
        <v>215</v>
      </c>
      <c r="B418" s="666" t="s">
        <v>4583</v>
      </c>
      <c r="C418" s="4" t="s">
        <v>4301</v>
      </c>
      <c r="D418" s="4" t="s">
        <v>4303</v>
      </c>
      <c r="E418" s="665" t="s">
        <v>4297</v>
      </c>
      <c r="F418" s="1">
        <v>0</v>
      </c>
      <c r="G418" s="1">
        <v>1</v>
      </c>
    </row>
    <row r="419" spans="1:9" x14ac:dyDescent="0.15">
      <c r="A419" s="1">
        <v>2</v>
      </c>
      <c r="B419" s="666" t="s">
        <v>4584</v>
      </c>
      <c r="C419" s="4" t="s">
        <v>4301</v>
      </c>
      <c r="D419" s="4" t="s">
        <v>3227</v>
      </c>
      <c r="E419" s="665" t="s">
        <v>4297</v>
      </c>
      <c r="F419" s="1">
        <v>5</v>
      </c>
      <c r="G419" s="1">
        <v>0</v>
      </c>
      <c r="H419" s="4" t="s">
        <v>4298</v>
      </c>
    </row>
    <row r="420" spans="1:9" x14ac:dyDescent="0.15">
      <c r="A420" s="1">
        <v>4</v>
      </c>
      <c r="B420" s="666" t="s">
        <v>4586</v>
      </c>
      <c r="C420" s="4" t="s">
        <v>4301</v>
      </c>
      <c r="D420" s="4" t="s">
        <v>3227</v>
      </c>
      <c r="E420" s="665" t="s">
        <v>4297</v>
      </c>
      <c r="F420" s="1">
        <v>20</v>
      </c>
      <c r="G420" s="1">
        <v>2</v>
      </c>
      <c r="H420" s="4" t="s">
        <v>4304</v>
      </c>
    </row>
    <row r="421" spans="1:9" x14ac:dyDescent="0.15">
      <c r="A421" s="1">
        <v>21</v>
      </c>
      <c r="B421" s="666" t="s">
        <v>4587</v>
      </c>
      <c r="C421" s="4" t="s">
        <v>4301</v>
      </c>
      <c r="D421" s="4" t="s">
        <v>3227</v>
      </c>
      <c r="E421" s="665" t="s">
        <v>4297</v>
      </c>
      <c r="F421" s="1">
        <v>20</v>
      </c>
      <c r="G421" s="1">
        <v>1</v>
      </c>
      <c r="H421" s="4" t="s">
        <v>4304</v>
      </c>
    </row>
    <row r="422" spans="1:9" x14ac:dyDescent="0.15">
      <c r="A422" s="1">
        <v>37</v>
      </c>
      <c r="B422" s="666" t="s">
        <v>4588</v>
      </c>
      <c r="C422" s="4" t="s">
        <v>4301</v>
      </c>
      <c r="D422" s="4" t="s">
        <v>3227</v>
      </c>
      <c r="E422" s="665" t="s">
        <v>4297</v>
      </c>
      <c r="F422" s="1">
        <v>50</v>
      </c>
      <c r="G422" s="1">
        <v>2</v>
      </c>
      <c r="H422" s="4" t="s">
        <v>4334</v>
      </c>
      <c r="I422" s="4" t="s">
        <v>4367</v>
      </c>
    </row>
    <row r="423" spans="1:9" x14ac:dyDescent="0.15">
      <c r="A423" s="1">
        <v>50</v>
      </c>
      <c r="B423" s="666" t="s">
        <v>4589</v>
      </c>
      <c r="C423" s="4" t="s">
        <v>4301</v>
      </c>
      <c r="D423" s="4" t="s">
        <v>3227</v>
      </c>
      <c r="E423" s="665" t="s">
        <v>4297</v>
      </c>
      <c r="F423" s="1">
        <v>50</v>
      </c>
      <c r="G423" s="1">
        <v>2</v>
      </c>
      <c r="H423" s="4" t="s">
        <v>4304</v>
      </c>
    </row>
    <row r="424" spans="1:9" x14ac:dyDescent="0.15">
      <c r="A424" s="1">
        <v>54</v>
      </c>
      <c r="B424" s="666" t="s">
        <v>4590</v>
      </c>
      <c r="C424" s="4" t="s">
        <v>4301</v>
      </c>
      <c r="D424" s="4" t="s">
        <v>3227</v>
      </c>
      <c r="E424" s="665" t="s">
        <v>4297</v>
      </c>
      <c r="F424" s="1">
        <v>10</v>
      </c>
      <c r="G424" s="1">
        <v>2</v>
      </c>
      <c r="H424" s="4" t="s">
        <v>4334</v>
      </c>
    </row>
    <row r="425" spans="1:9" x14ac:dyDescent="0.15">
      <c r="A425" s="1">
        <v>97</v>
      </c>
      <c r="B425" s="666" t="s">
        <v>4592</v>
      </c>
      <c r="C425" s="4" t="s">
        <v>4301</v>
      </c>
      <c r="D425" s="4" t="s">
        <v>3227</v>
      </c>
      <c r="E425" s="665" t="s">
        <v>4297</v>
      </c>
      <c r="F425" s="1">
        <v>10</v>
      </c>
      <c r="G425" s="1">
        <v>2</v>
      </c>
      <c r="H425" s="4" t="s">
        <v>4429</v>
      </c>
    </row>
    <row r="426" spans="1:9" x14ac:dyDescent="0.15">
      <c r="A426" s="1">
        <v>99</v>
      </c>
      <c r="B426" s="666" t="s">
        <v>4594</v>
      </c>
      <c r="C426" s="4" t="s">
        <v>4301</v>
      </c>
      <c r="D426" s="4" t="s">
        <v>3227</v>
      </c>
      <c r="E426" s="665" t="s">
        <v>4297</v>
      </c>
      <c r="F426" s="1">
        <v>5</v>
      </c>
      <c r="G426" s="1">
        <v>1</v>
      </c>
      <c r="H426" s="4" t="s">
        <v>4304</v>
      </c>
    </row>
    <row r="427" spans="1:9" x14ac:dyDescent="0.15">
      <c r="A427" s="1">
        <v>144</v>
      </c>
      <c r="B427" s="666" t="s">
        <v>4597</v>
      </c>
      <c r="C427" s="4" t="s">
        <v>4301</v>
      </c>
      <c r="D427" s="4" t="s">
        <v>3227</v>
      </c>
      <c r="E427" s="665" t="s">
        <v>4297</v>
      </c>
      <c r="F427" s="1">
        <v>10</v>
      </c>
      <c r="G427" s="1">
        <v>2</v>
      </c>
      <c r="H427" s="4" t="s">
        <v>4334</v>
      </c>
    </row>
    <row r="428" spans="1:9" x14ac:dyDescent="0.15">
      <c r="A428" s="1">
        <v>150</v>
      </c>
      <c r="B428" s="666" t="s">
        <v>4598</v>
      </c>
      <c r="C428" s="4" t="s">
        <v>4301</v>
      </c>
      <c r="D428" s="4" t="s">
        <v>3227</v>
      </c>
      <c r="E428" s="665" t="s">
        <v>4297</v>
      </c>
      <c r="F428" s="1">
        <v>50</v>
      </c>
      <c r="G428" s="1">
        <v>2</v>
      </c>
      <c r="H428" s="4" t="s">
        <v>4334</v>
      </c>
    </row>
    <row r="429" spans="1:9" x14ac:dyDescent="0.15">
      <c r="A429" s="1">
        <v>194</v>
      </c>
      <c r="B429" s="666" t="s">
        <v>4600</v>
      </c>
      <c r="C429" s="4" t="s">
        <v>4301</v>
      </c>
      <c r="D429" s="4" t="s">
        <v>3227</v>
      </c>
      <c r="E429" s="665" t="s">
        <v>4297</v>
      </c>
      <c r="F429" s="1">
        <v>10</v>
      </c>
      <c r="G429" s="1">
        <v>1</v>
      </c>
      <c r="H429" s="4" t="s">
        <v>4304</v>
      </c>
    </row>
    <row r="430" spans="1:9" x14ac:dyDescent="0.15">
      <c r="A430" s="1">
        <v>195</v>
      </c>
      <c r="B430" s="666" t="s">
        <v>4604</v>
      </c>
      <c r="C430" s="4" t="s">
        <v>4301</v>
      </c>
      <c r="D430" s="4" t="s">
        <v>3227</v>
      </c>
      <c r="E430" s="665" t="s">
        <v>4297</v>
      </c>
      <c r="F430" s="1">
        <v>10</v>
      </c>
      <c r="G430" s="1">
        <v>0</v>
      </c>
      <c r="H430" s="4" t="s">
        <v>4298</v>
      </c>
    </row>
    <row r="431" spans="1:9" x14ac:dyDescent="0.15">
      <c r="A431" s="1">
        <v>210</v>
      </c>
      <c r="B431" s="666" t="s">
        <v>4605</v>
      </c>
      <c r="C431" s="4" t="s">
        <v>4301</v>
      </c>
      <c r="D431" s="4" t="s">
        <v>3227</v>
      </c>
      <c r="E431" s="665" t="s">
        <v>4297</v>
      </c>
      <c r="F431" s="1">
        <v>10</v>
      </c>
      <c r="G431" s="1">
        <v>2</v>
      </c>
      <c r="H431" s="4" t="s">
        <v>4334</v>
      </c>
    </row>
    <row r="432" spans="1:9" x14ac:dyDescent="0.15">
      <c r="A432" s="1">
        <v>211</v>
      </c>
      <c r="B432" s="666" t="s">
        <v>4607</v>
      </c>
      <c r="C432" s="4" t="s">
        <v>4301</v>
      </c>
      <c r="D432" s="4" t="s">
        <v>3227</v>
      </c>
      <c r="E432" s="665" t="s">
        <v>4297</v>
      </c>
      <c r="F432" s="1">
        <v>50</v>
      </c>
      <c r="G432" s="1">
        <v>2</v>
      </c>
      <c r="H432" s="4" t="s">
        <v>4334</v>
      </c>
    </row>
    <row r="433" spans="1:10" x14ac:dyDescent="0.15">
      <c r="A433" s="1">
        <v>257</v>
      </c>
      <c r="B433" s="666" t="s">
        <v>4612</v>
      </c>
      <c r="C433" s="4" t="s">
        <v>4301</v>
      </c>
      <c r="D433" s="4" t="s">
        <v>3227</v>
      </c>
      <c r="E433" s="665" t="s">
        <v>4297</v>
      </c>
      <c r="F433" s="1">
        <v>5</v>
      </c>
      <c r="G433" s="1">
        <v>1</v>
      </c>
      <c r="H433" s="4" t="s">
        <v>4304</v>
      </c>
    </row>
    <row r="434" spans="1:10" x14ac:dyDescent="0.15">
      <c r="A434" s="1">
        <v>270</v>
      </c>
      <c r="B434" s="666" t="s">
        <v>4614</v>
      </c>
      <c r="C434" s="4" t="s">
        <v>4301</v>
      </c>
      <c r="D434" s="4" t="s">
        <v>3227</v>
      </c>
      <c r="E434" s="665" t="s">
        <v>4297</v>
      </c>
      <c r="F434" s="1">
        <v>10</v>
      </c>
      <c r="G434" s="1">
        <v>2</v>
      </c>
      <c r="H434" s="4" t="s">
        <v>4334</v>
      </c>
    </row>
    <row r="435" spans="1:10" x14ac:dyDescent="0.15">
      <c r="A435" s="662" t="s">
        <v>4664</v>
      </c>
      <c r="B435" s="666" t="s">
        <v>4617</v>
      </c>
      <c r="C435" s="4" t="s">
        <v>4301</v>
      </c>
      <c r="D435" s="4" t="s">
        <v>3227</v>
      </c>
      <c r="E435" s="665" t="s">
        <v>4297</v>
      </c>
      <c r="F435" s="1">
        <v>50</v>
      </c>
      <c r="G435" s="1">
        <v>3</v>
      </c>
      <c r="H435" s="4" t="s">
        <v>4304</v>
      </c>
    </row>
    <row r="436" spans="1:10" x14ac:dyDescent="0.15">
      <c r="A436" s="662" t="s">
        <v>4665</v>
      </c>
      <c r="B436" s="666" t="s">
        <v>4618</v>
      </c>
      <c r="C436" s="4" t="s">
        <v>4301</v>
      </c>
      <c r="D436" s="4" t="s">
        <v>3227</v>
      </c>
      <c r="E436" s="665" t="s">
        <v>4297</v>
      </c>
      <c r="F436" s="1">
        <v>10</v>
      </c>
      <c r="G436" s="1">
        <v>1</v>
      </c>
      <c r="H436" s="4" t="s">
        <v>4304</v>
      </c>
    </row>
    <row r="437" spans="1:10" x14ac:dyDescent="0.15">
      <c r="A437" s="1">
        <v>25</v>
      </c>
      <c r="B437" s="666" t="s">
        <v>4620</v>
      </c>
      <c r="C437" s="4" t="s">
        <v>4351</v>
      </c>
      <c r="D437" s="4" t="s">
        <v>4303</v>
      </c>
      <c r="E437" s="665" t="s">
        <v>4297</v>
      </c>
      <c r="F437" s="1">
        <v>10</v>
      </c>
      <c r="G437" s="1">
        <v>1</v>
      </c>
      <c r="H437" s="4" t="s">
        <v>4304</v>
      </c>
    </row>
    <row r="438" spans="1:10" x14ac:dyDescent="0.15">
      <c r="A438" s="1">
        <v>33</v>
      </c>
      <c r="B438" s="666" t="s">
        <v>4621</v>
      </c>
      <c r="C438" s="4" t="s">
        <v>4351</v>
      </c>
      <c r="D438" s="4" t="s">
        <v>4303</v>
      </c>
      <c r="E438" s="665" t="s">
        <v>4297</v>
      </c>
      <c r="F438" s="1">
        <v>20</v>
      </c>
      <c r="G438" s="1">
        <v>0</v>
      </c>
      <c r="H438" s="4" t="s">
        <v>4298</v>
      </c>
    </row>
    <row r="439" spans="1:10" x14ac:dyDescent="0.15">
      <c r="A439" s="1">
        <v>34</v>
      </c>
      <c r="B439" s="666" t="s">
        <v>4622</v>
      </c>
      <c r="C439" s="4" t="s">
        <v>4351</v>
      </c>
      <c r="D439" s="4" t="s">
        <v>4303</v>
      </c>
      <c r="E439" s="665" t="s">
        <v>4297</v>
      </c>
      <c r="F439" s="1">
        <v>10</v>
      </c>
      <c r="G439" s="1">
        <v>1</v>
      </c>
      <c r="H439" s="4" t="s">
        <v>4304</v>
      </c>
    </row>
    <row r="440" spans="1:10" x14ac:dyDescent="0.15">
      <c r="A440" s="1">
        <v>36</v>
      </c>
      <c r="B440" s="666" t="s">
        <v>4623</v>
      </c>
      <c r="C440" s="4" t="s">
        <v>4351</v>
      </c>
      <c r="D440" s="4" t="s">
        <v>4303</v>
      </c>
      <c r="E440" s="665" t="s">
        <v>4297</v>
      </c>
      <c r="F440" s="1">
        <v>10</v>
      </c>
      <c r="G440" s="1">
        <v>1</v>
      </c>
      <c r="H440" s="4" t="s">
        <v>4304</v>
      </c>
      <c r="I440" s="4" t="s">
        <v>4363</v>
      </c>
    </row>
    <row r="441" spans="1:10" x14ac:dyDescent="0.15">
      <c r="A441" s="1">
        <v>38</v>
      </c>
      <c r="B441" s="666" t="s">
        <v>4624</v>
      </c>
      <c r="C441" s="4" t="s">
        <v>4351</v>
      </c>
      <c r="D441" s="4" t="s">
        <v>4303</v>
      </c>
      <c r="E441" s="665" t="s">
        <v>4297</v>
      </c>
      <c r="F441" s="1">
        <v>20</v>
      </c>
      <c r="G441" s="1">
        <v>1</v>
      </c>
      <c r="H441" s="4" t="s">
        <v>4304</v>
      </c>
    </row>
    <row r="442" spans="1:10" x14ac:dyDescent="0.15">
      <c r="A442" s="1">
        <v>45</v>
      </c>
      <c r="B442" s="666" t="s">
        <v>4625</v>
      </c>
      <c r="C442" s="4" t="s">
        <v>4351</v>
      </c>
      <c r="D442" s="4" t="s">
        <v>4303</v>
      </c>
      <c r="E442" s="665" t="s">
        <v>4297</v>
      </c>
      <c r="F442" s="1">
        <v>10</v>
      </c>
      <c r="G442" s="1">
        <v>0</v>
      </c>
      <c r="H442" s="4" t="s">
        <v>4298</v>
      </c>
    </row>
    <row r="443" spans="1:10" x14ac:dyDescent="0.15">
      <c r="A443" s="1">
        <v>47</v>
      </c>
      <c r="B443" s="666" t="s">
        <v>4626</v>
      </c>
      <c r="C443" s="4" t="s">
        <v>4351</v>
      </c>
      <c r="D443" s="4" t="s">
        <v>4303</v>
      </c>
      <c r="E443" s="665" t="s">
        <v>4297</v>
      </c>
      <c r="F443" s="1">
        <v>10</v>
      </c>
      <c r="G443" s="1">
        <v>1</v>
      </c>
      <c r="H443" s="4" t="s">
        <v>4304</v>
      </c>
    </row>
    <row r="444" spans="1:10" x14ac:dyDescent="0.15">
      <c r="A444" s="1">
        <v>48</v>
      </c>
      <c r="B444" s="666" t="s">
        <v>4627</v>
      </c>
      <c r="C444" s="4" t="s">
        <v>4351</v>
      </c>
      <c r="D444" s="4" t="s">
        <v>4303</v>
      </c>
      <c r="E444" s="665" t="s">
        <v>4297</v>
      </c>
      <c r="F444" s="1">
        <v>10</v>
      </c>
      <c r="G444" s="1">
        <v>1</v>
      </c>
      <c r="H444" s="4" t="s">
        <v>4304</v>
      </c>
    </row>
    <row r="445" spans="1:10" x14ac:dyDescent="0.15">
      <c r="A445" s="1">
        <v>79</v>
      </c>
      <c r="B445" s="666" t="s">
        <v>4628</v>
      </c>
      <c r="C445" s="4" t="s">
        <v>4351</v>
      </c>
      <c r="D445" s="4" t="s">
        <v>4303</v>
      </c>
      <c r="E445" s="665" t="s">
        <v>4297</v>
      </c>
      <c r="F445" s="1">
        <v>10</v>
      </c>
      <c r="G445" s="1">
        <v>1</v>
      </c>
      <c r="H445" s="4" t="s">
        <v>4304</v>
      </c>
    </row>
    <row r="446" spans="1:10" x14ac:dyDescent="0.15">
      <c r="A446" s="1">
        <v>82</v>
      </c>
      <c r="B446" s="666" t="s">
        <v>4629</v>
      </c>
      <c r="C446" s="4" t="s">
        <v>4351</v>
      </c>
      <c r="D446" s="4" t="s">
        <v>4303</v>
      </c>
      <c r="E446" s="665" t="s">
        <v>4297</v>
      </c>
      <c r="F446" s="1">
        <v>20</v>
      </c>
      <c r="G446" s="1">
        <v>0</v>
      </c>
      <c r="H446" s="4" t="s">
        <v>4298</v>
      </c>
      <c r="J446" s="4" t="s">
        <v>4406</v>
      </c>
    </row>
    <row r="447" spans="1:10" x14ac:dyDescent="0.15">
      <c r="A447" s="1">
        <v>92</v>
      </c>
      <c r="B447" s="666" t="s">
        <v>4630</v>
      </c>
      <c r="C447" s="4" t="s">
        <v>4351</v>
      </c>
      <c r="D447" s="4" t="s">
        <v>4303</v>
      </c>
      <c r="E447" s="665" t="s">
        <v>4297</v>
      </c>
      <c r="F447" s="1">
        <v>10</v>
      </c>
      <c r="G447" s="1">
        <v>1</v>
      </c>
      <c r="H447" s="4" t="s">
        <v>4304</v>
      </c>
    </row>
    <row r="448" spans="1:10" x14ac:dyDescent="0.15">
      <c r="A448" s="1">
        <v>117</v>
      </c>
      <c r="B448" s="666" t="s">
        <v>4631</v>
      </c>
      <c r="C448" s="4" t="s">
        <v>4351</v>
      </c>
      <c r="D448" s="4" t="s">
        <v>4303</v>
      </c>
      <c r="E448" s="665" t="s">
        <v>4297</v>
      </c>
      <c r="F448" s="1">
        <v>10</v>
      </c>
      <c r="G448" s="1">
        <v>0</v>
      </c>
      <c r="H448" s="4" t="s">
        <v>4298</v>
      </c>
      <c r="I448" s="4" t="s">
        <v>4464</v>
      </c>
    </row>
    <row r="449" spans="1:10" x14ac:dyDescent="0.15">
      <c r="A449" s="1">
        <v>127</v>
      </c>
      <c r="B449" s="666" t="s">
        <v>4634</v>
      </c>
      <c r="C449" s="4" t="s">
        <v>4351</v>
      </c>
      <c r="D449" s="4" t="s">
        <v>4427</v>
      </c>
      <c r="E449" s="665" t="s">
        <v>4297</v>
      </c>
      <c r="F449" s="1">
        <v>10</v>
      </c>
      <c r="G449" s="1">
        <v>1</v>
      </c>
      <c r="H449" s="4" t="s">
        <v>4348</v>
      </c>
    </row>
    <row r="450" spans="1:10" x14ac:dyDescent="0.15">
      <c r="A450" s="1">
        <v>138</v>
      </c>
      <c r="B450" s="666" t="s">
        <v>4635</v>
      </c>
      <c r="C450" s="4" t="s">
        <v>4351</v>
      </c>
      <c r="D450" s="4" t="s">
        <v>4303</v>
      </c>
      <c r="E450" s="665" t="s">
        <v>4297</v>
      </c>
      <c r="F450" s="1">
        <v>10</v>
      </c>
      <c r="G450" s="1">
        <v>0</v>
      </c>
      <c r="H450" s="4" t="s">
        <v>4298</v>
      </c>
      <c r="I450" s="4" t="s">
        <v>4075</v>
      </c>
    </row>
    <row r="451" spans="1:10" x14ac:dyDescent="0.15">
      <c r="A451" s="1">
        <v>148</v>
      </c>
      <c r="B451" s="666" t="s">
        <v>4636</v>
      </c>
      <c r="C451" s="4" t="s">
        <v>4351</v>
      </c>
      <c r="D451" s="4" t="s">
        <v>4303</v>
      </c>
      <c r="E451" s="665" t="s">
        <v>4297</v>
      </c>
      <c r="F451" s="1">
        <v>10</v>
      </c>
      <c r="G451" s="1">
        <v>1</v>
      </c>
      <c r="H451" s="4" t="s">
        <v>4304</v>
      </c>
    </row>
    <row r="452" spans="1:10" x14ac:dyDescent="0.15">
      <c r="A452" s="1">
        <v>205</v>
      </c>
      <c r="B452" s="666" t="s">
        <v>4637</v>
      </c>
      <c r="C452" s="4" t="s">
        <v>4351</v>
      </c>
      <c r="D452" s="4" t="s">
        <v>4323</v>
      </c>
      <c r="E452" s="665" t="s">
        <v>4297</v>
      </c>
      <c r="F452" s="1">
        <v>20</v>
      </c>
      <c r="G452" s="1">
        <v>0</v>
      </c>
      <c r="H452" s="4" t="s">
        <v>4298</v>
      </c>
      <c r="I452" s="4" t="s">
        <v>4585</v>
      </c>
    </row>
    <row r="453" spans="1:10" x14ac:dyDescent="0.15">
      <c r="A453" s="1">
        <v>207</v>
      </c>
      <c r="B453" s="666" t="s">
        <v>4638</v>
      </c>
      <c r="C453" s="4" t="s">
        <v>4351</v>
      </c>
      <c r="D453" s="4" t="s">
        <v>4427</v>
      </c>
      <c r="E453" s="665" t="s">
        <v>4297</v>
      </c>
      <c r="F453" s="1">
        <v>10</v>
      </c>
      <c r="G453" s="1">
        <v>0</v>
      </c>
      <c r="H453" s="4" t="s">
        <v>4298</v>
      </c>
      <c r="I453" s="4" t="s">
        <v>4585</v>
      </c>
    </row>
    <row r="454" spans="1:10" x14ac:dyDescent="0.15">
      <c r="A454" s="1">
        <v>208</v>
      </c>
      <c r="B454" s="666" t="s">
        <v>4639</v>
      </c>
      <c r="C454" s="4" t="s">
        <v>4351</v>
      </c>
      <c r="D454" s="4" t="s">
        <v>4602</v>
      </c>
      <c r="E454" s="665" t="s">
        <v>4297</v>
      </c>
      <c r="F454" s="1">
        <v>20</v>
      </c>
      <c r="G454" s="1">
        <v>0</v>
      </c>
      <c r="H454" s="4" t="s">
        <v>4298</v>
      </c>
      <c r="I454" s="4" t="s">
        <v>4585</v>
      </c>
    </row>
    <row r="455" spans="1:10" x14ac:dyDescent="0.15">
      <c r="A455" s="1">
        <v>245</v>
      </c>
      <c r="B455" s="666" t="s">
        <v>4640</v>
      </c>
      <c r="C455" s="4" t="s">
        <v>4351</v>
      </c>
      <c r="D455" s="4" t="s">
        <v>4303</v>
      </c>
      <c r="E455" s="665" t="s">
        <v>4297</v>
      </c>
      <c r="F455" s="1">
        <v>10</v>
      </c>
      <c r="G455" s="1">
        <v>1</v>
      </c>
      <c r="H455" s="4" t="s">
        <v>4304</v>
      </c>
    </row>
    <row r="456" spans="1:10" x14ac:dyDescent="0.15">
      <c r="A456" s="1">
        <v>102</v>
      </c>
      <c r="B456" s="666" t="s">
        <v>4641</v>
      </c>
      <c r="C456" s="4" t="s">
        <v>4351</v>
      </c>
      <c r="D456" s="4" t="s">
        <v>4323</v>
      </c>
      <c r="E456" s="665" t="s">
        <v>4297</v>
      </c>
      <c r="F456" s="1">
        <v>20</v>
      </c>
      <c r="G456" s="1">
        <v>2</v>
      </c>
      <c r="H456" s="4" t="s">
        <v>4334</v>
      </c>
    </row>
    <row r="457" spans="1:10" x14ac:dyDescent="0.15">
      <c r="A457" s="1">
        <v>5</v>
      </c>
      <c r="B457" s="666" t="s">
        <v>4642</v>
      </c>
      <c r="C457" s="4" t="s">
        <v>4312</v>
      </c>
      <c r="D457" s="4" t="s">
        <v>4303</v>
      </c>
      <c r="E457" s="665" t="s">
        <v>4297</v>
      </c>
      <c r="F457" s="1">
        <v>10</v>
      </c>
      <c r="G457" s="1">
        <v>0</v>
      </c>
      <c r="H457" s="4" t="s">
        <v>4298</v>
      </c>
      <c r="I457" s="4" t="s">
        <v>651</v>
      </c>
    </row>
    <row r="458" spans="1:10" x14ac:dyDescent="0.15">
      <c r="A458" s="1">
        <v>8</v>
      </c>
      <c r="B458" s="666" t="s">
        <v>4643</v>
      </c>
      <c r="C458" s="4" t="s">
        <v>4312</v>
      </c>
      <c r="D458" s="4" t="s">
        <v>4303</v>
      </c>
      <c r="E458" s="665" t="s">
        <v>4297</v>
      </c>
      <c r="F458" s="1">
        <v>10</v>
      </c>
      <c r="G458" s="1">
        <v>0</v>
      </c>
      <c r="H458" s="4" t="s">
        <v>4298</v>
      </c>
    </row>
    <row r="459" spans="1:10" x14ac:dyDescent="0.15">
      <c r="A459" s="1">
        <v>9</v>
      </c>
      <c r="B459" s="666" t="s">
        <v>4644</v>
      </c>
      <c r="C459" s="4" t="s">
        <v>4312</v>
      </c>
      <c r="D459" s="4" t="s">
        <v>4323</v>
      </c>
      <c r="E459" s="665" t="s">
        <v>4297</v>
      </c>
      <c r="F459" s="1">
        <v>10</v>
      </c>
      <c r="G459" s="1">
        <v>0</v>
      </c>
      <c r="H459" s="4" t="s">
        <v>4298</v>
      </c>
      <c r="J459" s="4" t="s">
        <v>4324</v>
      </c>
    </row>
    <row r="460" spans="1:10" x14ac:dyDescent="0.15">
      <c r="A460" s="1">
        <v>10</v>
      </c>
      <c r="B460" s="666" t="s">
        <v>4645</v>
      </c>
      <c r="C460" s="4" t="s">
        <v>4312</v>
      </c>
      <c r="D460" s="4" t="s">
        <v>4303</v>
      </c>
      <c r="E460" s="665" t="s">
        <v>4297</v>
      </c>
      <c r="F460" s="1">
        <v>10</v>
      </c>
      <c r="G460" s="1">
        <v>0</v>
      </c>
      <c r="H460" s="4" t="s">
        <v>4298</v>
      </c>
    </row>
    <row r="461" spans="1:10" x14ac:dyDescent="0.15">
      <c r="A461" s="1">
        <v>13</v>
      </c>
      <c r="B461" s="666" t="s">
        <v>4646</v>
      </c>
      <c r="C461" s="4" t="s">
        <v>4312</v>
      </c>
      <c r="D461" s="1" t="s">
        <v>4333</v>
      </c>
      <c r="E461" s="665" t="s">
        <v>4297</v>
      </c>
      <c r="F461" s="1">
        <v>20</v>
      </c>
      <c r="G461" s="1">
        <v>2</v>
      </c>
      <c r="H461" s="4" t="s">
        <v>4334</v>
      </c>
    </row>
    <row r="462" spans="1:10" x14ac:dyDescent="0.15">
      <c r="A462" s="1">
        <v>24</v>
      </c>
      <c r="B462" s="666" t="s">
        <v>4647</v>
      </c>
      <c r="C462" s="4" t="s">
        <v>4312</v>
      </c>
      <c r="D462" s="4" t="s">
        <v>4323</v>
      </c>
      <c r="E462" s="665" t="s">
        <v>4297</v>
      </c>
      <c r="F462" s="1">
        <v>10</v>
      </c>
      <c r="G462" s="1">
        <v>1</v>
      </c>
      <c r="H462" s="4" t="s">
        <v>4348</v>
      </c>
    </row>
    <row r="463" spans="1:10" x14ac:dyDescent="0.15">
      <c r="A463" s="1">
        <v>29</v>
      </c>
      <c r="B463" s="666" t="s">
        <v>4648</v>
      </c>
      <c r="C463" s="4" t="s">
        <v>4312</v>
      </c>
      <c r="D463" s="4" t="s">
        <v>4303</v>
      </c>
      <c r="E463" s="665" t="s">
        <v>4297</v>
      </c>
      <c r="F463" s="1">
        <v>30</v>
      </c>
      <c r="G463" s="1">
        <v>1</v>
      </c>
      <c r="H463" s="4" t="s">
        <v>4304</v>
      </c>
    </row>
    <row r="464" spans="1:10" x14ac:dyDescent="0.15">
      <c r="A464" s="1">
        <v>55</v>
      </c>
      <c r="B464" s="666" t="s">
        <v>4650</v>
      </c>
      <c r="C464" s="4" t="s">
        <v>4312</v>
      </c>
      <c r="D464" s="4" t="s">
        <v>4303</v>
      </c>
      <c r="E464" s="665" t="s">
        <v>4297</v>
      </c>
      <c r="F464" s="1">
        <v>30</v>
      </c>
      <c r="G464" s="1">
        <v>0</v>
      </c>
      <c r="H464" s="4" t="s">
        <v>4298</v>
      </c>
    </row>
    <row r="465" spans="1:8" x14ac:dyDescent="0.15">
      <c r="A465" s="1">
        <v>56</v>
      </c>
      <c r="B465" s="666" t="s">
        <v>4651</v>
      </c>
      <c r="C465" s="4" t="s">
        <v>4312</v>
      </c>
      <c r="D465" s="4" t="s">
        <v>4303</v>
      </c>
      <c r="E465" s="665" t="s">
        <v>4297</v>
      </c>
      <c r="F465" s="1">
        <v>20</v>
      </c>
      <c r="G465" s="1">
        <v>0</v>
      </c>
      <c r="H465" s="4" t="s">
        <v>4298</v>
      </c>
    </row>
    <row r="466" spans="1:8" x14ac:dyDescent="0.15">
      <c r="A466" s="1">
        <v>57</v>
      </c>
      <c r="B466" s="666" t="s">
        <v>4652</v>
      </c>
      <c r="C466" s="4" t="s">
        <v>4312</v>
      </c>
      <c r="D466" s="4" t="s">
        <v>4303</v>
      </c>
      <c r="E466" s="665" t="s">
        <v>4297</v>
      </c>
      <c r="F466" s="1">
        <v>20</v>
      </c>
      <c r="G466" s="1">
        <v>0</v>
      </c>
      <c r="H466" s="4" t="s">
        <v>4298</v>
      </c>
    </row>
    <row r="467" spans="1:8" x14ac:dyDescent="0.15">
      <c r="A467" s="1">
        <v>58</v>
      </c>
      <c r="B467" s="666" t="s">
        <v>4653</v>
      </c>
      <c r="C467" s="4" t="s">
        <v>4312</v>
      </c>
      <c r="D467" s="4" t="s">
        <v>4303</v>
      </c>
      <c r="E467" s="665" t="s">
        <v>4297</v>
      </c>
      <c r="F467" s="1">
        <v>10</v>
      </c>
      <c r="G467" s="1">
        <v>0</v>
      </c>
      <c r="H467" s="4" t="s">
        <v>4298</v>
      </c>
    </row>
    <row r="468" spans="1:8" x14ac:dyDescent="0.15">
      <c r="A468" s="1">
        <v>59</v>
      </c>
      <c r="B468" s="666" t="s">
        <v>4654</v>
      </c>
      <c r="C468" s="4" t="s">
        <v>4312</v>
      </c>
      <c r="D468" s="4" t="s">
        <v>4303</v>
      </c>
      <c r="E468" s="665" t="s">
        <v>4297</v>
      </c>
      <c r="F468" s="1">
        <v>10</v>
      </c>
      <c r="G468" s="1">
        <v>0</v>
      </c>
      <c r="H468" s="4" t="s">
        <v>4298</v>
      </c>
    </row>
    <row r="469" spans="1:8" x14ac:dyDescent="0.15">
      <c r="A469" s="1">
        <v>60</v>
      </c>
      <c r="B469" s="666" t="s">
        <v>4655</v>
      </c>
      <c r="C469" s="4" t="s">
        <v>4312</v>
      </c>
      <c r="D469" s="4" t="s">
        <v>4303</v>
      </c>
      <c r="E469" s="665" t="s">
        <v>4297</v>
      </c>
      <c r="F469" s="1">
        <v>10</v>
      </c>
      <c r="G469" s="1">
        <v>0</v>
      </c>
      <c r="H469" s="4" t="s">
        <v>4298</v>
      </c>
    </row>
    <row r="470" spans="1:8" x14ac:dyDescent="0.15">
      <c r="A470" s="1">
        <v>61</v>
      </c>
      <c r="B470" s="666" t="s">
        <v>4656</v>
      </c>
      <c r="C470" s="4" t="s">
        <v>4312</v>
      </c>
      <c r="D470" s="4" t="s">
        <v>4303</v>
      </c>
      <c r="E470" s="665" t="s">
        <v>4297</v>
      </c>
      <c r="F470" s="1">
        <v>10</v>
      </c>
      <c r="G470" s="1">
        <v>0</v>
      </c>
      <c r="H470" s="4" t="s">
        <v>4298</v>
      </c>
    </row>
    <row r="471" spans="1:8" x14ac:dyDescent="0.15">
      <c r="A471" s="1">
        <v>62</v>
      </c>
      <c r="B471" s="666" t="s">
        <v>4657</v>
      </c>
      <c r="C471" s="4" t="s">
        <v>4312</v>
      </c>
      <c r="D471" s="4" t="s">
        <v>4303</v>
      </c>
      <c r="E471" s="665" t="s">
        <v>4297</v>
      </c>
      <c r="F471" s="1">
        <v>20</v>
      </c>
      <c r="G471" s="1">
        <v>0</v>
      </c>
      <c r="H471" s="4" t="s">
        <v>4298</v>
      </c>
    </row>
    <row r="472" spans="1:8" x14ac:dyDescent="0.15">
      <c r="A472" s="1">
        <v>63</v>
      </c>
      <c r="B472" s="666" t="s">
        <v>4658</v>
      </c>
      <c r="C472" s="4" t="s">
        <v>4312</v>
      </c>
      <c r="D472" s="4" t="s">
        <v>4303</v>
      </c>
      <c r="E472" s="665" t="s">
        <v>4297</v>
      </c>
      <c r="F472" s="1">
        <v>10</v>
      </c>
      <c r="G472" s="1">
        <v>0</v>
      </c>
      <c r="H472" s="4" t="s">
        <v>4298</v>
      </c>
    </row>
    <row r="473" spans="1:8" x14ac:dyDescent="0.15">
      <c r="A473" s="1">
        <v>64</v>
      </c>
      <c r="B473" s="666" t="s">
        <v>4659</v>
      </c>
      <c r="C473" s="4" t="s">
        <v>4312</v>
      </c>
      <c r="D473" s="4" t="s">
        <v>4303</v>
      </c>
      <c r="E473" s="665" t="s">
        <v>4297</v>
      </c>
      <c r="F473" s="1">
        <v>20</v>
      </c>
      <c r="G473" s="1">
        <v>0</v>
      </c>
      <c r="H473" s="4" t="s">
        <v>4298</v>
      </c>
    </row>
    <row r="474" spans="1:8" x14ac:dyDescent="0.15">
      <c r="A474" s="1">
        <v>65</v>
      </c>
      <c r="B474" s="666" t="s">
        <v>4660</v>
      </c>
      <c r="C474" s="4" t="s">
        <v>4312</v>
      </c>
      <c r="D474" s="4" t="s">
        <v>4303</v>
      </c>
      <c r="E474" s="665" t="s">
        <v>4297</v>
      </c>
      <c r="F474" s="1">
        <v>10</v>
      </c>
      <c r="G474" s="1">
        <v>0</v>
      </c>
      <c r="H474" s="4" t="s">
        <v>4298</v>
      </c>
    </row>
    <row r="475" spans="1:8" x14ac:dyDescent="0.15">
      <c r="A475" s="1">
        <v>66</v>
      </c>
      <c r="B475" s="666" t="s">
        <v>4667</v>
      </c>
      <c r="C475" s="4" t="s">
        <v>4312</v>
      </c>
      <c r="D475" s="4" t="s">
        <v>4303</v>
      </c>
      <c r="E475" s="665" t="s">
        <v>4297</v>
      </c>
      <c r="F475" s="1">
        <v>5</v>
      </c>
      <c r="G475" s="1">
        <v>0</v>
      </c>
      <c r="H475" s="4" t="s">
        <v>4298</v>
      </c>
    </row>
    <row r="476" spans="1:8" x14ac:dyDescent="0.15">
      <c r="A476" s="1">
        <v>67</v>
      </c>
      <c r="B476" s="666" t="s">
        <v>466</v>
      </c>
      <c r="C476" s="4" t="s">
        <v>4312</v>
      </c>
      <c r="D476" s="4" t="s">
        <v>4303</v>
      </c>
      <c r="E476" s="665" t="s">
        <v>4297</v>
      </c>
      <c r="F476" s="1">
        <v>10</v>
      </c>
      <c r="G476" s="1">
        <v>0</v>
      </c>
      <c r="H476" s="4" t="s">
        <v>4298</v>
      </c>
    </row>
    <row r="477" spans="1:8" x14ac:dyDescent="0.15">
      <c r="A477" s="1">
        <v>68</v>
      </c>
      <c r="B477" s="666" t="s">
        <v>4490</v>
      </c>
      <c r="C477" s="4" t="s">
        <v>4312</v>
      </c>
      <c r="D477" s="4" t="s">
        <v>4303</v>
      </c>
      <c r="E477" s="665" t="s">
        <v>4297</v>
      </c>
      <c r="F477" s="1">
        <v>10</v>
      </c>
      <c r="G477" s="1">
        <v>0</v>
      </c>
      <c r="H477" s="4" t="s">
        <v>4298</v>
      </c>
    </row>
    <row r="478" spans="1:8" x14ac:dyDescent="0.15">
      <c r="A478" s="1">
        <v>69</v>
      </c>
      <c r="B478" s="666" t="s">
        <v>4523</v>
      </c>
      <c r="C478" s="4" t="s">
        <v>4312</v>
      </c>
      <c r="D478" s="4" t="s">
        <v>4303</v>
      </c>
      <c r="E478" s="665" t="s">
        <v>4297</v>
      </c>
      <c r="F478" s="1">
        <v>10</v>
      </c>
      <c r="G478" s="1">
        <v>0</v>
      </c>
      <c r="H478" s="4" t="s">
        <v>4298</v>
      </c>
    </row>
    <row r="479" spans="1:8" x14ac:dyDescent="0.15">
      <c r="A479" s="1">
        <v>70</v>
      </c>
      <c r="B479" s="666" t="s">
        <v>4525</v>
      </c>
      <c r="C479" s="4" t="s">
        <v>4312</v>
      </c>
      <c r="D479" s="4" t="s">
        <v>4303</v>
      </c>
      <c r="E479" s="665" t="s">
        <v>4297</v>
      </c>
      <c r="F479" s="1">
        <v>10</v>
      </c>
      <c r="G479" s="1">
        <v>0</v>
      </c>
      <c r="H479" s="4" t="s">
        <v>4298</v>
      </c>
    </row>
    <row r="480" spans="1:8" x14ac:dyDescent="0.15">
      <c r="A480" s="1">
        <v>71</v>
      </c>
      <c r="B480" s="665" t="s">
        <v>4349</v>
      </c>
      <c r="C480" s="4" t="s">
        <v>4312</v>
      </c>
      <c r="D480" s="4" t="s">
        <v>4303</v>
      </c>
      <c r="E480" s="665" t="s">
        <v>4297</v>
      </c>
      <c r="F480" s="1">
        <v>20</v>
      </c>
      <c r="G480" s="1">
        <v>0</v>
      </c>
      <c r="H480" s="4" t="s">
        <v>4298</v>
      </c>
    </row>
    <row r="481" spans="1:9" x14ac:dyDescent="0.15">
      <c r="A481" s="1">
        <v>72</v>
      </c>
      <c r="B481" s="665" t="s">
        <v>4381</v>
      </c>
      <c r="C481" s="4" t="s">
        <v>4312</v>
      </c>
      <c r="D481" s="4" t="s">
        <v>4303</v>
      </c>
      <c r="E481" s="665" t="s">
        <v>4297</v>
      </c>
      <c r="F481" s="1">
        <v>10</v>
      </c>
      <c r="G481" s="1">
        <v>0</v>
      </c>
      <c r="H481" s="4" t="s">
        <v>4298</v>
      </c>
    </row>
    <row r="482" spans="1:9" x14ac:dyDescent="0.15">
      <c r="A482" s="1">
        <v>97</v>
      </c>
      <c r="B482" s="665" t="s">
        <v>4408</v>
      </c>
      <c r="C482" s="4" t="s">
        <v>4312</v>
      </c>
      <c r="D482" s="4" t="s">
        <v>4303</v>
      </c>
      <c r="E482" s="665" t="s">
        <v>4297</v>
      </c>
      <c r="F482" s="1">
        <v>10</v>
      </c>
      <c r="G482" s="1">
        <v>0</v>
      </c>
      <c r="H482" s="4" t="s">
        <v>4298</v>
      </c>
    </row>
    <row r="483" spans="1:9" x14ac:dyDescent="0.15">
      <c r="A483" s="1">
        <v>110</v>
      </c>
      <c r="B483" s="665" t="s">
        <v>3570</v>
      </c>
      <c r="C483" s="4" t="s">
        <v>4312</v>
      </c>
      <c r="D483" s="4" t="s">
        <v>4303</v>
      </c>
      <c r="E483" s="665" t="s">
        <v>4297</v>
      </c>
      <c r="F483" s="1">
        <v>10</v>
      </c>
      <c r="G483" s="1">
        <v>1</v>
      </c>
      <c r="H483" s="4" t="s">
        <v>4304</v>
      </c>
    </row>
    <row r="484" spans="1:9" x14ac:dyDescent="0.15">
      <c r="A484" s="1">
        <v>146</v>
      </c>
      <c r="B484" s="665" t="s">
        <v>3565</v>
      </c>
      <c r="C484" s="4" t="s">
        <v>4312</v>
      </c>
      <c r="D484" s="4" t="s">
        <v>4303</v>
      </c>
      <c r="E484" s="665" t="s">
        <v>4297</v>
      </c>
      <c r="F484" s="1">
        <v>10</v>
      </c>
      <c r="G484" s="1">
        <v>0</v>
      </c>
    </row>
    <row r="485" spans="1:9" x14ac:dyDescent="0.15">
      <c r="A485" s="1">
        <v>156</v>
      </c>
      <c r="B485" s="665" t="s">
        <v>4473</v>
      </c>
      <c r="C485" s="4" t="s">
        <v>4312</v>
      </c>
      <c r="D485" s="4" t="s">
        <v>4303</v>
      </c>
      <c r="E485" s="665" t="s">
        <v>4297</v>
      </c>
      <c r="F485" s="1">
        <v>10</v>
      </c>
      <c r="G485" s="1">
        <v>1</v>
      </c>
      <c r="H485" s="4" t="s">
        <v>4304</v>
      </c>
    </row>
    <row r="486" spans="1:9" x14ac:dyDescent="0.15">
      <c r="A486" s="1">
        <v>157</v>
      </c>
      <c r="B486" s="665" t="s">
        <v>4516</v>
      </c>
      <c r="C486" s="4" t="s">
        <v>4312</v>
      </c>
      <c r="D486" s="4" t="s">
        <v>4303</v>
      </c>
      <c r="E486" s="665" t="s">
        <v>4297</v>
      </c>
      <c r="F486" s="1">
        <v>10</v>
      </c>
      <c r="G486" s="1">
        <v>0</v>
      </c>
    </row>
    <row r="487" spans="1:9" x14ac:dyDescent="0.15">
      <c r="A487" s="1">
        <v>158</v>
      </c>
      <c r="B487" s="665" t="s">
        <v>3561</v>
      </c>
      <c r="C487" s="4" t="s">
        <v>4312</v>
      </c>
      <c r="D487" s="4" t="s">
        <v>4303</v>
      </c>
      <c r="E487" s="665" t="s">
        <v>4297</v>
      </c>
      <c r="F487" s="1">
        <v>10</v>
      </c>
      <c r="G487" s="1">
        <v>0</v>
      </c>
    </row>
    <row r="488" spans="1:9" x14ac:dyDescent="0.15">
      <c r="A488" s="1">
        <v>159</v>
      </c>
      <c r="B488" s="665" t="s">
        <v>3568</v>
      </c>
      <c r="C488" s="4" t="s">
        <v>4312</v>
      </c>
      <c r="D488" s="4" t="s">
        <v>4303</v>
      </c>
      <c r="E488" s="665" t="s">
        <v>4297</v>
      </c>
      <c r="F488" s="1">
        <v>20</v>
      </c>
      <c r="G488" s="1">
        <v>0</v>
      </c>
    </row>
    <row r="489" spans="1:9" x14ac:dyDescent="0.15">
      <c r="A489" s="1">
        <v>161</v>
      </c>
      <c r="B489" s="665" t="s">
        <v>3574</v>
      </c>
      <c r="C489" s="4" t="s">
        <v>4312</v>
      </c>
      <c r="D489" s="4" t="s">
        <v>4303</v>
      </c>
      <c r="E489" s="665" t="s">
        <v>4297</v>
      </c>
      <c r="F489" s="1">
        <v>10</v>
      </c>
      <c r="G489" s="1">
        <v>0</v>
      </c>
    </row>
    <row r="490" spans="1:9" x14ac:dyDescent="0.15">
      <c r="A490" s="1">
        <v>165</v>
      </c>
      <c r="B490" s="665" t="s">
        <v>4661</v>
      </c>
      <c r="C490" s="4" t="s">
        <v>4312</v>
      </c>
      <c r="D490" s="4" t="s">
        <v>4303</v>
      </c>
      <c r="E490" s="665" t="s">
        <v>4297</v>
      </c>
      <c r="F490" s="1">
        <v>10</v>
      </c>
      <c r="G490" s="1">
        <v>0</v>
      </c>
    </row>
    <row r="491" spans="1:9" x14ac:dyDescent="0.15">
      <c r="A491" s="1">
        <v>197</v>
      </c>
      <c r="B491" s="665" t="s">
        <v>4662</v>
      </c>
      <c r="C491" s="4" t="s">
        <v>4312</v>
      </c>
      <c r="D491" s="4" t="s">
        <v>4303</v>
      </c>
      <c r="E491" s="665" t="s">
        <v>4297</v>
      </c>
      <c r="F491" s="1">
        <v>10</v>
      </c>
      <c r="G491" s="1">
        <v>0</v>
      </c>
      <c r="I491" s="4" t="s">
        <v>4585</v>
      </c>
    </row>
    <row r="492" spans="1:9" x14ac:dyDescent="0.15">
      <c r="A492" s="1">
        <v>198</v>
      </c>
      <c r="B492" s="665" t="s">
        <v>1479</v>
      </c>
      <c r="C492" s="4" t="s">
        <v>4312</v>
      </c>
      <c r="D492" s="4" t="s">
        <v>4303</v>
      </c>
      <c r="E492" s="665" t="s">
        <v>4297</v>
      </c>
      <c r="F492" s="1">
        <v>10</v>
      </c>
      <c r="G492" s="1">
        <v>0</v>
      </c>
      <c r="I492" s="4" t="s">
        <v>4585</v>
      </c>
    </row>
    <row r="493" spans="1:9" x14ac:dyDescent="0.15">
      <c r="A493" s="1">
        <v>199</v>
      </c>
      <c r="B493" s="665" t="s">
        <v>219</v>
      </c>
      <c r="C493" s="4" t="s">
        <v>4312</v>
      </c>
      <c r="D493" s="4" t="s">
        <v>4303</v>
      </c>
      <c r="E493" s="665" t="s">
        <v>4297</v>
      </c>
      <c r="F493" s="1">
        <v>10</v>
      </c>
      <c r="G493" s="1">
        <v>0</v>
      </c>
      <c r="I493" s="4" t="s">
        <v>4585</v>
      </c>
    </row>
    <row r="494" spans="1:9" x14ac:dyDescent="0.15">
      <c r="A494" s="1">
        <v>201</v>
      </c>
      <c r="B494" s="665" t="s">
        <v>1502</v>
      </c>
      <c r="C494" s="4" t="s">
        <v>4312</v>
      </c>
      <c r="D494" s="4" t="s">
        <v>4303</v>
      </c>
      <c r="E494" s="665" t="s">
        <v>4297</v>
      </c>
      <c r="F494" s="1">
        <v>20</v>
      </c>
      <c r="G494" s="1">
        <v>0</v>
      </c>
      <c r="I494" s="4" t="s">
        <v>4585</v>
      </c>
    </row>
    <row r="495" spans="1:9" x14ac:dyDescent="0.15">
      <c r="A495" s="1">
        <v>202</v>
      </c>
      <c r="B495" s="665" t="s">
        <v>4300</v>
      </c>
      <c r="C495" s="4" t="s">
        <v>4312</v>
      </c>
      <c r="D495" s="4" t="s">
        <v>4303</v>
      </c>
      <c r="E495" s="665" t="s">
        <v>4297</v>
      </c>
      <c r="F495" s="1">
        <v>20</v>
      </c>
      <c r="G495" s="1">
        <v>0</v>
      </c>
      <c r="I495" s="4" t="s">
        <v>4585</v>
      </c>
    </row>
    <row r="496" spans="1:9" x14ac:dyDescent="0.15">
      <c r="A496" s="1">
        <v>203</v>
      </c>
      <c r="B496" s="665" t="s">
        <v>4384</v>
      </c>
      <c r="C496" s="4" t="s">
        <v>4312</v>
      </c>
      <c r="D496" s="4" t="s">
        <v>4303</v>
      </c>
      <c r="E496" s="665" t="s">
        <v>4297</v>
      </c>
      <c r="F496" s="1">
        <v>20</v>
      </c>
      <c r="G496" s="1">
        <v>0</v>
      </c>
      <c r="I496" s="4" t="s">
        <v>4585</v>
      </c>
    </row>
    <row r="497" spans="1:10" x14ac:dyDescent="0.15">
      <c r="A497" s="1">
        <v>204</v>
      </c>
      <c r="B497" s="665" t="s">
        <v>4506</v>
      </c>
      <c r="C497" s="4" t="s">
        <v>4312</v>
      </c>
      <c r="D497" s="4" t="s">
        <v>4303</v>
      </c>
      <c r="E497" s="665" t="s">
        <v>4297</v>
      </c>
      <c r="F497" s="1">
        <v>10</v>
      </c>
      <c r="G497" s="1">
        <v>0</v>
      </c>
      <c r="I497" s="4" t="s">
        <v>4585</v>
      </c>
      <c r="J497" s="4" t="s">
        <v>4596</v>
      </c>
    </row>
    <row r="498" spans="1:10" x14ac:dyDescent="0.15">
      <c r="A498" s="1">
        <v>206</v>
      </c>
      <c r="B498" s="665" t="s">
        <v>4603</v>
      </c>
      <c r="C498" s="4" t="s">
        <v>4312</v>
      </c>
      <c r="D498" s="4" t="s">
        <v>4303</v>
      </c>
      <c r="E498" s="665" t="s">
        <v>4297</v>
      </c>
      <c r="F498" s="1">
        <v>10</v>
      </c>
      <c r="G498" s="1">
        <v>0</v>
      </c>
      <c r="I498" s="4" t="s">
        <v>4585</v>
      </c>
    </row>
    <row r="499" spans="1:10" x14ac:dyDescent="0.15">
      <c r="A499" s="1">
        <v>57</v>
      </c>
      <c r="B499" s="665" t="s">
        <v>3386</v>
      </c>
      <c r="C499" s="4" t="s">
        <v>4312</v>
      </c>
      <c r="D499" s="4" t="s">
        <v>4323</v>
      </c>
      <c r="E499" s="665" t="s">
        <v>4297</v>
      </c>
      <c r="F499" s="1">
        <v>20</v>
      </c>
      <c r="G499" s="1">
        <v>1</v>
      </c>
      <c r="H499" s="4" t="s">
        <v>4348</v>
      </c>
    </row>
    <row r="500" spans="1:10" x14ac:dyDescent="0.15">
      <c r="A500" s="1">
        <v>149</v>
      </c>
      <c r="B500" s="667" t="s">
        <v>4512</v>
      </c>
      <c r="C500" s="4" t="s">
        <v>541</v>
      </c>
      <c r="D500" s="4" t="s">
        <v>4513</v>
      </c>
      <c r="E500" s="665" t="s">
        <v>541</v>
      </c>
      <c r="F500" s="1">
        <v>5</v>
      </c>
      <c r="G500" s="1">
        <v>1</v>
      </c>
      <c r="H500" s="4" t="s">
        <v>4304</v>
      </c>
    </row>
    <row r="501" spans="1:10" x14ac:dyDescent="0.15">
      <c r="A501" s="1">
        <v>187</v>
      </c>
      <c r="B501" s="667" t="s">
        <v>4569</v>
      </c>
      <c r="C501" s="4" t="s">
        <v>541</v>
      </c>
      <c r="D501" s="4" t="s">
        <v>4570</v>
      </c>
      <c r="E501" s="665" t="s">
        <v>541</v>
      </c>
      <c r="F501" s="1">
        <v>5</v>
      </c>
      <c r="G501" s="1">
        <v>1</v>
      </c>
      <c r="H501" s="4" t="s">
        <v>4304</v>
      </c>
    </row>
    <row r="502" spans="1:10" x14ac:dyDescent="0.15">
      <c r="A502" s="1">
        <v>51</v>
      </c>
      <c r="B502" s="667" t="s">
        <v>4380</v>
      </c>
      <c r="C502" s="4" t="s">
        <v>541</v>
      </c>
      <c r="E502" s="665" t="s">
        <v>541</v>
      </c>
      <c r="F502" s="1">
        <v>5</v>
      </c>
      <c r="G502" s="1">
        <v>1</v>
      </c>
      <c r="H502" s="4" t="s">
        <v>4304</v>
      </c>
    </row>
    <row r="503" spans="1:10" x14ac:dyDescent="0.15">
      <c r="A503" s="1">
        <v>137</v>
      </c>
      <c r="B503" s="667" t="s">
        <v>4492</v>
      </c>
      <c r="C503" s="4" t="s">
        <v>541</v>
      </c>
      <c r="E503" s="665" t="s">
        <v>541</v>
      </c>
      <c r="F503" s="1">
        <v>5</v>
      </c>
      <c r="G503" s="1">
        <v>1</v>
      </c>
      <c r="H503" s="4" t="s">
        <v>4304</v>
      </c>
    </row>
    <row r="504" spans="1:10" x14ac:dyDescent="0.15">
      <c r="A504" s="1">
        <f>283+216</f>
        <v>499</v>
      </c>
      <c r="F504" s="1">
        <f>SUM(F2:F503)</f>
        <v>5756</v>
      </c>
      <c r="G504" s="1">
        <f>SUM(G2:G503)</f>
        <v>353</v>
      </c>
    </row>
    <row r="505" spans="1:10" x14ac:dyDescent="0.15">
      <c r="C505" s="4"/>
      <c r="D505" s="4"/>
    </row>
    <row r="506" spans="1:10" x14ac:dyDescent="0.1">
      <c r="B506" s="665"/>
      <c r="C506" s="4" t="s">
        <v>4835</v>
      </c>
      <c r="E506" s="665"/>
      <c r="I506" s="671" t="s">
        <v>4690</v>
      </c>
    </row>
    <row r="507" spans="1:10" x14ac:dyDescent="0.15">
      <c r="C507" s="684">
        <f>G507/E507*100</f>
        <v>72.063492063492063</v>
      </c>
      <c r="D507" s="4" t="s">
        <v>4836</v>
      </c>
      <c r="E507" s="682">
        <f>E510-E508-E509</f>
        <v>315</v>
      </c>
      <c r="F507" s="2">
        <v>4494</v>
      </c>
      <c r="G507" s="2">
        <f>G510-G508-G509</f>
        <v>227</v>
      </c>
      <c r="H507" s="2">
        <v>27.2</v>
      </c>
      <c r="I507" s="1">
        <v>78</v>
      </c>
    </row>
    <row r="508" spans="1:10" x14ac:dyDescent="0.15">
      <c r="C508" s="684">
        <f>G508/E508*100</f>
        <v>66.847826086956516</v>
      </c>
      <c r="D508" s="4" t="s">
        <v>4365</v>
      </c>
      <c r="E508" s="682">
        <v>184</v>
      </c>
      <c r="F508" s="2">
        <v>1247</v>
      </c>
      <c r="G508" s="2">
        <v>123</v>
      </c>
      <c r="H508" s="2">
        <v>6.7</v>
      </c>
      <c r="I508" s="1">
        <v>22</v>
      </c>
    </row>
    <row r="509" spans="1:10" x14ac:dyDescent="0.15">
      <c r="C509" s="684">
        <f>G509/E509*100</f>
        <v>100</v>
      </c>
      <c r="D509" s="4" t="s">
        <v>541</v>
      </c>
      <c r="E509" s="682">
        <v>3</v>
      </c>
      <c r="F509" s="2">
        <v>15</v>
      </c>
      <c r="G509" s="2">
        <v>3</v>
      </c>
      <c r="H509" s="2">
        <v>5</v>
      </c>
    </row>
    <row r="510" spans="1:10" x14ac:dyDescent="0.15">
      <c r="C510" s="684">
        <f>G510/E510*100</f>
        <v>70.318725099601593</v>
      </c>
      <c r="D510" s="4" t="s">
        <v>3587</v>
      </c>
      <c r="E510" s="683">
        <v>502</v>
      </c>
      <c r="F510" s="2">
        <f>SUM(F507:F509)</f>
        <v>5756</v>
      </c>
      <c r="G510" s="2">
        <v>353</v>
      </c>
      <c r="H510" s="2">
        <v>16.3</v>
      </c>
      <c r="I510" s="1" t="s">
        <v>3396</v>
      </c>
    </row>
    <row r="513" spans="4:12" x14ac:dyDescent="0.15">
      <c r="D513" s="4" t="s">
        <v>4691</v>
      </c>
      <c r="F513" s="668">
        <v>61083550</v>
      </c>
      <c r="I513" s="678" t="s">
        <v>4837</v>
      </c>
      <c r="J513" s="679"/>
      <c r="K513" s="679"/>
      <c r="L513" s="679"/>
    </row>
    <row r="514" spans="4:12" x14ac:dyDescent="0.15">
      <c r="D514" s="4" t="s">
        <v>4693</v>
      </c>
      <c r="F514" s="1">
        <v>560</v>
      </c>
      <c r="I514" s="679"/>
      <c r="J514" s="679"/>
      <c r="K514" s="679"/>
      <c r="L514" s="679"/>
    </row>
    <row r="515" spans="4:12" x14ac:dyDescent="0.15">
      <c r="D515" s="4" t="s">
        <v>4694</v>
      </c>
      <c r="F515" s="670">
        <f>F513/F514</f>
        <v>109077.76785714286</v>
      </c>
      <c r="G515" s="668"/>
      <c r="H515" s="668"/>
      <c r="I515" s="680">
        <f>1242/184</f>
        <v>6.75</v>
      </c>
      <c r="J515" s="678" t="s">
        <v>4838</v>
      </c>
      <c r="K515" s="679"/>
      <c r="L515" s="679"/>
    </row>
    <row r="516" spans="4:12" x14ac:dyDescent="0.15">
      <c r="D516" s="4" t="s">
        <v>4695</v>
      </c>
      <c r="F516" s="668">
        <f>F518/560</f>
        <v>88133.571428571435</v>
      </c>
      <c r="G516" s="668"/>
      <c r="H516" s="668"/>
      <c r="I516" s="680">
        <f>1242/123</f>
        <v>10.097560975609756</v>
      </c>
      <c r="J516" s="678" t="s">
        <v>4839</v>
      </c>
      <c r="K516" s="679"/>
      <c r="L516" s="679"/>
    </row>
    <row r="517" spans="4:12" x14ac:dyDescent="0.15">
      <c r="F517" s="668"/>
      <c r="G517" s="668"/>
      <c r="H517" s="668"/>
      <c r="I517" s="680"/>
      <c r="J517" s="679"/>
      <c r="K517" s="679"/>
      <c r="L517" s="679"/>
    </row>
    <row r="518" spans="4:12" x14ac:dyDescent="0.15">
      <c r="D518" s="4" t="s">
        <v>4697</v>
      </c>
      <c r="F518" s="668">
        <v>49354800</v>
      </c>
      <c r="G518" s="668" t="s">
        <v>4840</v>
      </c>
      <c r="H518" s="668"/>
      <c r="I518" s="679" t="s">
        <v>4841</v>
      </c>
      <c r="J518" s="681">
        <f>F516*123</f>
        <v>10840429.285714287</v>
      </c>
      <c r="K518" s="679"/>
      <c r="L518" s="679"/>
    </row>
    <row r="519" spans="4:12" x14ac:dyDescent="0.15">
      <c r="F519" s="675">
        <v>33067716</v>
      </c>
      <c r="G519" s="668"/>
      <c r="H519" s="668"/>
      <c r="I519" s="679"/>
      <c r="J519" s="679"/>
      <c r="K519" s="679"/>
      <c r="L519" s="679"/>
    </row>
    <row r="520" spans="4:12" x14ac:dyDescent="0.15">
      <c r="D520" s="1" t="s">
        <v>4703</v>
      </c>
      <c r="F520" s="668">
        <v>11728750</v>
      </c>
      <c r="G520" s="668" t="s">
        <v>4842</v>
      </c>
      <c r="H520" s="668"/>
      <c r="I520" s="679"/>
      <c r="J520" s="679"/>
      <c r="K520" s="679"/>
      <c r="L520" s="679"/>
    </row>
    <row r="521" spans="4:12" x14ac:dyDescent="0.15">
      <c r="D521" s="669">
        <v>0.5</v>
      </c>
      <c r="F521" s="675">
        <v>5864375</v>
      </c>
      <c r="G521" s="668"/>
      <c r="H521" s="668"/>
      <c r="I521" s="679"/>
      <c r="J521" s="679"/>
      <c r="K521" s="679"/>
      <c r="L521" s="679"/>
    </row>
    <row r="522" spans="4:12" x14ac:dyDescent="0.15">
      <c r="F522" s="668"/>
      <c r="G522" s="668"/>
      <c r="H522" s="668"/>
      <c r="I522" s="679"/>
      <c r="J522" s="679"/>
      <c r="K522" s="679"/>
      <c r="L522" s="679"/>
    </row>
    <row r="523" spans="4:12" x14ac:dyDescent="0.15">
      <c r="D523" s="4" t="s">
        <v>4708</v>
      </c>
      <c r="F523" s="676">
        <f>F519+F521</f>
        <v>38932091</v>
      </c>
      <c r="G523" s="668"/>
      <c r="H523" s="668"/>
      <c r="I523" s="679"/>
      <c r="J523" s="679"/>
      <c r="K523" s="679"/>
      <c r="L523" s="679"/>
    </row>
    <row r="524" spans="4:12" x14ac:dyDescent="0.15">
      <c r="F524" s="668">
        <v>5000000</v>
      </c>
      <c r="G524" s="672" t="s">
        <v>4843</v>
      </c>
      <c r="H524" s="668"/>
      <c r="I524" s="679"/>
      <c r="J524" s="679"/>
      <c r="K524" s="679"/>
      <c r="L524" s="679"/>
    </row>
    <row r="525" spans="4:12" x14ac:dyDescent="0.15">
      <c r="F525" s="668">
        <v>33932091</v>
      </c>
      <c r="G525" s="668"/>
      <c r="H525" s="668"/>
      <c r="I525" s="679"/>
      <c r="J525" s="679"/>
      <c r="K525" s="679"/>
      <c r="L525" s="679"/>
    </row>
    <row r="526" spans="4:12" x14ac:dyDescent="0.15">
      <c r="F526" s="668"/>
      <c r="G526" s="673" t="s">
        <v>4714</v>
      </c>
      <c r="H526" s="668"/>
      <c r="I526" s="668"/>
    </row>
    <row r="527" spans="4:12" x14ac:dyDescent="0.15">
      <c r="D527" s="4" t="s">
        <v>4715</v>
      </c>
      <c r="E527" s="665" t="s">
        <v>4297</v>
      </c>
      <c r="F527" s="668">
        <f>45090000+50000</f>
        <v>45140000</v>
      </c>
      <c r="G527" s="668">
        <f>F527/F529*100</f>
        <v>78.422515635858232</v>
      </c>
      <c r="H527" s="668"/>
      <c r="I527" s="668" t="s">
        <v>4844</v>
      </c>
      <c r="J527" s="1" t="s">
        <v>4845</v>
      </c>
    </row>
    <row r="528" spans="4:12" x14ac:dyDescent="0.15">
      <c r="E528" s="665" t="s">
        <v>4365</v>
      </c>
      <c r="F528" s="668">
        <f>12470000-50000</f>
        <v>12420000</v>
      </c>
      <c r="G528" s="668">
        <v>22</v>
      </c>
      <c r="H528" s="668"/>
      <c r="I528" s="668"/>
    </row>
    <row r="529" spans="4:9" x14ac:dyDescent="0.15">
      <c r="F529" s="668">
        <f>SUM(F527:F528)</f>
        <v>57560000</v>
      </c>
      <c r="G529" s="668">
        <v>100</v>
      </c>
      <c r="H529" s="668"/>
      <c r="I529" s="668"/>
    </row>
    <row r="530" spans="4:9" x14ac:dyDescent="0.15">
      <c r="F530" s="668"/>
      <c r="G530" s="668"/>
      <c r="H530" s="668"/>
      <c r="I530" s="668"/>
    </row>
    <row r="531" spans="4:9" x14ac:dyDescent="0.15">
      <c r="D531" s="4" t="s">
        <v>4846</v>
      </c>
      <c r="E531" s="665" t="s">
        <v>4297</v>
      </c>
      <c r="F531" s="668">
        <f>F523*0.78</f>
        <v>30367030.98</v>
      </c>
      <c r="G531" s="668"/>
      <c r="H531" s="668"/>
      <c r="I531" s="668"/>
    </row>
    <row r="532" spans="4:9" x14ac:dyDescent="0.15">
      <c r="E532" s="665" t="s">
        <v>4365</v>
      </c>
      <c r="F532" s="668">
        <f>F523-F531</f>
        <v>8565060.0199999996</v>
      </c>
      <c r="G532" s="668"/>
      <c r="H532" s="668"/>
      <c r="I532" s="668"/>
    </row>
    <row r="533" spans="4:9" x14ac:dyDescent="0.15">
      <c r="F533" s="668">
        <f>SUM(F531:F532)</f>
        <v>38932091</v>
      </c>
      <c r="G533" s="668"/>
      <c r="H533" s="668"/>
      <c r="I533" s="668"/>
    </row>
    <row r="534" spans="4:9" x14ac:dyDescent="0.15">
      <c r="F534" s="668"/>
      <c r="G534" s="668"/>
      <c r="H534" s="668"/>
      <c r="I534" s="668"/>
    </row>
    <row r="535" spans="4:9" x14ac:dyDescent="0.15">
      <c r="F535" s="668"/>
      <c r="G535" s="668"/>
      <c r="H535" s="668"/>
      <c r="I535" s="668"/>
    </row>
    <row r="536" spans="4:9" x14ac:dyDescent="0.15">
      <c r="D536" s="4" t="s">
        <v>4847</v>
      </c>
      <c r="F536" s="668">
        <f>F528</f>
        <v>12420000</v>
      </c>
      <c r="G536" s="668"/>
      <c r="H536" s="668"/>
      <c r="I536" s="668"/>
    </row>
    <row r="537" spans="4:9" x14ac:dyDescent="0.15">
      <c r="D537" s="4" t="s">
        <v>4848</v>
      </c>
      <c r="E537" s="674" t="s">
        <v>4849</v>
      </c>
      <c r="F537" s="668">
        <f>F532</f>
        <v>8565060.0199999996</v>
      </c>
      <c r="G537" s="668"/>
      <c r="H537" s="668"/>
      <c r="I537" s="668"/>
    </row>
    <row r="538" spans="4:9" x14ac:dyDescent="0.15">
      <c r="F538" s="668"/>
      <c r="G538" s="668"/>
      <c r="H538" s="668"/>
      <c r="I538" s="668"/>
    </row>
    <row r="539" spans="4:9" x14ac:dyDescent="0.15">
      <c r="F539" s="668">
        <f>F536-F537</f>
        <v>3854939.9800000004</v>
      </c>
      <c r="G539" s="668" t="s">
        <v>4850</v>
      </c>
      <c r="H539" s="668" t="s">
        <v>4851</v>
      </c>
      <c r="I539" s="668"/>
    </row>
    <row r="540" spans="4:9" x14ac:dyDescent="0.15">
      <c r="F540" s="668"/>
      <c r="G540" s="668"/>
      <c r="H540" s="668"/>
      <c r="I540" s="668"/>
    </row>
    <row r="541" spans="4:9" x14ac:dyDescent="0.15">
      <c r="F541" s="668"/>
      <c r="G541" s="668"/>
      <c r="H541" s="668"/>
      <c r="I541" s="668"/>
    </row>
    <row r="542" spans="4:9" x14ac:dyDescent="0.15">
      <c r="F542" s="668"/>
      <c r="G542" s="668"/>
      <c r="H542" s="668"/>
      <c r="I542" s="668"/>
    </row>
    <row r="543" spans="4:9" x14ac:dyDescent="0.15">
      <c r="F543" s="668"/>
      <c r="G543" s="668"/>
      <c r="H543" s="668"/>
      <c r="I543" s="668"/>
    </row>
    <row r="544" spans="4:9" x14ac:dyDescent="0.15">
      <c r="F544" s="668"/>
      <c r="G544" s="668"/>
      <c r="H544" s="668"/>
      <c r="I544" s="668"/>
    </row>
    <row r="545" spans="6:9" x14ac:dyDescent="0.15">
      <c r="F545" s="668"/>
      <c r="G545" s="668"/>
      <c r="H545" s="668"/>
      <c r="I545" s="668"/>
    </row>
    <row r="546" spans="6:9" x14ac:dyDescent="0.15">
      <c r="F546" s="668"/>
      <c r="G546" s="668"/>
      <c r="H546" s="668"/>
      <c r="I546" s="668"/>
    </row>
    <row r="547" spans="6:9" x14ac:dyDescent="0.15">
      <c r="F547" s="668"/>
      <c r="G547" s="668"/>
      <c r="H547" s="668"/>
      <c r="I547" s="668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L40"/>
  <sheetViews>
    <sheetView workbookViewId="0">
      <selection activeCell="H38" sqref="H38"/>
    </sheetView>
  </sheetViews>
  <sheetFormatPr defaultRowHeight="13.5" x14ac:dyDescent="0.1"/>
  <cols>
    <col min="2" max="2" width="14.96875" customWidth="1"/>
  </cols>
  <sheetData>
    <row r="3" spans="2:12" x14ac:dyDescent="0.15">
      <c r="B3" s="720" t="s">
        <v>4852</v>
      </c>
    </row>
    <row r="4" spans="2:12" x14ac:dyDescent="0.15">
      <c r="B4" s="724" t="s">
        <v>4853</v>
      </c>
    </row>
    <row r="5" spans="2:12" x14ac:dyDescent="0.15">
      <c r="B5" s="724" t="s">
        <v>4854</v>
      </c>
    </row>
    <row r="6" spans="2:12" x14ac:dyDescent="0.15">
      <c r="B6" s="724" t="s">
        <v>4855</v>
      </c>
    </row>
    <row r="7" spans="2:12" x14ac:dyDescent="0.15">
      <c r="B7" s="724" t="s">
        <v>4856</v>
      </c>
    </row>
    <row r="8" spans="2:12" x14ac:dyDescent="0.15">
      <c r="B8" s="724" t="s">
        <v>4857</v>
      </c>
    </row>
    <row r="12" spans="2:12" x14ac:dyDescent="0.15">
      <c r="B12" s="724" t="s">
        <v>4858</v>
      </c>
    </row>
    <row r="14" spans="2:12" x14ac:dyDescent="0.15">
      <c r="B14" s="724" t="s">
        <v>4859</v>
      </c>
    </row>
    <row r="16" spans="2:12" x14ac:dyDescent="0.1">
      <c r="B16" s="97" t="s">
        <v>4860</v>
      </c>
      <c r="C16" s="97" t="s">
        <v>3698</v>
      </c>
      <c r="D16" s="97" t="s">
        <v>4028</v>
      </c>
      <c r="E16" s="97"/>
      <c r="F16" s="97"/>
      <c r="G16" s="97"/>
      <c r="H16" s="97"/>
      <c r="I16" s="97"/>
      <c r="J16" s="97"/>
      <c r="K16" s="97"/>
      <c r="L16" s="97"/>
    </row>
    <row r="17" spans="2:12" x14ac:dyDescent="0.1">
      <c r="B17" s="97" t="s">
        <v>4861</v>
      </c>
      <c r="C17" s="97" t="s">
        <v>3698</v>
      </c>
      <c r="D17" s="97" t="s">
        <v>4022</v>
      </c>
      <c r="E17" s="97"/>
      <c r="F17" s="97"/>
      <c r="G17" s="97"/>
      <c r="H17" s="97"/>
      <c r="I17" s="97"/>
      <c r="J17" s="97"/>
      <c r="K17" s="97"/>
      <c r="L17" s="97"/>
    </row>
    <row r="18" spans="2:12" x14ac:dyDescent="0.1">
      <c r="B18" s="97" t="s">
        <v>4862</v>
      </c>
      <c r="C18" s="97" t="s">
        <v>3698</v>
      </c>
      <c r="D18" s="97" t="s">
        <v>3699</v>
      </c>
      <c r="E18" s="97"/>
      <c r="F18" s="97"/>
      <c r="G18" s="97"/>
      <c r="H18" s="97"/>
      <c r="I18" s="97"/>
      <c r="J18" s="97"/>
      <c r="K18" s="97"/>
      <c r="L18" s="97"/>
    </row>
    <row r="19" spans="2:12" x14ac:dyDescent="0.1">
      <c r="B19" s="97" t="s">
        <v>4863</v>
      </c>
      <c r="C19" s="97" t="s">
        <v>3698</v>
      </c>
      <c r="D19" s="97" t="s">
        <v>4029</v>
      </c>
      <c r="E19" s="97"/>
      <c r="F19" s="97"/>
      <c r="G19" s="97"/>
      <c r="H19" s="97"/>
      <c r="I19" s="97"/>
      <c r="J19" s="97"/>
      <c r="K19" s="97"/>
      <c r="L19" s="97"/>
    </row>
    <row r="20" spans="2:12" x14ac:dyDescent="0.1">
      <c r="B20" s="97" t="s">
        <v>4864</v>
      </c>
      <c r="C20" s="97" t="s">
        <v>3698</v>
      </c>
      <c r="D20" s="97" t="s">
        <v>4023</v>
      </c>
      <c r="E20" s="97"/>
      <c r="F20" s="97"/>
      <c r="G20" s="97"/>
      <c r="H20" s="97"/>
      <c r="I20" s="97"/>
      <c r="J20" s="97"/>
      <c r="K20" s="97"/>
      <c r="L20" s="97"/>
    </row>
    <row r="21" spans="2:12" x14ac:dyDescent="0.1">
      <c r="B21" s="97" t="s">
        <v>4865</v>
      </c>
      <c r="C21" s="97" t="s">
        <v>3698</v>
      </c>
      <c r="D21" s="97" t="s">
        <v>4033</v>
      </c>
      <c r="E21" s="97"/>
      <c r="F21" s="97"/>
      <c r="G21" s="97"/>
      <c r="H21" s="97"/>
      <c r="I21" s="97"/>
      <c r="J21" s="97"/>
      <c r="K21" s="97"/>
      <c r="L21" s="97"/>
    </row>
    <row r="22" spans="2:12" x14ac:dyDescent="0.1"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</row>
    <row r="23" spans="2:12" x14ac:dyDescent="0.1">
      <c r="B23" s="97" t="s">
        <v>2973</v>
      </c>
      <c r="C23" s="97" t="s">
        <v>4024</v>
      </c>
      <c r="D23" s="97" t="s">
        <v>4025</v>
      </c>
      <c r="E23" s="97"/>
      <c r="F23" s="97"/>
      <c r="G23" s="97"/>
      <c r="H23" s="97"/>
      <c r="I23" s="97"/>
      <c r="J23" s="97"/>
      <c r="K23" s="97"/>
      <c r="L23" s="97"/>
    </row>
    <row r="24" spans="2:12" x14ac:dyDescent="0.1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</row>
    <row r="25" spans="2:12" x14ac:dyDescent="0.1">
      <c r="B25" s="97" t="s">
        <v>4866</v>
      </c>
      <c r="C25" s="97" t="s">
        <v>4031</v>
      </c>
      <c r="D25" s="97" t="s">
        <v>4867</v>
      </c>
      <c r="E25" s="97"/>
      <c r="F25" s="97"/>
      <c r="G25" s="97"/>
      <c r="H25" s="97"/>
      <c r="I25" s="97"/>
      <c r="J25" s="97"/>
      <c r="K25" s="97"/>
      <c r="L25" s="97"/>
    </row>
    <row r="26" spans="2:12" x14ac:dyDescent="0.1">
      <c r="B26" s="97" t="s">
        <v>4868</v>
      </c>
      <c r="C26" s="97" t="s">
        <v>4031</v>
      </c>
      <c r="D26" s="97" t="s">
        <v>4869</v>
      </c>
      <c r="E26" s="97"/>
      <c r="F26" s="97"/>
      <c r="G26" s="97"/>
      <c r="H26" s="97"/>
      <c r="I26" s="97"/>
      <c r="J26" s="97"/>
      <c r="K26" s="97"/>
      <c r="L26" s="97"/>
    </row>
    <row r="27" spans="2:12" x14ac:dyDescent="0.1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</row>
    <row r="28" spans="2:12" x14ac:dyDescent="0.1">
      <c r="B28" s="97" t="s">
        <v>4870</v>
      </c>
      <c r="C28" s="97" t="s">
        <v>3959</v>
      </c>
      <c r="D28" s="97" t="s">
        <v>4021</v>
      </c>
      <c r="E28" s="97"/>
      <c r="F28" s="97"/>
      <c r="G28" s="97"/>
      <c r="H28" s="97"/>
      <c r="I28" s="97"/>
      <c r="J28" s="97"/>
      <c r="K28" s="97"/>
      <c r="L28" s="97"/>
    </row>
    <row r="29" spans="2:12" x14ac:dyDescent="0.1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 spans="2:12" x14ac:dyDescent="0.1">
      <c r="B30" s="725" t="s">
        <v>4871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2:12" x14ac:dyDescent="0.1">
      <c r="B31" s="725" t="s">
        <v>4872</v>
      </c>
      <c r="C31" s="97"/>
      <c r="D31" s="97"/>
      <c r="E31" s="97"/>
    </row>
    <row r="32" spans="2:12" x14ac:dyDescent="0.1">
      <c r="B32" s="725" t="s">
        <v>4855</v>
      </c>
      <c r="C32" s="97"/>
      <c r="D32" s="97"/>
      <c r="E32" s="97"/>
    </row>
    <row r="33" spans="2:5" x14ac:dyDescent="0.1">
      <c r="B33" s="97"/>
      <c r="C33" s="97"/>
      <c r="D33" s="97"/>
      <c r="E33" s="97"/>
    </row>
    <row r="34" spans="2:5" x14ac:dyDescent="0.1">
      <c r="B34" s="97" t="s">
        <v>4873</v>
      </c>
      <c r="C34" s="97"/>
      <c r="D34" s="97"/>
      <c r="E34" s="97"/>
    </row>
    <row r="35" spans="2:5" x14ac:dyDescent="0.1">
      <c r="B35" s="97"/>
      <c r="C35" s="97"/>
      <c r="D35" s="97"/>
      <c r="E35" s="97"/>
    </row>
    <row r="36" spans="2:5" x14ac:dyDescent="0.1">
      <c r="B36" s="97" t="s">
        <v>1536</v>
      </c>
      <c r="C36" s="97"/>
      <c r="D36" s="97"/>
      <c r="E36" s="97"/>
    </row>
    <row r="37" spans="2:5" x14ac:dyDescent="0.1">
      <c r="B37" s="97" t="s">
        <v>4874</v>
      </c>
      <c r="C37" s="97"/>
      <c r="D37" s="97"/>
      <c r="E37" s="97"/>
    </row>
    <row r="38" spans="2:5" x14ac:dyDescent="0.1">
      <c r="B38" s="97"/>
      <c r="C38" s="97"/>
      <c r="D38" s="97"/>
      <c r="E38" s="97"/>
    </row>
    <row r="39" spans="2:5" x14ac:dyDescent="0.1">
      <c r="B39" s="97"/>
      <c r="C39" s="97"/>
      <c r="D39" s="97"/>
      <c r="E39" s="97"/>
    </row>
    <row r="40" spans="2:5" x14ac:dyDescent="0.1">
      <c r="B40" s="97"/>
      <c r="C40" s="97"/>
      <c r="D40" s="97"/>
      <c r="E40" s="9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F38"/>
  <sheetViews>
    <sheetView workbookViewId="0">
      <selection activeCell="J12" sqref="J12"/>
    </sheetView>
  </sheetViews>
  <sheetFormatPr defaultRowHeight="13.5" x14ac:dyDescent="0.1"/>
  <cols>
    <col min="1" max="2" width="12.04296875" customWidth="1"/>
    <col min="3" max="4" width="10.9921875" customWidth="1"/>
  </cols>
  <sheetData>
    <row r="5" spans="1:6" x14ac:dyDescent="0.15">
      <c r="A5" s="1" t="s">
        <v>4875</v>
      </c>
      <c r="B5" s="4" t="s">
        <v>4876</v>
      </c>
      <c r="C5" s="4" t="s">
        <v>2127</v>
      </c>
      <c r="D5" s="4" t="s">
        <v>4877</v>
      </c>
      <c r="E5" s="558" t="s">
        <v>4878</v>
      </c>
      <c r="F5" s="1" t="s">
        <v>2130</v>
      </c>
    </row>
    <row r="6" spans="1:6" x14ac:dyDescent="0.1">
      <c r="B6" s="4" t="s">
        <v>4879</v>
      </c>
      <c r="C6" s="4" t="s">
        <v>4880</v>
      </c>
      <c r="D6" s="4"/>
    </row>
    <row r="7" spans="1:6" x14ac:dyDescent="0.1">
      <c r="B7" s="4" t="s">
        <v>3214</v>
      </c>
      <c r="C7" s="4" t="s">
        <v>2127</v>
      </c>
      <c r="D7" s="4"/>
    </row>
    <row r="8" spans="1:6" x14ac:dyDescent="0.1">
      <c r="B8" s="4" t="s">
        <v>4881</v>
      </c>
      <c r="C8" s="4" t="s">
        <v>2127</v>
      </c>
      <c r="D8" s="4"/>
    </row>
    <row r="10" spans="1:6" x14ac:dyDescent="0.15">
      <c r="A10" s="1" t="s">
        <v>4882</v>
      </c>
      <c r="B10" s="4" t="s">
        <v>651</v>
      </c>
      <c r="C10" s="4" t="s">
        <v>5</v>
      </c>
      <c r="D10" s="4" t="s">
        <v>4877</v>
      </c>
      <c r="F10" s="1" t="s">
        <v>658</v>
      </c>
    </row>
    <row r="11" spans="1:6" x14ac:dyDescent="0.15">
      <c r="B11" s="4" t="s">
        <v>4883</v>
      </c>
      <c r="C11" s="4" t="s">
        <v>2664</v>
      </c>
      <c r="D11" s="4"/>
      <c r="F11" s="1" t="s">
        <v>4884</v>
      </c>
    </row>
    <row r="12" spans="1:6" x14ac:dyDescent="0.15">
      <c r="B12" s="4" t="s">
        <v>4003</v>
      </c>
      <c r="C12" s="4" t="s">
        <v>1538</v>
      </c>
      <c r="D12" s="4" t="s">
        <v>4877</v>
      </c>
      <c r="F12" s="1" t="s">
        <v>4885</v>
      </c>
    </row>
    <row r="13" spans="1:6" x14ac:dyDescent="0.15">
      <c r="B13" s="4" t="s">
        <v>4879</v>
      </c>
      <c r="C13" s="4" t="s">
        <v>2575</v>
      </c>
      <c r="D13" s="4"/>
      <c r="F13" s="1" t="s">
        <v>4886</v>
      </c>
    </row>
    <row r="14" spans="1:6" x14ac:dyDescent="0.15">
      <c r="B14" s="4" t="s">
        <v>4887</v>
      </c>
      <c r="C14" s="4" t="s">
        <v>2541</v>
      </c>
      <c r="D14" s="4" t="s">
        <v>4877</v>
      </c>
      <c r="E14" s="558" t="s">
        <v>3278</v>
      </c>
      <c r="F14" s="1" t="s">
        <v>4888</v>
      </c>
    </row>
    <row r="16" spans="1:6" x14ac:dyDescent="0.15">
      <c r="A16" s="1" t="s">
        <v>4889</v>
      </c>
      <c r="B16" s="4" t="s">
        <v>4876</v>
      </c>
      <c r="C16" s="4" t="s">
        <v>1622</v>
      </c>
      <c r="D16" s="4"/>
    </row>
    <row r="17" spans="1:6" x14ac:dyDescent="0.1">
      <c r="B17" s="4" t="s">
        <v>4879</v>
      </c>
      <c r="C17" s="4" t="s">
        <v>1622</v>
      </c>
      <c r="D17" s="4"/>
    </row>
    <row r="18" spans="1:6" x14ac:dyDescent="0.1">
      <c r="B18" s="4" t="s">
        <v>4881</v>
      </c>
      <c r="C18" s="4" t="s">
        <v>1628</v>
      </c>
      <c r="D18" s="4" t="s">
        <v>4877</v>
      </c>
    </row>
    <row r="20" spans="1:6" x14ac:dyDescent="0.15">
      <c r="A20" s="1" t="s">
        <v>4890</v>
      </c>
      <c r="B20" s="4" t="s">
        <v>3238</v>
      </c>
      <c r="C20" s="4" t="s">
        <v>4880</v>
      </c>
      <c r="D20" s="4" t="s">
        <v>4877</v>
      </c>
      <c r="E20" s="558" t="s">
        <v>4517</v>
      </c>
    </row>
    <row r="23" spans="1:6" x14ac:dyDescent="0.1">
      <c r="A23" s="4" t="s">
        <v>3231</v>
      </c>
      <c r="B23" s="4" t="s">
        <v>4891</v>
      </c>
      <c r="C23" s="4" t="s">
        <v>1540</v>
      </c>
      <c r="D23" s="4"/>
      <c r="F23" s="4" t="s">
        <v>4892</v>
      </c>
    </row>
    <row r="24" spans="1:6" x14ac:dyDescent="0.1">
      <c r="A24" s="4" t="s">
        <v>4893</v>
      </c>
      <c r="B24" s="4" t="s">
        <v>4894</v>
      </c>
      <c r="C24" s="4" t="s">
        <v>1553</v>
      </c>
      <c r="D24" s="4"/>
      <c r="E24" s="4" t="s">
        <v>444</v>
      </c>
      <c r="F24" s="4" t="s">
        <v>4895</v>
      </c>
    </row>
    <row r="25" spans="1:6" x14ac:dyDescent="0.1">
      <c r="B25" s="4" t="s">
        <v>4896</v>
      </c>
      <c r="C25" s="4" t="s">
        <v>422</v>
      </c>
      <c r="D25" s="4" t="s">
        <v>4877</v>
      </c>
      <c r="E25" s="558" t="s">
        <v>3391</v>
      </c>
    </row>
    <row r="26" spans="1:6" x14ac:dyDescent="0.15">
      <c r="B26" s="4" t="s">
        <v>3228</v>
      </c>
      <c r="C26" s="4" t="s">
        <v>3241</v>
      </c>
      <c r="D26" s="4"/>
      <c r="F26" s="1" t="s">
        <v>4897</v>
      </c>
    </row>
    <row r="28" spans="1:6" x14ac:dyDescent="0.1">
      <c r="A28" s="4" t="s">
        <v>4296</v>
      </c>
      <c r="B28" s="4" t="s">
        <v>4378</v>
      </c>
      <c r="C28" s="4" t="s">
        <v>3239</v>
      </c>
      <c r="D28" s="4"/>
      <c r="F28" s="4" t="s">
        <v>1391</v>
      </c>
    </row>
    <row r="29" spans="1:6" x14ac:dyDescent="0.1">
      <c r="A29" s="4"/>
      <c r="B29" s="4"/>
      <c r="C29" s="4" t="s">
        <v>3326</v>
      </c>
      <c r="D29" s="4"/>
      <c r="F29" s="4" t="s">
        <v>1377</v>
      </c>
    </row>
    <row r="30" spans="1:6" x14ac:dyDescent="0.1">
      <c r="B30" s="4" t="s">
        <v>4295</v>
      </c>
      <c r="C30" s="4" t="s">
        <v>4898</v>
      </c>
      <c r="D30" s="4"/>
    </row>
    <row r="32" spans="1:6" x14ac:dyDescent="0.1">
      <c r="A32" s="4" t="s">
        <v>3227</v>
      </c>
      <c r="B32" s="4" t="s">
        <v>4899</v>
      </c>
      <c r="C32" s="4" t="s">
        <v>1482</v>
      </c>
      <c r="D32" s="4"/>
      <c r="F32" s="4" t="s">
        <v>4900</v>
      </c>
    </row>
    <row r="33" spans="1:6" x14ac:dyDescent="0.1">
      <c r="B33" s="4" t="s">
        <v>4350</v>
      </c>
      <c r="C33" s="4" t="s">
        <v>1464</v>
      </c>
      <c r="D33" s="4"/>
      <c r="F33" s="4" t="s">
        <v>4901</v>
      </c>
    </row>
    <row r="35" spans="1:6" x14ac:dyDescent="0.1">
      <c r="A35" s="4" t="s">
        <v>855</v>
      </c>
      <c r="B35" s="4" t="s">
        <v>4902</v>
      </c>
      <c r="C35" s="4" t="s">
        <v>4880</v>
      </c>
      <c r="D35" s="4"/>
    </row>
    <row r="36" spans="1:6" x14ac:dyDescent="0.1">
      <c r="B36" s="4" t="s">
        <v>4242</v>
      </c>
      <c r="C36" s="4" t="s">
        <v>4880</v>
      </c>
      <c r="D36" s="4"/>
    </row>
    <row r="38" spans="1:6" x14ac:dyDescent="0.1">
      <c r="B38" s="4" t="s">
        <v>4903</v>
      </c>
      <c r="C38" s="4" t="s">
        <v>2527</v>
      </c>
      <c r="E38" s="558" t="s">
        <v>3222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4"/>
  <sheetViews>
    <sheetView topLeftCell="A13" workbookViewId="0">
      <selection activeCell="A11" sqref="A11"/>
    </sheetView>
  </sheetViews>
  <sheetFormatPr defaultColWidth="9.00390625" defaultRowHeight="12.75" x14ac:dyDescent="0.15"/>
  <cols>
    <col min="1" max="1" width="9.00390625" style="589" customWidth="1"/>
    <col min="2" max="2" width="19.99609375" style="591" customWidth="1"/>
    <col min="3" max="3" width="12.98046875" style="589" customWidth="1"/>
    <col min="4" max="4" width="83.96875" style="589" customWidth="1"/>
    <col min="5" max="5" width="9.00390625" style="589" customWidth="1"/>
    <col min="6" max="16384" width="9.00390625" style="589"/>
  </cols>
  <sheetData>
    <row r="1" spans="1:7" s="266" customFormat="1" ht="14.25" x14ac:dyDescent="0.1">
      <c r="A1" s="585" t="s">
        <v>2612</v>
      </c>
      <c r="B1" s="590" t="s">
        <v>4904</v>
      </c>
      <c r="C1" s="266" t="s">
        <v>3731</v>
      </c>
      <c r="D1" s="407" t="s">
        <v>3732</v>
      </c>
      <c r="E1" s="393"/>
      <c r="F1" s="393"/>
      <c r="G1" s="400"/>
    </row>
    <row r="2" spans="1:7" s="266" customFormat="1" ht="14.25" x14ac:dyDescent="0.1">
      <c r="A2" s="585"/>
      <c r="B2" s="590"/>
      <c r="D2" s="407"/>
      <c r="E2" s="393"/>
      <c r="F2" s="393"/>
      <c r="G2" s="400"/>
    </row>
    <row r="3" spans="1:7" s="266" customFormat="1" ht="14.25" x14ac:dyDescent="0.1">
      <c r="A3" s="510" t="s">
        <v>3268</v>
      </c>
      <c r="B3" s="510" t="s">
        <v>4904</v>
      </c>
      <c r="C3" s="266" t="s">
        <v>4037</v>
      </c>
      <c r="D3" s="586" t="s">
        <v>4038</v>
      </c>
    </row>
    <row r="4" spans="1:7" s="266" customFormat="1" ht="14.25" x14ac:dyDescent="0.1">
      <c r="A4" s="510"/>
      <c r="B4" s="510"/>
      <c r="D4" s="586"/>
    </row>
    <row r="5" spans="1:7" s="266" customFormat="1" ht="14.25" x14ac:dyDescent="0.1">
      <c r="A5" s="510" t="s">
        <v>2884</v>
      </c>
      <c r="B5" s="510" t="s">
        <v>4904</v>
      </c>
      <c r="C5" s="266" t="s">
        <v>3884</v>
      </c>
      <c r="D5" s="586" t="s">
        <v>4039</v>
      </c>
    </row>
    <row r="6" spans="1:7" s="266" customFormat="1" ht="14.25" x14ac:dyDescent="0.1">
      <c r="A6" s="510"/>
      <c r="B6" s="510"/>
      <c r="D6" s="586"/>
    </row>
    <row r="7" spans="1:7" s="266" customFormat="1" ht="14.25" x14ac:dyDescent="0.1">
      <c r="A7" s="510" t="s">
        <v>2850</v>
      </c>
      <c r="B7" s="510" t="s">
        <v>4905</v>
      </c>
      <c r="C7" s="266" t="s">
        <v>4041</v>
      </c>
      <c r="D7" s="586" t="s">
        <v>4042</v>
      </c>
    </row>
    <row r="8" spans="1:7" s="266" customFormat="1" ht="14.25" x14ac:dyDescent="0.1">
      <c r="A8" s="510"/>
      <c r="B8" s="510"/>
      <c r="D8" s="586"/>
    </row>
    <row r="9" spans="1:7" s="266" customFormat="1" ht="14.25" x14ac:dyDescent="0.1">
      <c r="A9" s="510" t="s">
        <v>2903</v>
      </c>
      <c r="B9" s="510" t="s">
        <v>4906</v>
      </c>
      <c r="C9" s="266" t="s">
        <v>4043</v>
      </c>
      <c r="D9" s="586" t="s">
        <v>4044</v>
      </c>
    </row>
    <row r="10" spans="1:7" s="266" customFormat="1" ht="14.25" x14ac:dyDescent="0.1">
      <c r="A10" s="510"/>
      <c r="B10" s="510"/>
      <c r="D10" s="586"/>
    </row>
    <row r="11" spans="1:7" s="266" customFormat="1" ht="14.25" x14ac:dyDescent="0.1">
      <c r="A11" s="510" t="s">
        <v>2858</v>
      </c>
      <c r="B11" s="510" t="s">
        <v>4907</v>
      </c>
      <c r="C11" s="266" t="s">
        <v>3916</v>
      </c>
      <c r="D11" s="586" t="s">
        <v>4045</v>
      </c>
      <c r="G11" s="587"/>
    </row>
    <row r="12" spans="1:7" s="266" customFormat="1" ht="14.25" x14ac:dyDescent="0.1">
      <c r="A12" s="510"/>
      <c r="B12" s="510"/>
      <c r="D12" s="586"/>
      <c r="G12" s="587"/>
    </row>
    <row r="13" spans="1:7" s="266" customFormat="1" ht="14.25" x14ac:dyDescent="0.1">
      <c r="A13" s="510" t="s">
        <v>3239</v>
      </c>
      <c r="B13" s="510" t="s">
        <v>4904</v>
      </c>
      <c r="C13" s="266" t="s">
        <v>4061</v>
      </c>
      <c r="D13" s="588" t="s">
        <v>4062</v>
      </c>
    </row>
    <row r="14" spans="1:7" s="266" customFormat="1" ht="14.25" x14ac:dyDescent="0.1">
      <c r="A14" s="510"/>
      <c r="B14" s="510"/>
      <c r="D14" s="588"/>
    </row>
    <row r="15" spans="1:7" s="266" customFormat="1" ht="14.25" x14ac:dyDescent="0.1">
      <c r="A15" s="371" t="s">
        <v>3438</v>
      </c>
      <c r="B15" s="371" t="s">
        <v>4908</v>
      </c>
      <c r="C15" s="266" t="s">
        <v>4070</v>
      </c>
      <c r="D15" s="586" t="s">
        <v>4071</v>
      </c>
    </row>
    <row r="16" spans="1:7" s="266" customFormat="1" ht="14.25" x14ac:dyDescent="0.1">
      <c r="A16" s="371"/>
      <c r="B16" s="371"/>
      <c r="D16" s="586"/>
    </row>
    <row r="17" spans="1:7" s="266" customFormat="1" ht="14.25" x14ac:dyDescent="0.1">
      <c r="A17" s="371" t="s">
        <v>3463</v>
      </c>
      <c r="B17" s="371" t="s">
        <v>4907</v>
      </c>
      <c r="C17" s="266" t="s">
        <v>4095</v>
      </c>
      <c r="D17" s="263" t="s">
        <v>4096</v>
      </c>
      <c r="E17" s="518"/>
      <c r="F17" s="263"/>
      <c r="G17" s="587"/>
    </row>
    <row r="18" spans="1:7" s="266" customFormat="1" ht="14.25" x14ac:dyDescent="0.1">
      <c r="A18" s="371"/>
      <c r="B18" s="371"/>
      <c r="D18" s="263"/>
      <c r="E18" s="518"/>
      <c r="F18" s="263"/>
      <c r="G18" s="587"/>
    </row>
    <row r="19" spans="1:7" s="266" customFormat="1" ht="14.25" x14ac:dyDescent="0.1">
      <c r="A19" s="510" t="s">
        <v>1553</v>
      </c>
      <c r="B19" s="510" t="s">
        <v>4907</v>
      </c>
      <c r="C19" s="266" t="s">
        <v>4191</v>
      </c>
      <c r="D19" s="586" t="s">
        <v>4192</v>
      </c>
      <c r="G19" s="587"/>
    </row>
    <row r="20" spans="1:7" s="266" customFormat="1" ht="14.25" x14ac:dyDescent="0.1">
      <c r="A20" s="510"/>
      <c r="B20" s="510"/>
      <c r="D20" s="586"/>
      <c r="G20" s="587"/>
    </row>
    <row r="21" spans="1:7" s="266" customFormat="1" ht="14.25" x14ac:dyDescent="0.1">
      <c r="A21" s="407" t="s">
        <v>422</v>
      </c>
      <c r="B21" s="407" t="s">
        <v>4904</v>
      </c>
      <c r="C21" s="266" t="s">
        <v>4243</v>
      </c>
      <c r="D21" s="586" t="s">
        <v>4244</v>
      </c>
    </row>
    <row r="22" spans="1:7" s="266" customFormat="1" ht="14.25" x14ac:dyDescent="0.1">
      <c r="A22" s="407"/>
      <c r="B22" s="407"/>
      <c r="D22" s="586"/>
    </row>
    <row r="23" spans="1:7" s="266" customFormat="1" ht="14.25" x14ac:dyDescent="0.1">
      <c r="A23" s="510" t="s">
        <v>3432</v>
      </c>
      <c r="B23" s="510" t="s">
        <v>4907</v>
      </c>
      <c r="C23" s="266" t="s">
        <v>4245</v>
      </c>
      <c r="D23" s="266" t="s">
        <v>4246</v>
      </c>
    </row>
    <row r="24" spans="1:7" s="266" customFormat="1" ht="14.25" x14ac:dyDescent="0.1">
      <c r="A24" s="510"/>
      <c r="B24" s="510"/>
    </row>
    <row r="25" spans="1:7" s="266" customFormat="1" ht="14.25" x14ac:dyDescent="0.1">
      <c r="A25" s="510" t="s">
        <v>2674</v>
      </c>
      <c r="B25" s="510" t="s">
        <v>4907</v>
      </c>
      <c r="C25" s="266" t="s">
        <v>4274</v>
      </c>
      <c r="D25" s="586" t="s">
        <v>4275</v>
      </c>
    </row>
    <row r="26" spans="1:7" s="266" customFormat="1" ht="14.25" x14ac:dyDescent="0.1">
      <c r="A26" s="510"/>
      <c r="B26" s="510"/>
      <c r="D26" s="586"/>
    </row>
    <row r="27" spans="1:7" s="266" customFormat="1" ht="14.25" x14ac:dyDescent="0.1">
      <c r="A27" s="510" t="s">
        <v>1266</v>
      </c>
      <c r="B27" s="510" t="s">
        <v>4904</v>
      </c>
      <c r="C27" s="266" t="s">
        <v>4277</v>
      </c>
      <c r="D27" s="586" t="s">
        <v>4278</v>
      </c>
    </row>
    <row r="28" spans="1:7" s="266" customFormat="1" ht="14.25" x14ac:dyDescent="0.1">
      <c r="A28" s="510"/>
      <c r="B28" s="510"/>
      <c r="D28" s="586"/>
    </row>
    <row r="29" spans="1:7" s="266" customFormat="1" ht="14.25" x14ac:dyDescent="0.1">
      <c r="A29" s="510" t="s">
        <v>2889</v>
      </c>
      <c r="B29" s="510" t="s">
        <v>4907</v>
      </c>
      <c r="C29" s="266" t="s">
        <v>4280</v>
      </c>
      <c r="D29" s="586" t="s">
        <v>4281</v>
      </c>
    </row>
    <row r="32" spans="1:7" s="249" customFormat="1" ht="14.25" x14ac:dyDescent="0.1">
      <c r="A32" s="393" t="s">
        <v>3412</v>
      </c>
      <c r="B32" s="393" t="s">
        <v>4904</v>
      </c>
      <c r="C32" s="393" t="s">
        <v>3638</v>
      </c>
      <c r="D32" s="393" t="s">
        <v>3639</v>
      </c>
    </row>
    <row r="33" spans="1:27" s="249" customFormat="1" ht="14.25" x14ac:dyDescent="0.1">
      <c r="A33" s="393"/>
      <c r="B33" s="393"/>
      <c r="C33" s="393"/>
      <c r="D33" s="393"/>
    </row>
    <row r="34" spans="1:27" s="249" customFormat="1" ht="14.25" x14ac:dyDescent="0.1">
      <c r="A34" s="585" t="s">
        <v>660</v>
      </c>
      <c r="B34" s="601" t="s">
        <v>4904</v>
      </c>
      <c r="C34" s="266" t="s">
        <v>3685</v>
      </c>
      <c r="D34" s="407" t="s">
        <v>3686</v>
      </c>
    </row>
    <row r="35" spans="1:27" s="249" customFormat="1" ht="14.25" x14ac:dyDescent="0.1">
      <c r="A35" s="585"/>
      <c r="B35" s="601"/>
      <c r="C35" s="266"/>
      <c r="D35" s="407"/>
    </row>
    <row r="36" spans="1:27" s="249" customFormat="1" ht="15" x14ac:dyDescent="0.15">
      <c r="A36" s="585" t="s">
        <v>676</v>
      </c>
      <c r="B36" s="588" t="s">
        <v>4904</v>
      </c>
      <c r="C36" s="266" t="s">
        <v>3726</v>
      </c>
      <c r="D36" s="407" t="s">
        <v>3727</v>
      </c>
      <c r="E36" s="589"/>
      <c r="F36" s="589"/>
      <c r="G36" s="589"/>
      <c r="H36" s="589"/>
      <c r="I36" s="589"/>
      <c r="J36" s="589"/>
      <c r="K36" s="589"/>
      <c r="L36" s="589"/>
      <c r="M36" s="589"/>
      <c r="N36" s="589"/>
      <c r="O36" s="589"/>
      <c r="P36" s="589"/>
      <c r="Q36" s="589"/>
      <c r="R36" s="589"/>
      <c r="S36" s="589"/>
      <c r="T36" s="589"/>
      <c r="U36" s="589"/>
      <c r="V36" s="589"/>
      <c r="W36" s="589"/>
      <c r="X36" s="589"/>
      <c r="Y36" s="589"/>
      <c r="Z36" s="589"/>
      <c r="AA36" s="589"/>
    </row>
    <row r="37" spans="1:27" s="249" customFormat="1" ht="15" x14ac:dyDescent="0.15">
      <c r="A37" s="585"/>
      <c r="B37" s="588"/>
      <c r="C37" s="266"/>
      <c r="D37" s="407"/>
      <c r="E37" s="589"/>
      <c r="F37" s="589"/>
      <c r="G37" s="589"/>
      <c r="H37" s="589"/>
      <c r="I37" s="589"/>
      <c r="J37" s="589"/>
      <c r="K37" s="589"/>
      <c r="L37" s="589"/>
      <c r="M37" s="589"/>
      <c r="N37" s="589"/>
      <c r="O37" s="589"/>
      <c r="P37" s="589"/>
      <c r="Q37" s="589"/>
      <c r="R37" s="589"/>
      <c r="S37" s="589"/>
      <c r="T37" s="589"/>
      <c r="U37" s="589"/>
      <c r="V37" s="589"/>
      <c r="W37" s="589"/>
      <c r="X37" s="589"/>
      <c r="Y37" s="589"/>
      <c r="Z37" s="589"/>
      <c r="AA37" s="589"/>
    </row>
    <row r="38" spans="1:27" s="249" customFormat="1" ht="15" x14ac:dyDescent="0.15">
      <c r="A38" s="585" t="s">
        <v>2687</v>
      </c>
      <c r="B38" s="588" t="s">
        <v>4904</v>
      </c>
      <c r="C38" s="266" t="s">
        <v>3759</v>
      </c>
      <c r="D38" s="407" t="s">
        <v>3760</v>
      </c>
      <c r="E38" s="589"/>
      <c r="F38" s="589"/>
      <c r="G38" s="589"/>
      <c r="H38" s="589"/>
      <c r="I38" s="589"/>
      <c r="J38" s="589"/>
      <c r="K38" s="589"/>
      <c r="L38" s="589"/>
      <c r="M38" s="589"/>
      <c r="N38" s="589"/>
      <c r="O38" s="589"/>
      <c r="P38" s="589"/>
      <c r="Q38" s="589"/>
      <c r="R38" s="589"/>
      <c r="S38" s="589"/>
      <c r="T38" s="589"/>
      <c r="U38" s="589"/>
      <c r="V38" s="589"/>
      <c r="W38" s="589"/>
      <c r="X38" s="589"/>
      <c r="Y38" s="589"/>
      <c r="Z38" s="589"/>
      <c r="AA38" s="589"/>
    </row>
    <row r="39" spans="1:27" s="249" customFormat="1" ht="15" x14ac:dyDescent="0.15">
      <c r="A39" s="585"/>
      <c r="B39" s="588"/>
      <c r="C39" s="266"/>
      <c r="D39" s="407"/>
      <c r="E39" s="589"/>
      <c r="F39" s="589"/>
      <c r="G39" s="589"/>
      <c r="H39" s="589"/>
      <c r="I39" s="589"/>
      <c r="J39" s="589"/>
      <c r="K39" s="589"/>
      <c r="L39" s="589"/>
      <c r="M39" s="589"/>
      <c r="N39" s="589"/>
      <c r="O39" s="589"/>
      <c r="P39" s="589"/>
      <c r="Q39" s="589"/>
      <c r="R39" s="589"/>
      <c r="S39" s="589"/>
      <c r="T39" s="589"/>
      <c r="U39" s="589"/>
      <c r="V39" s="589"/>
      <c r="W39" s="589"/>
      <c r="X39" s="589"/>
      <c r="Y39" s="589"/>
      <c r="Z39" s="589"/>
      <c r="AA39" s="589"/>
    </row>
    <row r="40" spans="1:27" s="249" customFormat="1" ht="15" x14ac:dyDescent="0.15">
      <c r="A40" s="371" t="s">
        <v>3861</v>
      </c>
      <c r="B40" s="393" t="s">
        <v>4904</v>
      </c>
      <c r="C40" s="600" t="s">
        <v>3862</v>
      </c>
      <c r="D40" s="371" t="s">
        <v>3863</v>
      </c>
      <c r="E40" s="589"/>
      <c r="F40" s="589"/>
      <c r="G40" s="589"/>
      <c r="H40" s="589"/>
      <c r="I40" s="589"/>
      <c r="J40" s="589"/>
      <c r="K40" s="589"/>
      <c r="L40" s="589"/>
      <c r="M40" s="589"/>
      <c r="N40" s="589"/>
      <c r="O40" s="589"/>
      <c r="P40" s="589"/>
      <c r="Q40" s="589"/>
      <c r="R40" s="589"/>
      <c r="S40" s="589"/>
      <c r="T40" s="589"/>
      <c r="U40" s="589"/>
      <c r="V40" s="589"/>
      <c r="W40" s="589"/>
      <c r="X40" s="589"/>
      <c r="Y40" s="589"/>
      <c r="Z40" s="589"/>
      <c r="AA40" s="589"/>
    </row>
    <row r="41" spans="1:27" s="249" customFormat="1" ht="15" x14ac:dyDescent="0.15">
      <c r="A41" s="371"/>
      <c r="B41" s="393"/>
      <c r="C41" s="600"/>
      <c r="D41" s="371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589"/>
    </row>
    <row r="42" spans="1:27" s="249" customFormat="1" ht="15" x14ac:dyDescent="0.15">
      <c r="A42" s="371" t="s">
        <v>3305</v>
      </c>
      <c r="B42" s="393" t="s">
        <v>4905</v>
      </c>
      <c r="C42" s="266" t="s">
        <v>4076</v>
      </c>
      <c r="D42" s="586" t="s">
        <v>4077</v>
      </c>
      <c r="E42" s="589"/>
      <c r="F42" s="589"/>
      <c r="G42" s="589"/>
      <c r="H42" s="589"/>
      <c r="I42" s="589"/>
      <c r="J42" s="589"/>
      <c r="K42" s="589"/>
      <c r="L42" s="589"/>
      <c r="M42" s="589"/>
      <c r="N42" s="589"/>
      <c r="O42" s="589"/>
      <c r="P42" s="589"/>
      <c r="Q42" s="589"/>
      <c r="R42" s="589"/>
      <c r="S42" s="589"/>
      <c r="T42" s="589"/>
      <c r="U42" s="589"/>
      <c r="V42" s="589"/>
      <c r="W42" s="589"/>
      <c r="X42" s="589"/>
      <c r="Y42" s="589"/>
      <c r="Z42" s="589"/>
      <c r="AA42" s="589"/>
    </row>
    <row r="44" spans="1:27" ht="15" x14ac:dyDescent="0.15">
      <c r="A44" s="371" t="s">
        <v>3347</v>
      </c>
      <c r="B44" s="393" t="s">
        <v>4907</v>
      </c>
      <c r="C44" s="266" t="s">
        <v>4126</v>
      </c>
      <c r="D44" s="263" t="s">
        <v>4127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workbookViewId="0">
      <selection activeCell="E22" sqref="E22"/>
    </sheetView>
  </sheetViews>
  <sheetFormatPr defaultColWidth="9.00390625" defaultRowHeight="12.75" x14ac:dyDescent="0.1"/>
  <cols>
    <col min="1" max="1" width="25.9609375" style="169" customWidth="1"/>
    <col min="2" max="2" width="9.00390625" style="169" customWidth="1"/>
    <col min="3" max="3" width="72.97265625" style="387" customWidth="1"/>
    <col min="4" max="4" width="16.95703125" style="169" customWidth="1"/>
    <col min="5" max="5" width="21.046875" style="169" customWidth="1"/>
    <col min="6" max="6" width="25.0234375" style="169" customWidth="1"/>
    <col min="7" max="7" width="9.00390625" style="169" customWidth="1"/>
    <col min="8" max="16384" width="9.00390625" style="169"/>
  </cols>
  <sheetData>
    <row r="1" spans="1:6" ht="14.25" x14ac:dyDescent="0.1">
      <c r="A1" s="524" t="s">
        <v>262</v>
      </c>
      <c r="B1" s="524" t="s">
        <v>3590</v>
      </c>
      <c r="C1" s="525" t="s">
        <v>3591</v>
      </c>
      <c r="D1" s="524" t="s">
        <v>3592</v>
      </c>
      <c r="E1" s="524" t="s">
        <v>3593</v>
      </c>
      <c r="F1" s="524" t="s">
        <v>3594</v>
      </c>
    </row>
    <row r="2" spans="1:6" ht="14.25" x14ac:dyDescent="0.1">
      <c r="A2" s="526" t="s">
        <v>3244</v>
      </c>
      <c r="B2" s="524" t="s">
        <v>3595</v>
      </c>
      <c r="C2" s="525" t="s">
        <v>3596</v>
      </c>
      <c r="D2" s="524" t="s">
        <v>3597</v>
      </c>
      <c r="E2" s="524" t="s">
        <v>3598</v>
      </c>
      <c r="F2" s="524"/>
    </row>
    <row r="3" spans="1:6" s="529" customFormat="1" ht="14.25" x14ac:dyDescent="0.1">
      <c r="A3" s="527" t="s">
        <v>3599</v>
      </c>
      <c r="B3" s="524" t="s">
        <v>3600</v>
      </c>
      <c r="C3" s="525" t="s">
        <v>3601</v>
      </c>
      <c r="D3" s="524" t="s">
        <v>3602</v>
      </c>
      <c r="E3" s="528" t="s">
        <v>3603</v>
      </c>
      <c r="F3" s="528"/>
    </row>
    <row r="4" spans="1:6" ht="14.25" x14ac:dyDescent="0.1">
      <c r="A4" s="526" t="s">
        <v>3276</v>
      </c>
      <c r="B4" s="524" t="s">
        <v>3604</v>
      </c>
      <c r="C4" s="525" t="s">
        <v>3605</v>
      </c>
      <c r="D4" s="524" t="s">
        <v>3606</v>
      </c>
      <c r="E4" s="524" t="s">
        <v>3607</v>
      </c>
      <c r="F4" s="524"/>
    </row>
    <row r="5" spans="1:6" ht="14.25" x14ac:dyDescent="0.1">
      <c r="A5" s="526" t="s">
        <v>3311</v>
      </c>
      <c r="B5" s="524" t="s">
        <v>3608</v>
      </c>
      <c r="C5" s="525" t="s">
        <v>3609</v>
      </c>
      <c r="D5" s="524" t="s">
        <v>3610</v>
      </c>
      <c r="E5" s="524" t="s">
        <v>3611</v>
      </c>
      <c r="F5" s="524"/>
    </row>
    <row r="6" spans="1:6" ht="14.25" x14ac:dyDescent="0.1">
      <c r="A6" s="526" t="s">
        <v>3321</v>
      </c>
      <c r="B6" s="524" t="s">
        <v>3612</v>
      </c>
      <c r="C6" s="525" t="s">
        <v>3613</v>
      </c>
      <c r="D6" s="524" t="s">
        <v>3614</v>
      </c>
      <c r="E6" s="524" t="s">
        <v>3615</v>
      </c>
      <c r="F6" s="524"/>
    </row>
    <row r="7" spans="1:6" s="531" customFormat="1" ht="14.25" x14ac:dyDescent="0.1">
      <c r="A7" s="530" t="s">
        <v>3616</v>
      </c>
      <c r="B7" s="524" t="s">
        <v>3617</v>
      </c>
      <c r="C7" s="525" t="s">
        <v>3618</v>
      </c>
      <c r="D7" s="524" t="s">
        <v>3619</v>
      </c>
      <c r="E7" s="524"/>
      <c r="F7" s="524"/>
    </row>
    <row r="8" spans="1:6" ht="14.25" x14ac:dyDescent="0.1">
      <c r="A8" s="526" t="s">
        <v>3360</v>
      </c>
      <c r="B8" s="524" t="s">
        <v>3621</v>
      </c>
      <c r="C8" s="525" t="s">
        <v>3622</v>
      </c>
      <c r="D8" s="524" t="s">
        <v>3623</v>
      </c>
      <c r="E8" s="524" t="s">
        <v>3624</v>
      </c>
      <c r="F8" s="524"/>
    </row>
    <row r="9" spans="1:6" ht="14.25" x14ac:dyDescent="0.1">
      <c r="A9" s="526" t="s">
        <v>3625</v>
      </c>
      <c r="B9" s="524" t="s">
        <v>3626</v>
      </c>
      <c r="C9" s="532" t="s">
        <v>3627</v>
      </c>
      <c r="D9" s="524" t="s">
        <v>3628</v>
      </c>
      <c r="E9" s="524" t="s">
        <v>3629</v>
      </c>
      <c r="F9" s="524"/>
    </row>
    <row r="10" spans="1:6" ht="14.25" x14ac:dyDescent="0.1">
      <c r="A10" s="526" t="s">
        <v>1421</v>
      </c>
      <c r="B10" s="524" t="s">
        <v>3630</v>
      </c>
      <c r="C10" s="525" t="s">
        <v>3631</v>
      </c>
      <c r="D10" s="524"/>
      <c r="E10" s="524" t="s">
        <v>3632</v>
      </c>
      <c r="F10" s="524"/>
    </row>
    <row r="11" spans="1:6" s="535" customFormat="1" ht="14.25" x14ac:dyDescent="0.1">
      <c r="A11" s="527" t="s">
        <v>3633</v>
      </c>
      <c r="B11" s="533"/>
      <c r="C11" s="533" t="s">
        <v>3603</v>
      </c>
      <c r="D11" s="534" t="s">
        <v>3624</v>
      </c>
      <c r="E11" s="534" t="s">
        <v>888</v>
      </c>
      <c r="F11" s="534"/>
    </row>
    <row r="12" spans="1:6" ht="14.25" x14ac:dyDescent="0.1">
      <c r="A12" s="526" t="s">
        <v>2338</v>
      </c>
      <c r="B12" s="524" t="s">
        <v>3634</v>
      </c>
      <c r="C12" s="525" t="s">
        <v>3635</v>
      </c>
      <c r="D12" s="524" t="s">
        <v>3603</v>
      </c>
      <c r="E12" s="524" t="s">
        <v>3636</v>
      </c>
      <c r="F12" s="524"/>
    </row>
    <row r="13" spans="1:6" s="539" customFormat="1" ht="14.25" x14ac:dyDescent="0.1">
      <c r="A13" s="536" t="s">
        <v>3637</v>
      </c>
      <c r="B13" s="537"/>
      <c r="C13" s="538"/>
      <c r="D13" s="537" t="s">
        <v>3603</v>
      </c>
      <c r="E13" s="537" t="s">
        <v>3603</v>
      </c>
      <c r="F13" s="537"/>
    </row>
    <row r="14" spans="1:6" s="531" customFormat="1" ht="14.25" x14ac:dyDescent="0.1">
      <c r="A14" s="526" t="s">
        <v>3412</v>
      </c>
      <c r="B14" s="524" t="s">
        <v>3642</v>
      </c>
      <c r="C14" s="525" t="s">
        <v>4909</v>
      </c>
      <c r="D14" s="524" t="s">
        <v>3640</v>
      </c>
      <c r="E14" s="524" t="s">
        <v>3641</v>
      </c>
      <c r="F14" s="524"/>
    </row>
    <row r="15" spans="1:6" ht="14.25" x14ac:dyDescent="0.1">
      <c r="A15" s="526" t="s">
        <v>1272</v>
      </c>
      <c r="B15" s="524" t="s">
        <v>3642</v>
      </c>
      <c r="C15" s="525" t="s">
        <v>3643</v>
      </c>
      <c r="D15" s="524" t="s">
        <v>3644</v>
      </c>
      <c r="E15" s="524" t="s">
        <v>3645</v>
      </c>
      <c r="F15" s="524"/>
    </row>
    <row r="16" spans="1:6" ht="14.25" x14ac:dyDescent="0.1">
      <c r="A16" s="526" t="s">
        <v>3423</v>
      </c>
      <c r="B16" s="524" t="s">
        <v>3646</v>
      </c>
      <c r="C16" s="525" t="s">
        <v>3647</v>
      </c>
      <c r="D16" s="524" t="s">
        <v>3648</v>
      </c>
      <c r="E16" s="524" t="s">
        <v>3649</v>
      </c>
      <c r="F16" s="524"/>
    </row>
    <row r="17" spans="1:6" ht="14.25" x14ac:dyDescent="0.1">
      <c r="A17" s="526" t="s">
        <v>3431</v>
      </c>
      <c r="B17" s="524" t="s">
        <v>3650</v>
      </c>
      <c r="C17" s="525" t="s">
        <v>3651</v>
      </c>
      <c r="D17" s="524" t="s">
        <v>3624</v>
      </c>
      <c r="E17" s="524" t="s">
        <v>3652</v>
      </c>
      <c r="F17" s="524"/>
    </row>
    <row r="18" spans="1:6" ht="14.25" x14ac:dyDescent="0.1">
      <c r="A18" s="526" t="s">
        <v>3440</v>
      </c>
      <c r="B18" s="524" t="s">
        <v>3653</v>
      </c>
      <c r="C18" s="525" t="s">
        <v>3654</v>
      </c>
      <c r="D18" s="524" t="s">
        <v>3655</v>
      </c>
      <c r="E18" s="524" t="s">
        <v>3656</v>
      </c>
      <c r="F18" s="524"/>
    </row>
    <row r="19" spans="1:6" ht="14.25" x14ac:dyDescent="0.1">
      <c r="A19" s="526" t="s">
        <v>3448</v>
      </c>
      <c r="B19" s="524" t="s">
        <v>3657</v>
      </c>
      <c r="C19" s="525" t="s">
        <v>3658</v>
      </c>
      <c r="D19" s="524" t="s">
        <v>3659</v>
      </c>
      <c r="E19" s="524" t="s">
        <v>3660</v>
      </c>
      <c r="F19" s="524"/>
    </row>
    <row r="20" spans="1:6" ht="14.25" x14ac:dyDescent="0.1">
      <c r="A20" s="526" t="s">
        <v>3459</v>
      </c>
      <c r="B20" s="524" t="s">
        <v>3661</v>
      </c>
      <c r="C20" s="525" t="s">
        <v>3662</v>
      </c>
      <c r="D20" s="524" t="s">
        <v>3624</v>
      </c>
      <c r="E20" s="524" t="s">
        <v>3663</v>
      </c>
      <c r="F20" s="524"/>
    </row>
    <row r="21" spans="1:6" ht="14.25" x14ac:dyDescent="0.1">
      <c r="A21" s="526" t="s">
        <v>3465</v>
      </c>
      <c r="B21" s="524" t="s">
        <v>3664</v>
      </c>
      <c r="C21" s="525" t="s">
        <v>3665</v>
      </c>
      <c r="D21" s="524" t="s">
        <v>3666</v>
      </c>
      <c r="E21" s="524" t="s">
        <v>3667</v>
      </c>
      <c r="F21" s="524"/>
    </row>
    <row r="22" spans="1:6" ht="14.25" x14ac:dyDescent="0.1">
      <c r="A22" s="526" t="s">
        <v>1425</v>
      </c>
      <c r="B22" s="524" t="s">
        <v>3668</v>
      </c>
      <c r="C22" s="525" t="s">
        <v>3669</v>
      </c>
      <c r="D22" s="524" t="s">
        <v>3670</v>
      </c>
      <c r="E22" s="524" t="s">
        <v>1426</v>
      </c>
      <c r="F22" s="524"/>
    </row>
    <row r="23" spans="1:6" s="539" customFormat="1" ht="14.25" x14ac:dyDescent="0.1">
      <c r="A23" s="536" t="s">
        <v>3671</v>
      </c>
      <c r="B23" s="537"/>
      <c r="C23" s="538"/>
      <c r="D23" s="537" t="s">
        <v>3603</v>
      </c>
      <c r="E23" s="537" t="s">
        <v>3672</v>
      </c>
      <c r="F23" s="537"/>
    </row>
    <row r="24" spans="1:6" s="539" customFormat="1" ht="14.25" x14ac:dyDescent="0.1">
      <c r="A24" s="536" t="s">
        <v>3673</v>
      </c>
      <c r="B24" s="537"/>
      <c r="C24" s="538"/>
      <c r="D24" s="537" t="s">
        <v>3603</v>
      </c>
      <c r="E24" s="537" t="s">
        <v>3603</v>
      </c>
      <c r="F24" s="537"/>
    </row>
    <row r="25" spans="1:6" ht="14.25" x14ac:dyDescent="0.1">
      <c r="A25" s="526" t="s">
        <v>3526</v>
      </c>
      <c r="B25" s="524" t="s">
        <v>3674</v>
      </c>
      <c r="C25" s="525" t="s">
        <v>3675</v>
      </c>
      <c r="D25" s="524" t="s">
        <v>3676</v>
      </c>
      <c r="E25" s="524" t="s">
        <v>4910</v>
      </c>
      <c r="F25" s="524"/>
    </row>
    <row r="26" spans="1:6" ht="14.25" x14ac:dyDescent="0.1">
      <c r="A26" s="526" t="s">
        <v>3530</v>
      </c>
      <c r="B26" s="524" t="s">
        <v>4911</v>
      </c>
      <c r="C26" s="525" t="s">
        <v>4912</v>
      </c>
      <c r="D26" s="524" t="s">
        <v>3679</v>
      </c>
      <c r="E26" s="524" t="s">
        <v>3680</v>
      </c>
      <c r="F26" s="524"/>
    </row>
    <row r="27" spans="1:6" ht="14.25" x14ac:dyDescent="0.1">
      <c r="A27" s="526" t="s">
        <v>2161</v>
      </c>
      <c r="B27" s="526"/>
      <c r="C27" s="540"/>
      <c r="D27" s="526"/>
      <c r="E27" s="526" t="s">
        <v>3908</v>
      </c>
      <c r="F27" s="526"/>
    </row>
    <row r="28" spans="1:6" ht="14.25" x14ac:dyDescent="0.1">
      <c r="A28" s="526" t="s">
        <v>2532</v>
      </c>
      <c r="B28" s="526"/>
      <c r="C28" s="540"/>
      <c r="D28" s="526"/>
      <c r="E28" s="526" t="s">
        <v>3911</v>
      </c>
      <c r="F28" s="526"/>
    </row>
    <row r="29" spans="1:6" ht="14.25" x14ac:dyDescent="0.1">
      <c r="A29" s="526" t="s">
        <v>2677</v>
      </c>
      <c r="B29" s="526"/>
      <c r="C29" s="540"/>
      <c r="D29" s="526"/>
      <c r="E29" s="526" t="s">
        <v>2679</v>
      </c>
      <c r="F29" s="526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26"/>
  <sheetViews>
    <sheetView workbookViewId="0">
      <selection activeCell="F40" sqref="F40"/>
    </sheetView>
  </sheetViews>
  <sheetFormatPr defaultRowHeight="13.5" x14ac:dyDescent="0.1"/>
  <cols>
    <col min="4" max="4" width="61.98046875" customWidth="1"/>
  </cols>
  <sheetData>
    <row r="2" spans="1:7" ht="15" x14ac:dyDescent="0.15">
      <c r="A2" s="1"/>
      <c r="B2" s="402" t="s">
        <v>262</v>
      </c>
      <c r="C2" s="249" t="s">
        <v>3590</v>
      </c>
      <c r="D2" s="261" t="s">
        <v>3591</v>
      </c>
      <c r="E2" s="249" t="s">
        <v>3592</v>
      </c>
      <c r="F2" s="249" t="s">
        <v>3593</v>
      </c>
      <c r="G2" s="249" t="s">
        <v>3594</v>
      </c>
    </row>
    <row r="3" spans="1:7" ht="15" x14ac:dyDescent="0.15">
      <c r="A3" s="1"/>
      <c r="B3" s="365" t="s">
        <v>2541</v>
      </c>
      <c r="C3" s="250" t="s">
        <v>3851</v>
      </c>
      <c r="D3" s="406" t="s">
        <v>3852</v>
      </c>
      <c r="E3" s="249"/>
      <c r="F3" s="249"/>
      <c r="G3" s="249"/>
    </row>
    <row r="4" spans="1:7" ht="15" x14ac:dyDescent="0.15">
      <c r="A4" s="1"/>
      <c r="B4" s="365" t="s">
        <v>2603</v>
      </c>
      <c r="C4" s="250" t="s">
        <v>3853</v>
      </c>
      <c r="D4" s="371" t="s">
        <v>3854</v>
      </c>
      <c r="E4" s="249"/>
      <c r="F4" s="249"/>
      <c r="G4" s="249"/>
    </row>
    <row r="5" spans="1:7" ht="15" x14ac:dyDescent="0.15">
      <c r="A5" s="1"/>
      <c r="B5" s="365" t="s">
        <v>2610</v>
      </c>
      <c r="C5" s="250" t="s">
        <v>3855</v>
      </c>
      <c r="D5" s="407" t="s">
        <v>3856</v>
      </c>
      <c r="E5" s="249"/>
      <c r="F5" s="249"/>
      <c r="G5" s="249"/>
    </row>
    <row r="6" spans="1:7" ht="15" x14ac:dyDescent="0.15">
      <c r="A6" s="1"/>
      <c r="B6" s="365" t="s">
        <v>3351</v>
      </c>
      <c r="C6" s="250" t="s">
        <v>3857</v>
      </c>
      <c r="D6" s="3" t="s">
        <v>4913</v>
      </c>
      <c r="E6" s="249"/>
      <c r="F6" s="249"/>
      <c r="G6" s="249"/>
    </row>
    <row r="7" spans="1:7" ht="15" x14ac:dyDescent="0.15">
      <c r="A7" s="1"/>
      <c r="B7" s="365" t="s">
        <v>2555</v>
      </c>
      <c r="C7" s="250" t="s">
        <v>3859</v>
      </c>
      <c r="D7" s="371" t="s">
        <v>3860</v>
      </c>
      <c r="E7" s="249"/>
      <c r="F7" s="249"/>
      <c r="G7" s="249"/>
    </row>
    <row r="8" spans="1:7" ht="15" x14ac:dyDescent="0.15">
      <c r="A8" s="1"/>
      <c r="B8" s="365" t="s">
        <v>2575</v>
      </c>
      <c r="C8" s="250" t="s">
        <v>3865</v>
      </c>
      <c r="D8" s="371" t="s">
        <v>3866</v>
      </c>
      <c r="E8" s="249"/>
      <c r="F8" s="249"/>
      <c r="G8" s="249"/>
    </row>
    <row r="9" spans="1:7" ht="15" x14ac:dyDescent="0.15">
      <c r="A9" s="1"/>
      <c r="B9" s="365" t="s">
        <v>3471</v>
      </c>
      <c r="C9" s="250" t="s">
        <v>3867</v>
      </c>
      <c r="D9" s="371" t="s">
        <v>3868</v>
      </c>
      <c r="E9" s="249"/>
      <c r="F9" s="249"/>
      <c r="G9" s="249"/>
    </row>
    <row r="10" spans="1:7" ht="15" x14ac:dyDescent="0.15">
      <c r="A10" s="1"/>
      <c r="B10" s="365" t="s">
        <v>3869</v>
      </c>
      <c r="C10" s="250" t="s">
        <v>3859</v>
      </c>
      <c r="D10" s="3" t="s">
        <v>3870</v>
      </c>
      <c r="E10" s="249"/>
      <c r="F10" s="249"/>
      <c r="G10" s="249"/>
    </row>
    <row r="11" spans="1:7" ht="15" x14ac:dyDescent="0.15">
      <c r="A11" s="1"/>
      <c r="B11" s="365" t="s">
        <v>3871</v>
      </c>
      <c r="C11" s="250" t="s">
        <v>3872</v>
      </c>
      <c r="D11" s="3" t="s">
        <v>3873</v>
      </c>
      <c r="E11" s="249"/>
      <c r="F11" s="249"/>
      <c r="G11" s="249"/>
    </row>
    <row r="12" spans="1:7" ht="15" x14ac:dyDescent="0.15">
      <c r="A12" s="1"/>
      <c r="B12" s="365" t="s">
        <v>3414</v>
      </c>
      <c r="C12" s="250" t="s">
        <v>3874</v>
      </c>
      <c r="D12" s="3" t="s">
        <v>3875</v>
      </c>
      <c r="E12" s="249"/>
      <c r="F12" s="249"/>
      <c r="G12" s="249"/>
    </row>
    <row r="13" spans="1:7" ht="15" x14ac:dyDescent="0.15">
      <c r="A13" s="1"/>
      <c r="B13" s="365" t="s">
        <v>3876</v>
      </c>
      <c r="C13" s="250" t="s">
        <v>3877</v>
      </c>
      <c r="D13" s="406" t="s">
        <v>3878</v>
      </c>
      <c r="E13" s="249"/>
      <c r="F13" s="249"/>
      <c r="G13" s="249"/>
    </row>
    <row r="14" spans="1:7" ht="15" x14ac:dyDescent="0.15">
      <c r="A14" s="1"/>
      <c r="B14" s="365" t="s">
        <v>3879</v>
      </c>
      <c r="C14" s="250" t="s">
        <v>3880</v>
      </c>
      <c r="D14" s="371" t="s">
        <v>3881</v>
      </c>
      <c r="E14" s="249"/>
      <c r="F14" s="249"/>
      <c r="G14" s="249"/>
    </row>
    <row r="15" spans="1:7" ht="15" x14ac:dyDescent="0.15">
      <c r="A15" s="1"/>
      <c r="B15" s="365" t="s">
        <v>3882</v>
      </c>
      <c r="C15" s="250" t="s">
        <v>3775</v>
      </c>
      <c r="D15" s="371" t="s">
        <v>3883</v>
      </c>
      <c r="E15" s="249"/>
      <c r="F15" s="249"/>
      <c r="G15" s="249"/>
    </row>
    <row r="16" spans="1:7" ht="15" x14ac:dyDescent="0.15">
      <c r="A16" s="1"/>
      <c r="B16" s="365" t="s">
        <v>2639</v>
      </c>
      <c r="C16" s="520" t="s">
        <v>3884</v>
      </c>
      <c r="D16" s="521" t="s">
        <v>3885</v>
      </c>
      <c r="E16" s="520"/>
      <c r="F16" s="520"/>
      <c r="G16" s="520"/>
    </row>
    <row r="17" spans="1:7" ht="15" x14ac:dyDescent="0.15">
      <c r="A17" s="1"/>
      <c r="B17" s="365" t="s">
        <v>2643</v>
      </c>
      <c r="C17" s="520" t="s">
        <v>3884</v>
      </c>
      <c r="D17" s="521" t="s">
        <v>3885</v>
      </c>
      <c r="E17" s="520"/>
      <c r="F17" s="520"/>
      <c r="G17" s="520"/>
    </row>
    <row r="18" spans="1:7" ht="15" x14ac:dyDescent="0.15">
      <c r="A18" s="1"/>
      <c r="B18" s="365" t="s">
        <v>2326</v>
      </c>
      <c r="C18" s="520" t="s">
        <v>4914</v>
      </c>
      <c r="D18" s="522"/>
      <c r="E18" s="520"/>
      <c r="F18" s="520"/>
      <c r="G18" s="520"/>
    </row>
    <row r="19" spans="1:7" ht="15" x14ac:dyDescent="0.15">
      <c r="A19" s="1"/>
      <c r="B19" s="365" t="s">
        <v>2593</v>
      </c>
      <c r="C19" s="520" t="s">
        <v>3894</v>
      </c>
      <c r="D19" s="522" t="s">
        <v>3895</v>
      </c>
      <c r="E19" s="520"/>
      <c r="F19" s="520" t="s">
        <v>3896</v>
      </c>
      <c r="G19" s="520"/>
    </row>
    <row r="20" spans="1:7" ht="15" x14ac:dyDescent="0.15">
      <c r="A20" s="1"/>
      <c r="B20" s="365" t="s">
        <v>3515</v>
      </c>
      <c r="C20" s="520" t="s">
        <v>3897</v>
      </c>
      <c r="D20" s="522" t="s">
        <v>3898</v>
      </c>
      <c r="E20" s="520"/>
      <c r="F20" s="520" t="s">
        <v>3899</v>
      </c>
      <c r="G20" s="520"/>
    </row>
    <row r="21" spans="1:7" ht="15" x14ac:dyDescent="0.15">
      <c r="A21" s="1"/>
      <c r="B21" s="365" t="s">
        <v>2366</v>
      </c>
      <c r="C21" s="520" t="s">
        <v>3848</v>
      </c>
      <c r="D21" s="522" t="s">
        <v>3900</v>
      </c>
      <c r="E21" s="520"/>
      <c r="F21" s="520" t="s">
        <v>3901</v>
      </c>
      <c r="G21" s="520"/>
    </row>
    <row r="22" spans="1:7" ht="15" x14ac:dyDescent="0.15">
      <c r="A22" s="1"/>
      <c r="B22" s="365" t="s">
        <v>3377</v>
      </c>
      <c r="C22" s="362" t="s">
        <v>3846</v>
      </c>
      <c r="D22" s="368" t="s">
        <v>3847</v>
      </c>
      <c r="E22" s="362"/>
      <c r="F22" s="362" t="s">
        <v>3886</v>
      </c>
      <c r="G22" s="362"/>
    </row>
    <row r="23" spans="1:7" ht="15" x14ac:dyDescent="0.15">
      <c r="A23" s="1"/>
      <c r="B23" s="365" t="s">
        <v>3385</v>
      </c>
      <c r="C23" s="520" t="s">
        <v>3887</v>
      </c>
      <c r="D23" s="522" t="s">
        <v>4915</v>
      </c>
      <c r="E23" s="520"/>
      <c r="F23" s="520" t="s">
        <v>3889</v>
      </c>
      <c r="G23" s="520"/>
    </row>
    <row r="24" spans="1:7" ht="15" x14ac:dyDescent="0.15">
      <c r="A24" s="1"/>
      <c r="B24" s="365" t="s">
        <v>3404</v>
      </c>
      <c r="C24" s="520" t="s">
        <v>4916</v>
      </c>
      <c r="D24" s="522"/>
      <c r="E24" s="520"/>
      <c r="F24" s="520"/>
      <c r="G24" s="520"/>
    </row>
    <row r="25" spans="1:7" ht="15" x14ac:dyDescent="0.15">
      <c r="A25" s="1"/>
      <c r="B25" s="365" t="s">
        <v>2504</v>
      </c>
      <c r="C25" s="362" t="s">
        <v>3846</v>
      </c>
      <c r="D25" s="368" t="s">
        <v>4917</v>
      </c>
      <c r="E25" s="362"/>
      <c r="F25" s="362"/>
      <c r="G25" s="362"/>
    </row>
    <row r="26" spans="1:7" ht="15" x14ac:dyDescent="0.15">
      <c r="A26" s="1"/>
      <c r="B26" s="365" t="s">
        <v>49</v>
      </c>
      <c r="C26" s="520" t="s">
        <v>3848</v>
      </c>
      <c r="D26" s="522" t="s">
        <v>3849</v>
      </c>
      <c r="E26" s="520"/>
      <c r="F26" s="520" t="s">
        <v>3850</v>
      </c>
      <c r="G26" s="520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5"/>
  <sheetViews>
    <sheetView topLeftCell="A124" workbookViewId="0">
      <selection activeCell="B137" sqref="B137"/>
    </sheetView>
  </sheetViews>
  <sheetFormatPr defaultColWidth="9.00390625" defaultRowHeight="13.5" x14ac:dyDescent="0.1"/>
  <cols>
    <col min="1" max="1" width="9.00390625" style="345" customWidth="1"/>
    <col min="2" max="2" width="39.99609375" style="27" customWidth="1"/>
    <col min="3" max="3" width="12.98046875" style="27" customWidth="1"/>
    <col min="4" max="4" width="10.9921875" style="27" customWidth="1"/>
    <col min="5" max="5" width="41.046875" style="27" customWidth="1"/>
    <col min="6" max="6" width="23.03515625" style="27" customWidth="1"/>
    <col min="7" max="7" width="9.00390625" style="27" customWidth="1"/>
    <col min="8" max="16384" width="9.00390625" style="27"/>
  </cols>
  <sheetData>
    <row r="1" spans="1:6" ht="22.5" x14ac:dyDescent="0.1">
      <c r="A1" s="340" t="s">
        <v>4876</v>
      </c>
      <c r="B1" s="341" t="s">
        <v>4918</v>
      </c>
      <c r="C1" s="341" t="s">
        <v>279</v>
      </c>
      <c r="D1" s="341" t="s">
        <v>4919</v>
      </c>
      <c r="E1" s="341" t="s">
        <v>3591</v>
      </c>
      <c r="F1" s="342" t="s">
        <v>4920</v>
      </c>
    </row>
    <row r="2" spans="1:6" x14ac:dyDescent="0.1">
      <c r="A2" s="343">
        <v>48</v>
      </c>
      <c r="B2" s="344" t="s">
        <v>4921</v>
      </c>
      <c r="C2" s="344"/>
      <c r="D2" s="344"/>
      <c r="E2" s="344" t="s">
        <v>3964</v>
      </c>
      <c r="F2" s="344"/>
    </row>
    <row r="3" spans="1:6" x14ac:dyDescent="0.1">
      <c r="A3" s="373" t="s">
        <v>2065</v>
      </c>
      <c r="B3" s="374" t="s">
        <v>4922</v>
      </c>
      <c r="C3" s="375" t="s">
        <v>4923</v>
      </c>
      <c r="D3" s="375" t="s">
        <v>4924</v>
      </c>
      <c r="E3" s="375" t="s">
        <v>4925</v>
      </c>
      <c r="F3" s="375" t="s">
        <v>4926</v>
      </c>
    </row>
    <row r="4" spans="1:6" x14ac:dyDescent="0.1">
      <c r="A4" s="373" t="s">
        <v>2189</v>
      </c>
      <c r="B4" s="375" t="s">
        <v>4927</v>
      </c>
      <c r="C4" s="375" t="s">
        <v>4928</v>
      </c>
      <c r="D4" s="375" t="s">
        <v>4929</v>
      </c>
      <c r="E4" s="375" t="s">
        <v>4930</v>
      </c>
      <c r="F4" s="375" t="s">
        <v>4931</v>
      </c>
    </row>
    <row r="5" spans="1:6" x14ac:dyDescent="0.1">
      <c r="A5" s="373" t="s">
        <v>2025</v>
      </c>
      <c r="B5" s="375" t="s">
        <v>4932</v>
      </c>
      <c r="C5" s="375" t="s">
        <v>4933</v>
      </c>
      <c r="D5" s="375" t="s">
        <v>4934</v>
      </c>
      <c r="E5" s="375" t="s">
        <v>4930</v>
      </c>
      <c r="F5" s="375" t="s">
        <v>4935</v>
      </c>
    </row>
    <row r="6" spans="1:6" x14ac:dyDescent="0.1">
      <c r="A6" s="373" t="s">
        <v>2253</v>
      </c>
      <c r="B6" s="375" t="s">
        <v>4936</v>
      </c>
      <c r="C6" s="376"/>
      <c r="D6" s="375" t="s">
        <v>4934</v>
      </c>
      <c r="E6" s="375" t="s">
        <v>4937</v>
      </c>
      <c r="F6" s="375" t="s">
        <v>4938</v>
      </c>
    </row>
    <row r="7" spans="1:6" x14ac:dyDescent="0.1">
      <c r="A7" s="373" t="s">
        <v>2221</v>
      </c>
      <c r="B7" s="375" t="s">
        <v>4939</v>
      </c>
      <c r="C7" s="375" t="s">
        <v>4933</v>
      </c>
      <c r="D7" s="375" t="s">
        <v>4934</v>
      </c>
      <c r="E7" s="375" t="s">
        <v>4937</v>
      </c>
      <c r="F7" s="375" t="s">
        <v>2223</v>
      </c>
    </row>
    <row r="8" spans="1:6" x14ac:dyDescent="0.1">
      <c r="A8" s="373" t="s">
        <v>2344</v>
      </c>
      <c r="B8" s="374" t="s">
        <v>4940</v>
      </c>
      <c r="C8" s="375" t="s">
        <v>4941</v>
      </c>
      <c r="D8" s="375" t="s">
        <v>4942</v>
      </c>
      <c r="E8" s="375" t="s">
        <v>4937</v>
      </c>
      <c r="F8" s="375" t="s">
        <v>2346</v>
      </c>
    </row>
    <row r="9" spans="1:6" x14ac:dyDescent="0.1">
      <c r="A9" s="373" t="s">
        <v>2093</v>
      </c>
      <c r="B9" s="375" t="s">
        <v>4943</v>
      </c>
      <c r="C9" s="375" t="s">
        <v>4933</v>
      </c>
      <c r="D9" s="375" t="s">
        <v>4944</v>
      </c>
      <c r="E9" s="376"/>
      <c r="F9" s="375" t="s">
        <v>4945</v>
      </c>
    </row>
    <row r="10" spans="1:6" x14ac:dyDescent="0.1">
      <c r="A10" s="373" t="s">
        <v>2107</v>
      </c>
      <c r="B10" s="375" t="s">
        <v>4946</v>
      </c>
      <c r="C10" s="375" t="s">
        <v>4933</v>
      </c>
      <c r="D10" s="375" t="s">
        <v>4944</v>
      </c>
      <c r="E10" s="375" t="s">
        <v>4947</v>
      </c>
      <c r="F10" s="375" t="s">
        <v>4948</v>
      </c>
    </row>
    <row r="11" spans="1:6" s="36" customFormat="1" x14ac:dyDescent="0.1">
      <c r="A11" s="343" t="s">
        <v>1870</v>
      </c>
      <c r="B11" s="382" t="s">
        <v>4949</v>
      </c>
      <c r="C11" s="382" t="s">
        <v>4950</v>
      </c>
      <c r="D11" s="382" t="s">
        <v>4942</v>
      </c>
      <c r="E11" s="382" t="s">
        <v>4951</v>
      </c>
      <c r="F11" s="382" t="s">
        <v>4952</v>
      </c>
    </row>
    <row r="12" spans="1:6" x14ac:dyDescent="0.1">
      <c r="A12" s="373" t="s">
        <v>2393</v>
      </c>
      <c r="B12" s="375" t="s">
        <v>4953</v>
      </c>
      <c r="C12" s="375" t="s">
        <v>4941</v>
      </c>
      <c r="D12" s="375" t="s">
        <v>4942</v>
      </c>
      <c r="E12" s="375" t="s">
        <v>4954</v>
      </c>
      <c r="F12" s="375" t="s">
        <v>4955</v>
      </c>
    </row>
    <row r="13" spans="1:6" x14ac:dyDescent="0.1">
      <c r="A13" s="373" t="s">
        <v>2173</v>
      </c>
      <c r="B13" s="375" t="s">
        <v>4956</v>
      </c>
      <c r="C13" s="375" t="s">
        <v>4928</v>
      </c>
      <c r="D13" s="375" t="s">
        <v>4929</v>
      </c>
      <c r="E13" s="375" t="s">
        <v>4957</v>
      </c>
      <c r="F13" s="374" t="s">
        <v>4958</v>
      </c>
    </row>
    <row r="14" spans="1:6" x14ac:dyDescent="0.1">
      <c r="A14" s="373" t="s">
        <v>2490</v>
      </c>
      <c r="B14" s="375" t="s">
        <v>4959</v>
      </c>
      <c r="C14" s="375" t="s">
        <v>4941</v>
      </c>
      <c r="D14" s="375" t="s">
        <v>4942</v>
      </c>
      <c r="E14" s="375" t="s">
        <v>4960</v>
      </c>
      <c r="F14" s="375" t="s">
        <v>3773</v>
      </c>
    </row>
    <row r="15" spans="1:6" x14ac:dyDescent="0.1">
      <c r="A15" s="373" t="s">
        <v>2646</v>
      </c>
      <c r="B15" s="376"/>
      <c r="C15" s="376"/>
      <c r="D15" s="376"/>
      <c r="E15" s="376"/>
      <c r="F15" s="376"/>
    </row>
    <row r="16" spans="1:6" x14ac:dyDescent="0.1">
      <c r="A16" s="373" t="s">
        <v>2364</v>
      </c>
      <c r="B16" s="374" t="s">
        <v>4961</v>
      </c>
      <c r="C16" s="375" t="s">
        <v>4933</v>
      </c>
      <c r="D16" s="375" t="s">
        <v>4944</v>
      </c>
      <c r="E16" s="375" t="s">
        <v>4947</v>
      </c>
      <c r="F16" s="375" t="s">
        <v>4962</v>
      </c>
    </row>
    <row r="17" spans="1:6" x14ac:dyDescent="0.1">
      <c r="A17" s="373" t="s">
        <v>2176</v>
      </c>
      <c r="B17" s="375" t="s">
        <v>4963</v>
      </c>
      <c r="C17" s="375" t="s">
        <v>4941</v>
      </c>
      <c r="D17" s="375" t="s">
        <v>4964</v>
      </c>
      <c r="E17" s="375" t="s">
        <v>4965</v>
      </c>
      <c r="F17" s="375" t="s">
        <v>4966</v>
      </c>
    </row>
    <row r="18" spans="1:6" x14ac:dyDescent="0.1">
      <c r="A18" s="373" t="s">
        <v>2199</v>
      </c>
      <c r="B18" s="374" t="s">
        <v>4967</v>
      </c>
      <c r="C18" s="375" t="s">
        <v>4933</v>
      </c>
      <c r="D18" s="375" t="s">
        <v>4942</v>
      </c>
      <c r="E18" s="375" t="s">
        <v>4968</v>
      </c>
      <c r="F18" s="375" t="s">
        <v>4969</v>
      </c>
    </row>
    <row r="19" spans="1:6" s="36" customFormat="1" x14ac:dyDescent="0.1">
      <c r="A19" s="343" t="s">
        <v>3386</v>
      </c>
      <c r="B19" s="382" t="s">
        <v>4970</v>
      </c>
      <c r="C19" s="382" t="s">
        <v>4971</v>
      </c>
      <c r="D19" s="382" t="s">
        <v>4944</v>
      </c>
      <c r="E19" s="382" t="s">
        <v>4972</v>
      </c>
      <c r="F19" s="382" t="s">
        <v>4973</v>
      </c>
    </row>
    <row r="20" spans="1:6" s="36" customFormat="1" x14ac:dyDescent="0.1">
      <c r="A20" s="343" t="s">
        <v>2112</v>
      </c>
      <c r="B20" s="383" t="s">
        <v>4974</v>
      </c>
      <c r="C20" s="382" t="s">
        <v>4950</v>
      </c>
      <c r="D20" s="382" t="s">
        <v>4942</v>
      </c>
      <c r="E20" s="382" t="s">
        <v>4975</v>
      </c>
      <c r="F20" s="382" t="s">
        <v>4976</v>
      </c>
    </row>
    <row r="21" spans="1:6" s="36" customFormat="1" x14ac:dyDescent="0.1">
      <c r="A21" s="343" t="s">
        <v>17</v>
      </c>
      <c r="B21" s="382" t="s">
        <v>4977</v>
      </c>
      <c r="C21" s="382" t="s">
        <v>4950</v>
      </c>
      <c r="D21" s="382" t="s">
        <v>4964</v>
      </c>
      <c r="E21" s="382" t="s">
        <v>4978</v>
      </c>
      <c r="F21" s="382" t="s">
        <v>4979</v>
      </c>
    </row>
    <row r="22" spans="1:6" x14ac:dyDescent="0.1">
      <c r="A22" s="373" t="s">
        <v>2258</v>
      </c>
      <c r="B22" s="374" t="s">
        <v>4980</v>
      </c>
      <c r="C22" s="375" t="s">
        <v>4981</v>
      </c>
      <c r="D22" s="375" t="s">
        <v>4934</v>
      </c>
      <c r="E22" s="375" t="s">
        <v>4982</v>
      </c>
      <c r="F22" s="375" t="s">
        <v>4983</v>
      </c>
    </row>
    <row r="23" spans="1:6" x14ac:dyDescent="0.1">
      <c r="A23" s="373" t="s">
        <v>2342</v>
      </c>
      <c r="B23" s="375" t="s">
        <v>4984</v>
      </c>
      <c r="C23" s="375" t="s">
        <v>4985</v>
      </c>
      <c r="D23" s="375" t="s">
        <v>4942</v>
      </c>
      <c r="E23" s="375" t="s">
        <v>4982</v>
      </c>
      <c r="F23" s="375" t="s">
        <v>4986</v>
      </c>
    </row>
    <row r="24" spans="1:6" x14ac:dyDescent="0.1">
      <c r="A24" s="373" t="s">
        <v>4987</v>
      </c>
      <c r="B24" s="376"/>
      <c r="C24" s="376"/>
      <c r="D24" s="376"/>
      <c r="E24" s="376"/>
      <c r="F24" s="376"/>
    </row>
    <row r="25" spans="1:6" s="36" customFormat="1" x14ac:dyDescent="0.1">
      <c r="A25" s="343" t="s">
        <v>45</v>
      </c>
      <c r="B25" s="383" t="s">
        <v>4988</v>
      </c>
      <c r="C25" s="382" t="s">
        <v>4941</v>
      </c>
      <c r="D25" s="382" t="s">
        <v>4964</v>
      </c>
      <c r="E25" s="382" t="s">
        <v>4989</v>
      </c>
      <c r="F25" s="382" t="s">
        <v>4990</v>
      </c>
    </row>
    <row r="26" spans="1:6" x14ac:dyDescent="0.1">
      <c r="A26" s="373" t="s">
        <v>2952</v>
      </c>
      <c r="B26" s="376"/>
      <c r="C26" s="376"/>
      <c r="D26" s="376"/>
      <c r="E26" s="376"/>
      <c r="F26" s="376"/>
    </row>
    <row r="27" spans="1:6" x14ac:dyDescent="0.1">
      <c r="A27" s="373" t="s">
        <v>2163</v>
      </c>
      <c r="B27" s="376"/>
      <c r="C27" s="376"/>
      <c r="D27" s="376"/>
      <c r="E27" s="376"/>
      <c r="F27" s="376"/>
    </row>
    <row r="28" spans="1:6" x14ac:dyDescent="0.1">
      <c r="A28" s="373" t="s">
        <v>3443</v>
      </c>
      <c r="B28" s="375" t="s">
        <v>4991</v>
      </c>
      <c r="C28" s="375" t="s">
        <v>4941</v>
      </c>
      <c r="D28" s="375" t="s">
        <v>4964</v>
      </c>
      <c r="E28" s="375" t="s">
        <v>4992</v>
      </c>
      <c r="F28" s="375" t="s">
        <v>4993</v>
      </c>
    </row>
    <row r="29" spans="1:6" x14ac:dyDescent="0.1">
      <c r="A29" s="373" t="s">
        <v>2414</v>
      </c>
      <c r="B29" s="375" t="s">
        <v>4994</v>
      </c>
      <c r="C29" s="376"/>
      <c r="D29" s="375" t="s">
        <v>4929</v>
      </c>
      <c r="E29" s="375" t="s">
        <v>4995</v>
      </c>
      <c r="F29" s="375" t="s">
        <v>4996</v>
      </c>
    </row>
    <row r="30" spans="1:6" x14ac:dyDescent="0.1">
      <c r="A30" s="373" t="s">
        <v>2347</v>
      </c>
      <c r="B30" s="375" t="s">
        <v>4997</v>
      </c>
      <c r="C30" s="375" t="s">
        <v>4941</v>
      </c>
      <c r="D30" s="375" t="s">
        <v>4942</v>
      </c>
      <c r="E30" s="375" t="s">
        <v>4995</v>
      </c>
      <c r="F30" s="375" t="s">
        <v>4998</v>
      </c>
    </row>
    <row r="31" spans="1:6" x14ac:dyDescent="0.1">
      <c r="A31" s="373" t="s">
        <v>2298</v>
      </c>
      <c r="B31" s="375" t="s">
        <v>4999</v>
      </c>
      <c r="C31" s="375" t="s">
        <v>4941</v>
      </c>
      <c r="D31" s="375" t="s">
        <v>4942</v>
      </c>
      <c r="E31" s="375" t="s">
        <v>5000</v>
      </c>
      <c r="F31" s="375" t="s">
        <v>5001</v>
      </c>
    </row>
    <row r="32" spans="1:6" x14ac:dyDescent="0.1">
      <c r="A32" s="373" t="s">
        <v>2351</v>
      </c>
      <c r="B32" s="374" t="s">
        <v>5002</v>
      </c>
      <c r="C32" s="375" t="s">
        <v>4941</v>
      </c>
      <c r="D32" s="375" t="s">
        <v>4942</v>
      </c>
      <c r="E32" s="375" t="s">
        <v>4925</v>
      </c>
      <c r="F32" s="375" t="s">
        <v>5003</v>
      </c>
    </row>
    <row r="33" spans="1:6" ht="22.5" x14ac:dyDescent="0.1">
      <c r="A33" s="373" t="s">
        <v>2263</v>
      </c>
      <c r="B33" s="375" t="s">
        <v>5004</v>
      </c>
      <c r="C33" s="374" t="s">
        <v>5005</v>
      </c>
      <c r="D33" s="375" t="s">
        <v>4934</v>
      </c>
      <c r="E33" s="375" t="s">
        <v>4937</v>
      </c>
      <c r="F33" s="375" t="s">
        <v>2265</v>
      </c>
    </row>
    <row r="34" spans="1:6" x14ac:dyDescent="0.1">
      <c r="A34" s="373" t="s">
        <v>2063</v>
      </c>
      <c r="B34" s="375" t="s">
        <v>5006</v>
      </c>
      <c r="C34" s="376"/>
      <c r="D34" s="375" t="s">
        <v>4942</v>
      </c>
      <c r="E34" s="375" t="s">
        <v>4937</v>
      </c>
      <c r="F34" s="375" t="s">
        <v>5007</v>
      </c>
    </row>
    <row r="35" spans="1:6" x14ac:dyDescent="0.1">
      <c r="A35" s="373" t="s">
        <v>2043</v>
      </c>
      <c r="B35" s="375" t="s">
        <v>5008</v>
      </c>
      <c r="C35" s="375" t="s">
        <v>4941</v>
      </c>
      <c r="D35" s="375" t="s">
        <v>4942</v>
      </c>
      <c r="E35" s="375" t="s">
        <v>5000</v>
      </c>
      <c r="F35" s="375" t="s">
        <v>5009</v>
      </c>
    </row>
    <row r="36" spans="1:6" x14ac:dyDescent="0.1">
      <c r="A36" s="373" t="s">
        <v>2191</v>
      </c>
      <c r="B36" s="375" t="s">
        <v>5010</v>
      </c>
      <c r="C36" s="375" t="s">
        <v>4941</v>
      </c>
      <c r="D36" s="375" t="s">
        <v>4942</v>
      </c>
      <c r="E36" s="375" t="s">
        <v>4995</v>
      </c>
      <c r="F36" s="375" t="s">
        <v>5011</v>
      </c>
    </row>
    <row r="37" spans="1:6" x14ac:dyDescent="0.1">
      <c r="A37" s="373" t="s">
        <v>2488</v>
      </c>
      <c r="B37" s="375" t="s">
        <v>5012</v>
      </c>
      <c r="C37" s="375" t="s">
        <v>4941</v>
      </c>
      <c r="D37" s="375" t="s">
        <v>4942</v>
      </c>
      <c r="E37" s="375" t="s">
        <v>5000</v>
      </c>
      <c r="F37" s="375" t="s">
        <v>5013</v>
      </c>
    </row>
    <row r="38" spans="1:6" x14ac:dyDescent="0.1">
      <c r="A38" s="373" t="s">
        <v>2256</v>
      </c>
      <c r="B38" s="375" t="s">
        <v>5004</v>
      </c>
      <c r="C38" s="376"/>
      <c r="D38" s="375" t="s">
        <v>4942</v>
      </c>
      <c r="E38" s="375" t="s">
        <v>5000</v>
      </c>
      <c r="F38" s="375" t="s">
        <v>5014</v>
      </c>
    </row>
    <row r="39" spans="1:6" x14ac:dyDescent="0.1">
      <c r="A39" s="373" t="s">
        <v>2149</v>
      </c>
      <c r="B39" s="375" t="s">
        <v>5015</v>
      </c>
      <c r="C39" s="375" t="s">
        <v>4941</v>
      </c>
      <c r="D39" s="375" t="s">
        <v>4942</v>
      </c>
      <c r="E39" s="375" t="s">
        <v>5000</v>
      </c>
      <c r="F39" s="375" t="s">
        <v>2151</v>
      </c>
    </row>
    <row r="40" spans="1:6" x14ac:dyDescent="0.1">
      <c r="A40" s="373" t="s">
        <v>2017</v>
      </c>
      <c r="B40" s="375" t="s">
        <v>5016</v>
      </c>
      <c r="C40" s="375" t="s">
        <v>4923</v>
      </c>
      <c r="D40" s="375" t="s">
        <v>4942</v>
      </c>
      <c r="E40" s="375" t="s">
        <v>5017</v>
      </c>
      <c r="F40" s="375" t="s">
        <v>5018</v>
      </c>
    </row>
    <row r="41" spans="1:6" ht="22.5" x14ac:dyDescent="0.1">
      <c r="A41" s="373" t="s">
        <v>2418</v>
      </c>
      <c r="B41" s="374" t="s">
        <v>5019</v>
      </c>
      <c r="C41" s="376"/>
      <c r="D41" s="375" t="s">
        <v>4942</v>
      </c>
      <c r="E41" s="375" t="s">
        <v>4925</v>
      </c>
      <c r="F41" s="375" t="s">
        <v>5020</v>
      </c>
    </row>
    <row r="42" spans="1:6" x14ac:dyDescent="0.1">
      <c r="A42" s="373" t="s">
        <v>2403</v>
      </c>
      <c r="B42" s="375" t="s">
        <v>5021</v>
      </c>
      <c r="C42" s="375" t="s">
        <v>4941</v>
      </c>
      <c r="D42" s="375" t="s">
        <v>4942</v>
      </c>
      <c r="E42" s="375" t="s">
        <v>4937</v>
      </c>
      <c r="F42" s="375" t="s">
        <v>5022</v>
      </c>
    </row>
    <row r="43" spans="1:6" x14ac:dyDescent="0.1">
      <c r="A43" s="373" t="s">
        <v>2146</v>
      </c>
      <c r="B43" s="375" t="s">
        <v>5023</v>
      </c>
      <c r="C43" s="375" t="s">
        <v>4941</v>
      </c>
      <c r="D43" s="375" t="s">
        <v>4942</v>
      </c>
      <c r="E43" s="375" t="s">
        <v>4930</v>
      </c>
      <c r="F43" s="375" t="s">
        <v>5024</v>
      </c>
    </row>
    <row r="44" spans="1:6" x14ac:dyDescent="0.1">
      <c r="A44" s="373" t="s">
        <v>2167</v>
      </c>
      <c r="B44" s="375" t="s">
        <v>5025</v>
      </c>
      <c r="C44" s="375" t="s">
        <v>4941</v>
      </c>
      <c r="D44" s="375" t="s">
        <v>4942</v>
      </c>
      <c r="E44" s="375" t="s">
        <v>5026</v>
      </c>
      <c r="F44" s="375"/>
    </row>
    <row r="45" spans="1:6" x14ac:dyDescent="0.1">
      <c r="A45" s="373" t="s">
        <v>2460</v>
      </c>
      <c r="B45" s="375" t="s">
        <v>5027</v>
      </c>
      <c r="C45" s="375" t="s">
        <v>4941</v>
      </c>
      <c r="D45" s="375" t="s">
        <v>4942</v>
      </c>
      <c r="E45" s="375" t="s">
        <v>4995</v>
      </c>
      <c r="F45" s="375" t="s">
        <v>2462</v>
      </c>
    </row>
    <row r="46" spans="1:6" x14ac:dyDescent="0.1">
      <c r="A46" s="373" t="s">
        <v>2378</v>
      </c>
      <c r="B46" s="375" t="s">
        <v>5016</v>
      </c>
      <c r="C46" s="376"/>
      <c r="D46" s="375" t="s">
        <v>4934</v>
      </c>
      <c r="E46" s="375" t="s">
        <v>5000</v>
      </c>
      <c r="F46" s="375" t="s">
        <v>5028</v>
      </c>
    </row>
    <row r="47" spans="1:6" s="36" customFormat="1" x14ac:dyDescent="0.1">
      <c r="A47" s="343" t="s">
        <v>2494</v>
      </c>
      <c r="B47" s="384"/>
      <c r="C47" s="384"/>
      <c r="D47" s="382" t="s">
        <v>5029</v>
      </c>
      <c r="E47" s="382" t="s">
        <v>5030</v>
      </c>
      <c r="F47" s="382" t="s">
        <v>5031</v>
      </c>
    </row>
    <row r="48" spans="1:6" s="36" customFormat="1" x14ac:dyDescent="0.1">
      <c r="A48" s="343" t="s">
        <v>2332</v>
      </c>
      <c r="B48" s="384"/>
      <c r="C48" s="384"/>
      <c r="D48" s="384"/>
      <c r="E48" s="384"/>
      <c r="F48" s="384"/>
    </row>
    <row r="49" spans="1:6" s="36" customFormat="1" x14ac:dyDescent="0.1">
      <c r="A49" s="343" t="s">
        <v>2621</v>
      </c>
      <c r="B49" s="384"/>
      <c r="C49" s="384"/>
      <c r="D49" s="382" t="s">
        <v>5032</v>
      </c>
      <c r="E49" s="382" t="s">
        <v>5033</v>
      </c>
      <c r="F49" s="382" t="s">
        <v>5034</v>
      </c>
    </row>
    <row r="50" spans="1:6" x14ac:dyDescent="0.1">
      <c r="A50" s="373" t="s">
        <v>2470</v>
      </c>
      <c r="B50" s="375" t="s">
        <v>5035</v>
      </c>
      <c r="C50" s="375" t="s">
        <v>4941</v>
      </c>
      <c r="D50" s="375" t="s">
        <v>4942</v>
      </c>
      <c r="E50" s="375" t="s">
        <v>5000</v>
      </c>
      <c r="F50" s="375" t="s">
        <v>5036</v>
      </c>
    </row>
    <row r="51" spans="1:6" x14ac:dyDescent="0.1">
      <c r="A51" s="373"/>
      <c r="B51" s="375"/>
      <c r="C51" s="375"/>
      <c r="D51" s="375"/>
      <c r="E51" s="375"/>
      <c r="F51" s="375"/>
    </row>
    <row r="52" spans="1:6" x14ac:dyDescent="0.1">
      <c r="A52" s="377" t="s">
        <v>3218</v>
      </c>
      <c r="B52" s="375"/>
      <c r="C52" s="375"/>
      <c r="D52" s="375"/>
      <c r="E52" s="375"/>
      <c r="F52" s="375"/>
    </row>
    <row r="53" spans="1:6" x14ac:dyDescent="0.1">
      <c r="A53" s="373">
        <v>77</v>
      </c>
      <c r="B53" s="375"/>
      <c r="C53" s="375"/>
      <c r="D53" s="375"/>
      <c r="E53" s="375"/>
      <c r="F53" s="375"/>
    </row>
    <row r="54" spans="1:6" x14ac:dyDescent="0.1">
      <c r="A54" s="373" t="s">
        <v>2127</v>
      </c>
      <c r="B54" s="375" t="s">
        <v>5037</v>
      </c>
      <c r="C54" s="375" t="s">
        <v>5038</v>
      </c>
      <c r="D54" s="375" t="s">
        <v>5039</v>
      </c>
      <c r="E54" s="375" t="s">
        <v>4937</v>
      </c>
      <c r="F54" s="375" t="s">
        <v>2130</v>
      </c>
    </row>
    <row r="55" spans="1:6" x14ac:dyDescent="0.1">
      <c r="A55" s="373" t="s">
        <v>2038</v>
      </c>
      <c r="B55" s="375" t="s">
        <v>5040</v>
      </c>
      <c r="C55" s="375" t="s">
        <v>4941</v>
      </c>
      <c r="D55" s="375" t="s">
        <v>4964</v>
      </c>
      <c r="E55" s="375" t="s">
        <v>5000</v>
      </c>
      <c r="F55" s="375" t="s">
        <v>5041</v>
      </c>
    </row>
    <row r="56" spans="1:6" x14ac:dyDescent="0.1">
      <c r="A56" s="373" t="s">
        <v>2311</v>
      </c>
      <c r="B56" s="375" t="s">
        <v>5042</v>
      </c>
      <c r="C56" s="376"/>
      <c r="D56" s="375" t="s">
        <v>5039</v>
      </c>
      <c r="E56" s="375" t="s">
        <v>4937</v>
      </c>
      <c r="F56" s="375" t="s">
        <v>5043</v>
      </c>
    </row>
    <row r="57" spans="1:6" s="36" customFormat="1" x14ac:dyDescent="0.1">
      <c r="A57" s="343" t="s">
        <v>2445</v>
      </c>
      <c r="B57" s="382" t="s">
        <v>5044</v>
      </c>
      <c r="C57" s="384"/>
      <c r="D57" s="382" t="s">
        <v>5045</v>
      </c>
      <c r="E57" s="382" t="s">
        <v>5046</v>
      </c>
      <c r="F57" s="382" t="s">
        <v>5047</v>
      </c>
    </row>
    <row r="58" spans="1:6" s="36" customFormat="1" x14ac:dyDescent="0.1">
      <c r="A58" s="343" t="s">
        <v>1848</v>
      </c>
      <c r="B58" s="382" t="s">
        <v>5048</v>
      </c>
      <c r="C58" s="384"/>
      <c r="D58" s="382" t="s">
        <v>5039</v>
      </c>
      <c r="E58" s="382" t="s">
        <v>5049</v>
      </c>
      <c r="F58" s="382" t="s">
        <v>5050</v>
      </c>
    </row>
    <row r="59" spans="1:6" x14ac:dyDescent="0.1">
      <c r="A59" s="373" t="s">
        <v>2088</v>
      </c>
      <c r="B59" s="375" t="s">
        <v>5051</v>
      </c>
      <c r="C59" s="376"/>
      <c r="D59" s="375" t="s">
        <v>5039</v>
      </c>
      <c r="E59" s="375" t="s">
        <v>4930</v>
      </c>
      <c r="F59" s="375" t="s">
        <v>5052</v>
      </c>
    </row>
    <row r="60" spans="1:6" x14ac:dyDescent="0.1">
      <c r="A60" s="373" t="s">
        <v>2496</v>
      </c>
      <c r="B60" s="375" t="s">
        <v>5053</v>
      </c>
      <c r="C60" s="375" t="s">
        <v>5038</v>
      </c>
      <c r="D60" s="375" t="s">
        <v>5039</v>
      </c>
      <c r="E60" s="375" t="s">
        <v>4937</v>
      </c>
      <c r="F60" s="375" t="s">
        <v>2498</v>
      </c>
    </row>
    <row r="61" spans="1:6" x14ac:dyDescent="0.1">
      <c r="A61" s="373" t="s">
        <v>2334</v>
      </c>
      <c r="B61" s="375" t="s">
        <v>5054</v>
      </c>
      <c r="C61" s="375" t="s">
        <v>5055</v>
      </c>
      <c r="D61" s="375" t="s">
        <v>4964</v>
      </c>
      <c r="E61" s="375" t="s">
        <v>5056</v>
      </c>
      <c r="F61" s="375" t="s">
        <v>2336</v>
      </c>
    </row>
    <row r="62" spans="1:6" x14ac:dyDescent="0.1">
      <c r="A62" s="373" t="s">
        <v>57</v>
      </c>
      <c r="B62" s="376"/>
      <c r="C62" s="376"/>
      <c r="D62" s="376"/>
      <c r="E62" s="376"/>
      <c r="F62" s="376"/>
    </row>
    <row r="63" spans="1:6" x14ac:dyDescent="0.1">
      <c r="A63" s="373" t="s">
        <v>2182</v>
      </c>
      <c r="B63" s="375" t="s">
        <v>5057</v>
      </c>
      <c r="C63" s="376"/>
      <c r="D63" s="375" t="s">
        <v>5045</v>
      </c>
      <c r="E63" s="375" t="s">
        <v>5000</v>
      </c>
      <c r="F63" s="375" t="s">
        <v>5058</v>
      </c>
    </row>
    <row r="64" spans="1:6" x14ac:dyDescent="0.1">
      <c r="A64" s="373" t="s">
        <v>2486</v>
      </c>
      <c r="B64" s="375" t="s">
        <v>5059</v>
      </c>
      <c r="C64" s="376"/>
      <c r="D64" s="375" t="s">
        <v>4942</v>
      </c>
      <c r="E64" s="375" t="s">
        <v>4925</v>
      </c>
      <c r="F64" s="375" t="s">
        <v>5060</v>
      </c>
    </row>
    <row r="65" spans="1:6" s="36" customFormat="1" x14ac:dyDescent="0.1">
      <c r="A65" s="343" t="s">
        <v>3363</v>
      </c>
      <c r="B65" s="384"/>
      <c r="C65" s="384"/>
      <c r="D65" s="384"/>
      <c r="E65" s="384"/>
      <c r="F65" s="384"/>
    </row>
    <row r="66" spans="1:6" s="36" customFormat="1" x14ac:dyDescent="0.1">
      <c r="A66" s="343" t="s">
        <v>2380</v>
      </c>
      <c r="B66" s="384"/>
      <c r="C66" s="384"/>
      <c r="D66" s="384"/>
      <c r="E66" s="384"/>
      <c r="F66" s="384"/>
    </row>
    <row r="67" spans="1:6" x14ac:dyDescent="0.1">
      <c r="A67" s="373" t="s">
        <v>2288</v>
      </c>
      <c r="B67" s="375" t="s">
        <v>5061</v>
      </c>
      <c r="C67" s="375" t="s">
        <v>4941</v>
      </c>
      <c r="D67" s="375" t="s">
        <v>4964</v>
      </c>
      <c r="E67" s="375" t="s">
        <v>4968</v>
      </c>
      <c r="F67" s="375" t="s">
        <v>5062</v>
      </c>
    </row>
    <row r="68" spans="1:6" x14ac:dyDescent="0.1">
      <c r="A68" s="373" t="s">
        <v>2184</v>
      </c>
      <c r="B68" s="375" t="s">
        <v>5063</v>
      </c>
      <c r="C68" s="375" t="s">
        <v>5038</v>
      </c>
      <c r="D68" s="375" t="s">
        <v>5039</v>
      </c>
      <c r="E68" s="375" t="s">
        <v>5000</v>
      </c>
      <c r="F68" s="375" t="s">
        <v>5064</v>
      </c>
    </row>
    <row r="69" spans="1:6" s="36" customFormat="1" x14ac:dyDescent="0.1">
      <c r="A69" s="343" t="s">
        <v>2251</v>
      </c>
      <c r="B69" s="384"/>
      <c r="C69" s="384"/>
      <c r="D69" s="384"/>
      <c r="E69" s="384"/>
      <c r="F69" s="384"/>
    </row>
    <row r="70" spans="1:6" x14ac:dyDescent="0.1">
      <c r="A70" s="373" t="s">
        <v>2215</v>
      </c>
      <c r="B70" s="375" t="s">
        <v>5065</v>
      </c>
      <c r="C70" s="376"/>
      <c r="D70" s="375" t="s">
        <v>5039</v>
      </c>
      <c r="E70" s="375" t="s">
        <v>4925</v>
      </c>
      <c r="F70" s="375" t="s">
        <v>5066</v>
      </c>
    </row>
    <row r="71" spans="1:6" x14ac:dyDescent="0.1">
      <c r="A71" s="373" t="s">
        <v>3415</v>
      </c>
      <c r="B71" s="375" t="s">
        <v>5067</v>
      </c>
      <c r="C71" s="375" t="s">
        <v>5038</v>
      </c>
      <c r="D71" s="375" t="s">
        <v>5039</v>
      </c>
      <c r="E71" s="375" t="s">
        <v>5068</v>
      </c>
      <c r="F71" s="375" t="s">
        <v>5069</v>
      </c>
    </row>
    <row r="72" spans="1:6" x14ac:dyDescent="0.1">
      <c r="A72" s="373" t="s">
        <v>2027</v>
      </c>
      <c r="B72" s="375" t="s">
        <v>4936</v>
      </c>
      <c r="C72" s="376"/>
      <c r="D72" s="375" t="s">
        <v>5039</v>
      </c>
      <c r="E72" s="375" t="s">
        <v>5000</v>
      </c>
      <c r="F72" s="375" t="s">
        <v>5070</v>
      </c>
    </row>
    <row r="73" spans="1:6" x14ac:dyDescent="0.1">
      <c r="A73" s="373" t="s">
        <v>2284</v>
      </c>
      <c r="B73" s="375" t="s">
        <v>5071</v>
      </c>
      <c r="C73" s="376"/>
      <c r="D73" s="375" t="s">
        <v>5039</v>
      </c>
      <c r="E73" s="375" t="s">
        <v>5072</v>
      </c>
      <c r="F73" s="375" t="s">
        <v>5073</v>
      </c>
    </row>
    <row r="74" spans="1:6" x14ac:dyDescent="0.1">
      <c r="A74" s="373" t="s">
        <v>2374</v>
      </c>
      <c r="B74" s="375" t="s">
        <v>5074</v>
      </c>
      <c r="C74" s="375" t="s">
        <v>5075</v>
      </c>
      <c r="D74" s="375" t="s">
        <v>5045</v>
      </c>
      <c r="E74" s="375" t="s">
        <v>5076</v>
      </c>
      <c r="F74" s="375" t="s">
        <v>5077</v>
      </c>
    </row>
    <row r="75" spans="1:6" x14ac:dyDescent="0.1">
      <c r="A75" s="373" t="s">
        <v>2083</v>
      </c>
      <c r="B75" s="375" t="s">
        <v>5078</v>
      </c>
      <c r="C75" s="375" t="s">
        <v>5038</v>
      </c>
      <c r="D75" s="375" t="s">
        <v>5039</v>
      </c>
      <c r="E75" s="375" t="s">
        <v>5000</v>
      </c>
      <c r="F75" s="375" t="s">
        <v>5079</v>
      </c>
    </row>
    <row r="76" spans="1:6" x14ac:dyDescent="0.1">
      <c r="A76" s="373" t="s">
        <v>2448</v>
      </c>
      <c r="B76" s="375" t="s">
        <v>5080</v>
      </c>
      <c r="C76" s="376"/>
      <c r="D76" s="375" t="s">
        <v>5039</v>
      </c>
      <c r="E76" s="375" t="s">
        <v>5000</v>
      </c>
      <c r="F76" s="375" t="s">
        <v>5081</v>
      </c>
    </row>
    <row r="77" spans="1:6" x14ac:dyDescent="0.1">
      <c r="A77" s="373" t="s">
        <v>2450</v>
      </c>
      <c r="B77" s="375" t="s">
        <v>5082</v>
      </c>
      <c r="C77" s="375" t="s">
        <v>4950</v>
      </c>
      <c r="D77" s="375" t="s">
        <v>5039</v>
      </c>
      <c r="E77" s="375" t="s">
        <v>5083</v>
      </c>
      <c r="F77" s="375" t="s">
        <v>5084</v>
      </c>
    </row>
    <row r="78" spans="1:6" x14ac:dyDescent="0.1">
      <c r="A78" s="373" t="s">
        <v>2224</v>
      </c>
      <c r="B78" s="375" t="s">
        <v>5085</v>
      </c>
      <c r="C78" s="375" t="s">
        <v>5038</v>
      </c>
      <c r="D78" s="375" t="s">
        <v>5039</v>
      </c>
      <c r="E78" s="375" t="s">
        <v>5086</v>
      </c>
      <c r="F78" s="375" t="s">
        <v>5087</v>
      </c>
    </row>
    <row r="79" spans="1:6" s="36" customFormat="1" x14ac:dyDescent="0.1">
      <c r="A79" s="343" t="s">
        <v>2466</v>
      </c>
      <c r="B79" s="384"/>
      <c r="C79" s="384"/>
      <c r="D79" s="384"/>
      <c r="E79" s="384"/>
      <c r="F79" s="384"/>
    </row>
    <row r="80" spans="1:6" s="36" customFormat="1" x14ac:dyDescent="0.1">
      <c r="A80" s="343" t="s">
        <v>2383</v>
      </c>
      <c r="B80" s="384"/>
      <c r="C80" s="384"/>
      <c r="D80" s="384"/>
      <c r="E80" s="384"/>
      <c r="F80" s="384"/>
    </row>
    <row r="81" spans="1:6" x14ac:dyDescent="0.1">
      <c r="A81" s="373" t="s">
        <v>2486</v>
      </c>
      <c r="B81" s="378" t="s">
        <v>4936</v>
      </c>
      <c r="C81" s="376"/>
      <c r="D81" s="375" t="s">
        <v>4942</v>
      </c>
      <c r="E81" s="375" t="s">
        <v>4925</v>
      </c>
      <c r="F81" s="375" t="s">
        <v>5060</v>
      </c>
    </row>
    <row r="82" spans="1:6" x14ac:dyDescent="0.1">
      <c r="A82" s="373" t="s">
        <v>1883</v>
      </c>
      <c r="B82" s="378" t="s">
        <v>5088</v>
      </c>
      <c r="C82" s="376"/>
      <c r="D82" s="375" t="s">
        <v>5039</v>
      </c>
      <c r="E82" s="375" t="s">
        <v>4972</v>
      </c>
      <c r="F82" s="375" t="s">
        <v>5089</v>
      </c>
    </row>
    <row r="83" spans="1:6" x14ac:dyDescent="0.1">
      <c r="A83" s="373" t="s">
        <v>2476</v>
      </c>
      <c r="B83" s="378" t="s">
        <v>5090</v>
      </c>
      <c r="C83" s="375" t="s">
        <v>5038</v>
      </c>
      <c r="D83" s="375" t="s">
        <v>5039</v>
      </c>
      <c r="E83" s="375" t="s">
        <v>5091</v>
      </c>
      <c r="F83" s="375" t="s">
        <v>5092</v>
      </c>
    </row>
    <row r="84" spans="1:6" s="36" customFormat="1" x14ac:dyDescent="0.1">
      <c r="A84" s="343" t="s">
        <v>2120</v>
      </c>
      <c r="B84" s="384"/>
      <c r="C84" s="384"/>
      <c r="D84" s="384"/>
      <c r="E84" s="384"/>
      <c r="F84" s="384"/>
    </row>
    <row r="85" spans="1:6" x14ac:dyDescent="0.1">
      <c r="A85" s="373" t="s">
        <v>2114</v>
      </c>
      <c r="B85" s="378" t="s">
        <v>5093</v>
      </c>
      <c r="C85" s="376"/>
      <c r="D85" s="375" t="s">
        <v>5039</v>
      </c>
      <c r="E85" s="375" t="s">
        <v>5094</v>
      </c>
      <c r="F85" s="375" t="s">
        <v>5095</v>
      </c>
    </row>
    <row r="86" spans="1:6" x14ac:dyDescent="0.1">
      <c r="A86" s="373" t="s">
        <v>2047</v>
      </c>
      <c r="B86" s="378" t="s">
        <v>5096</v>
      </c>
      <c r="C86" s="375" t="s">
        <v>5038</v>
      </c>
      <c r="D86" s="375" t="s">
        <v>5039</v>
      </c>
      <c r="E86" s="375" t="s">
        <v>5000</v>
      </c>
      <c r="F86" s="375" t="s">
        <v>5097</v>
      </c>
    </row>
    <row r="87" spans="1:6" x14ac:dyDescent="0.1">
      <c r="A87" s="373" t="s">
        <v>2303</v>
      </c>
      <c r="B87" s="378" t="s">
        <v>5098</v>
      </c>
      <c r="C87" s="376"/>
      <c r="D87" s="375" t="s">
        <v>5039</v>
      </c>
      <c r="E87" s="375" t="s">
        <v>5099</v>
      </c>
      <c r="F87" s="375" t="s">
        <v>5100</v>
      </c>
    </row>
    <row r="88" spans="1:6" x14ac:dyDescent="0.1">
      <c r="A88" s="373" t="s">
        <v>2135</v>
      </c>
      <c r="B88" s="378" t="s">
        <v>5101</v>
      </c>
      <c r="C88" s="375" t="s">
        <v>5038</v>
      </c>
      <c r="D88" s="375" t="s">
        <v>5039</v>
      </c>
      <c r="E88" s="375" t="s">
        <v>5000</v>
      </c>
      <c r="F88" s="375" t="s">
        <v>5102</v>
      </c>
    </row>
    <row r="89" spans="1:6" x14ac:dyDescent="0.1">
      <c r="A89" s="373" t="s">
        <v>2723</v>
      </c>
      <c r="B89" s="378" t="s">
        <v>5103</v>
      </c>
      <c r="C89" s="376"/>
      <c r="D89" s="375" t="s">
        <v>5039</v>
      </c>
      <c r="E89" s="375" t="s">
        <v>5104</v>
      </c>
      <c r="F89" s="375" t="s">
        <v>5105</v>
      </c>
    </row>
    <row r="90" spans="1:6" s="36" customFormat="1" x14ac:dyDescent="0.1">
      <c r="A90" s="343" t="s">
        <v>2154</v>
      </c>
      <c r="B90" s="384"/>
      <c r="C90" s="384"/>
      <c r="D90" s="384"/>
      <c r="E90" s="384"/>
      <c r="F90" s="384"/>
    </row>
    <row r="91" spans="1:6" x14ac:dyDescent="0.1">
      <c r="A91" s="373" t="s">
        <v>2496</v>
      </c>
      <c r="B91" s="378" t="s">
        <v>5053</v>
      </c>
      <c r="C91" s="375" t="s">
        <v>5038</v>
      </c>
      <c r="D91" s="375" t="s">
        <v>5039</v>
      </c>
      <c r="E91" s="375" t="s">
        <v>4937</v>
      </c>
      <c r="F91" s="375" t="s">
        <v>2498</v>
      </c>
    </row>
    <row r="92" spans="1:6" x14ac:dyDescent="0.1">
      <c r="A92" s="373" t="s">
        <v>2358</v>
      </c>
      <c r="B92" s="379" t="s">
        <v>5106</v>
      </c>
      <c r="C92" s="375" t="s">
        <v>5107</v>
      </c>
      <c r="D92" s="375" t="s">
        <v>5039</v>
      </c>
      <c r="E92" s="375" t="s">
        <v>5108</v>
      </c>
      <c r="F92" s="375" t="s">
        <v>5109</v>
      </c>
    </row>
    <row r="93" spans="1:6" s="36" customFormat="1" x14ac:dyDescent="0.1">
      <c r="A93" s="343" t="s">
        <v>3544</v>
      </c>
      <c r="B93" s="384"/>
      <c r="C93" s="384"/>
      <c r="D93" s="384"/>
      <c r="E93" s="384"/>
      <c r="F93" s="384"/>
    </row>
    <row r="94" spans="1:6" x14ac:dyDescent="0.1">
      <c r="A94" s="373" t="s">
        <v>2322</v>
      </c>
      <c r="B94" s="375" t="s">
        <v>5110</v>
      </c>
      <c r="C94" s="375" t="s">
        <v>5038</v>
      </c>
      <c r="D94" s="375" t="s">
        <v>5039</v>
      </c>
      <c r="E94" s="375" t="s">
        <v>5111</v>
      </c>
      <c r="F94" s="375" t="s">
        <v>5112</v>
      </c>
    </row>
    <row r="95" spans="1:6" x14ac:dyDescent="0.1">
      <c r="A95" s="373" t="s">
        <v>2139</v>
      </c>
      <c r="B95" s="375" t="s">
        <v>5113</v>
      </c>
      <c r="C95" s="375" t="s">
        <v>5114</v>
      </c>
      <c r="D95" s="375" t="s">
        <v>5039</v>
      </c>
      <c r="E95" s="375" t="s">
        <v>5115</v>
      </c>
      <c r="F95" s="375" t="s">
        <v>5116</v>
      </c>
    </row>
    <row r="96" spans="1:6" x14ac:dyDescent="0.1">
      <c r="A96" s="373" t="s">
        <v>2420</v>
      </c>
      <c r="B96" s="375" t="s">
        <v>5053</v>
      </c>
      <c r="C96" s="376"/>
      <c r="D96" s="375" t="s">
        <v>5045</v>
      </c>
      <c r="E96" s="375" t="s">
        <v>5000</v>
      </c>
      <c r="F96" s="375" t="s">
        <v>5117</v>
      </c>
    </row>
    <row r="97" spans="1:6" x14ac:dyDescent="0.1">
      <c r="A97" s="373" t="s">
        <v>2230</v>
      </c>
      <c r="B97" s="380" t="s">
        <v>5053</v>
      </c>
      <c r="C97" s="376"/>
      <c r="D97" s="380" t="s">
        <v>5118</v>
      </c>
      <c r="E97" s="375" t="s">
        <v>4937</v>
      </c>
      <c r="F97" s="380" t="s">
        <v>5119</v>
      </c>
    </row>
    <row r="98" spans="1:6" x14ac:dyDescent="0.1">
      <c r="A98" s="373" t="s">
        <v>2055</v>
      </c>
      <c r="B98" s="380" t="s">
        <v>4403</v>
      </c>
      <c r="C98" s="375" t="s">
        <v>5120</v>
      </c>
      <c r="D98" s="375" t="s">
        <v>5039</v>
      </c>
      <c r="E98" s="380" t="s">
        <v>5094</v>
      </c>
      <c r="F98" s="380" t="s">
        <v>5121</v>
      </c>
    </row>
    <row r="99" spans="1:6" x14ac:dyDescent="0.1">
      <c r="A99" s="373" t="s">
        <v>2057</v>
      </c>
      <c r="B99" s="380" t="s">
        <v>5122</v>
      </c>
      <c r="C99" s="380" t="s">
        <v>5038</v>
      </c>
      <c r="D99" s="375" t="s">
        <v>5039</v>
      </c>
      <c r="E99" s="380" t="s">
        <v>5000</v>
      </c>
      <c r="F99" s="380" t="s">
        <v>5123</v>
      </c>
    </row>
    <row r="100" spans="1:6" x14ac:dyDescent="0.1">
      <c r="A100" s="373" t="s">
        <v>2209</v>
      </c>
      <c r="B100" s="381" t="s">
        <v>5124</v>
      </c>
      <c r="C100" s="376"/>
      <c r="D100" s="380" t="s">
        <v>5039</v>
      </c>
      <c r="E100" s="380" t="s">
        <v>5000</v>
      </c>
      <c r="F100" s="380" t="s">
        <v>5125</v>
      </c>
    </row>
    <row r="101" spans="1:6" x14ac:dyDescent="0.1">
      <c r="A101" s="373" t="s">
        <v>1894</v>
      </c>
      <c r="B101" s="380" t="s">
        <v>5126</v>
      </c>
      <c r="C101" s="380" t="s">
        <v>4950</v>
      </c>
      <c r="D101" s="380" t="s">
        <v>4964</v>
      </c>
      <c r="E101" s="380" t="s">
        <v>5127</v>
      </c>
      <c r="F101" s="380" t="s">
        <v>5128</v>
      </c>
    </row>
    <row r="102" spans="1:6" x14ac:dyDescent="0.1">
      <c r="A102" s="373" t="s">
        <v>2122</v>
      </c>
      <c r="B102" s="380" t="s">
        <v>5129</v>
      </c>
      <c r="C102" s="376"/>
      <c r="D102" s="375" t="s">
        <v>5039</v>
      </c>
      <c r="E102" s="380" t="s">
        <v>5130</v>
      </c>
      <c r="F102" s="380" t="s">
        <v>452</v>
      </c>
    </row>
    <row r="103" spans="1:6" s="36" customFormat="1" x14ac:dyDescent="0.1">
      <c r="A103" s="343" t="s">
        <v>2120</v>
      </c>
      <c r="B103" s="384"/>
      <c r="C103" s="384"/>
      <c r="D103" s="384"/>
      <c r="E103" s="384"/>
      <c r="F103" s="384"/>
    </row>
    <row r="104" spans="1:6" x14ac:dyDescent="0.1">
      <c r="A104" s="373" t="s">
        <v>1917</v>
      </c>
      <c r="B104" s="380" t="s">
        <v>5131</v>
      </c>
      <c r="C104" s="380" t="s">
        <v>4941</v>
      </c>
      <c r="D104" s="380" t="s">
        <v>4964</v>
      </c>
      <c r="E104" s="380" t="s">
        <v>5132</v>
      </c>
      <c r="F104" s="381" t="s">
        <v>5133</v>
      </c>
    </row>
    <row r="105" spans="1:6" s="36" customFormat="1" x14ac:dyDescent="0.1">
      <c r="A105" s="343" t="s">
        <v>2272</v>
      </c>
      <c r="B105" s="384"/>
      <c r="C105" s="384"/>
      <c r="D105" s="384"/>
      <c r="E105" s="384"/>
      <c r="F105" s="384"/>
    </row>
    <row r="106" spans="1:6" x14ac:dyDescent="0.1">
      <c r="A106" s="373" t="s">
        <v>17</v>
      </c>
      <c r="B106" s="380" t="s">
        <v>5134</v>
      </c>
      <c r="C106" s="380" t="s">
        <v>4950</v>
      </c>
      <c r="D106" s="380" t="s">
        <v>4964</v>
      </c>
      <c r="E106" s="380" t="s">
        <v>5135</v>
      </c>
      <c r="F106" s="380" t="s">
        <v>4979</v>
      </c>
    </row>
    <row r="107" spans="1:6" x14ac:dyDescent="0.1">
      <c r="A107" s="373" t="s">
        <v>2213</v>
      </c>
      <c r="B107" s="380" t="s">
        <v>5136</v>
      </c>
      <c r="C107" s="380" t="s">
        <v>5038</v>
      </c>
      <c r="D107" s="375" t="s">
        <v>5039</v>
      </c>
      <c r="E107" s="380" t="s">
        <v>5091</v>
      </c>
      <c r="F107" s="380" t="s">
        <v>5137</v>
      </c>
    </row>
    <row r="108" spans="1:6" x14ac:dyDescent="0.1">
      <c r="A108" s="373" t="s">
        <v>2278</v>
      </c>
      <c r="B108" s="380" t="s">
        <v>5138</v>
      </c>
      <c r="C108" s="376"/>
      <c r="D108" s="380" t="s">
        <v>5139</v>
      </c>
      <c r="E108" s="380" t="s">
        <v>5140</v>
      </c>
      <c r="F108" s="380" t="s">
        <v>5141</v>
      </c>
    </row>
    <row r="109" spans="1:6" x14ac:dyDescent="0.1">
      <c r="A109" s="373" t="s">
        <v>2482</v>
      </c>
      <c r="B109" s="380" t="s">
        <v>5142</v>
      </c>
      <c r="C109" s="376"/>
      <c r="D109" s="380" t="s">
        <v>5045</v>
      </c>
      <c r="E109" s="380" t="s">
        <v>5143</v>
      </c>
      <c r="F109" s="380" t="s">
        <v>5144</v>
      </c>
    </row>
    <row r="110" spans="1:6" s="36" customFormat="1" x14ac:dyDescent="0.1">
      <c r="A110" s="343" t="s">
        <v>2639</v>
      </c>
      <c r="B110" s="384"/>
      <c r="C110" s="384"/>
      <c r="D110" s="384"/>
      <c r="E110" s="384"/>
      <c r="F110" s="384"/>
    </row>
    <row r="111" spans="1:6" x14ac:dyDescent="0.1">
      <c r="A111" s="373" t="s">
        <v>2102</v>
      </c>
      <c r="B111" s="380" t="s">
        <v>5057</v>
      </c>
      <c r="C111" s="380" t="s">
        <v>5038</v>
      </c>
      <c r="D111" s="375" t="s">
        <v>5039</v>
      </c>
      <c r="E111" s="380" t="s">
        <v>5000</v>
      </c>
      <c r="F111" s="380" t="s">
        <v>5145</v>
      </c>
    </row>
    <row r="112" spans="1:6" x14ac:dyDescent="0.1">
      <c r="A112" s="373" t="s">
        <v>2180</v>
      </c>
      <c r="B112" s="380" t="s">
        <v>5057</v>
      </c>
      <c r="C112" s="376"/>
      <c r="D112" s="375" t="s">
        <v>5039</v>
      </c>
      <c r="E112" s="380" t="s">
        <v>5000</v>
      </c>
      <c r="F112" s="380" t="s">
        <v>5146</v>
      </c>
    </row>
    <row r="113" spans="1:6" x14ac:dyDescent="0.1">
      <c r="A113" s="373" t="s">
        <v>2400</v>
      </c>
      <c r="B113" s="380" t="s">
        <v>5147</v>
      </c>
      <c r="C113" s="380" t="s">
        <v>5114</v>
      </c>
      <c r="D113" s="375" t="s">
        <v>5039</v>
      </c>
      <c r="E113" s="380" t="s">
        <v>5148</v>
      </c>
      <c r="F113" s="380" t="s">
        <v>5149</v>
      </c>
    </row>
    <row r="114" spans="1:6" x14ac:dyDescent="0.1">
      <c r="A114" s="373" t="s">
        <v>2182</v>
      </c>
      <c r="B114" s="380" t="s">
        <v>5057</v>
      </c>
      <c r="C114" s="376"/>
      <c r="D114" s="375" t="s">
        <v>5045</v>
      </c>
      <c r="E114" s="380" t="s">
        <v>5000</v>
      </c>
      <c r="F114" s="380" t="s">
        <v>5058</v>
      </c>
    </row>
    <row r="115" spans="1:6" s="36" customFormat="1" x14ac:dyDescent="0.1">
      <c r="A115" s="343" t="s">
        <v>2499</v>
      </c>
      <c r="B115" s="384"/>
      <c r="C115" s="384"/>
      <c r="D115" s="384"/>
      <c r="E115" s="384"/>
      <c r="F115" s="384"/>
    </row>
    <row r="116" spans="1:6" x14ac:dyDescent="0.1">
      <c r="A116" s="373" t="s">
        <v>2199</v>
      </c>
      <c r="B116" s="380" t="s">
        <v>4967</v>
      </c>
      <c r="C116" s="380" t="s">
        <v>4933</v>
      </c>
      <c r="D116" s="380" t="s">
        <v>4942</v>
      </c>
      <c r="E116" s="380" t="s">
        <v>4968</v>
      </c>
      <c r="F116" s="380" t="s">
        <v>4969</v>
      </c>
    </row>
    <row r="117" spans="1:6" s="36" customFormat="1" x14ac:dyDescent="0.1">
      <c r="A117" s="343" t="s">
        <v>19</v>
      </c>
      <c r="B117" s="385" t="s">
        <v>5150</v>
      </c>
      <c r="C117" s="384"/>
      <c r="D117" s="385" t="s">
        <v>5045</v>
      </c>
      <c r="E117" s="385" t="s">
        <v>5151</v>
      </c>
      <c r="F117" s="385" t="s">
        <v>5152</v>
      </c>
    </row>
    <row r="118" spans="1:6" s="36" customFormat="1" x14ac:dyDescent="0.1">
      <c r="A118" s="343" t="s">
        <v>2437</v>
      </c>
      <c r="B118" s="385" t="s">
        <v>5153</v>
      </c>
      <c r="C118" s="385" t="s">
        <v>4941</v>
      </c>
      <c r="D118" s="385" t="s">
        <v>4964</v>
      </c>
      <c r="E118" s="385" t="s">
        <v>5154</v>
      </c>
      <c r="F118" s="386" t="s">
        <v>5155</v>
      </c>
    </row>
    <row r="119" spans="1:6" s="36" customFormat="1" x14ac:dyDescent="0.1">
      <c r="A119" s="343" t="s">
        <v>2452</v>
      </c>
      <c r="B119" s="385" t="s">
        <v>5044</v>
      </c>
      <c r="C119" s="385" t="s">
        <v>4950</v>
      </c>
      <c r="D119" s="385" t="s">
        <v>4964</v>
      </c>
      <c r="E119" s="385" t="s">
        <v>5046</v>
      </c>
      <c r="F119" s="385" t="s">
        <v>5156</v>
      </c>
    </row>
    <row r="120" spans="1:6" x14ac:dyDescent="0.1">
      <c r="A120" s="373" t="s">
        <v>2176</v>
      </c>
      <c r="B120" s="380" t="s">
        <v>4963</v>
      </c>
      <c r="C120" s="380" t="s">
        <v>4941</v>
      </c>
      <c r="D120" s="380" t="s">
        <v>4964</v>
      </c>
      <c r="E120" s="380" t="s">
        <v>5157</v>
      </c>
      <c r="F120" s="380" t="s">
        <v>4966</v>
      </c>
    </row>
    <row r="121" spans="1:6" x14ac:dyDescent="0.1">
      <c r="A121" s="373" t="s">
        <v>2240</v>
      </c>
      <c r="B121" s="380" t="s">
        <v>5124</v>
      </c>
      <c r="C121" s="380" t="s">
        <v>5038</v>
      </c>
      <c r="D121" s="375" t="s">
        <v>5039</v>
      </c>
      <c r="E121" s="380" t="s">
        <v>5000</v>
      </c>
      <c r="F121" s="380" t="s">
        <v>2242</v>
      </c>
    </row>
    <row r="122" spans="1:6" x14ac:dyDescent="0.1">
      <c r="A122" s="373" t="s">
        <v>2317</v>
      </c>
      <c r="B122" s="380" t="s">
        <v>5158</v>
      </c>
      <c r="C122" s="380" t="s">
        <v>5038</v>
      </c>
      <c r="D122" s="375" t="s">
        <v>5039</v>
      </c>
      <c r="E122" s="380" t="s">
        <v>5000</v>
      </c>
      <c r="F122" s="380" t="s">
        <v>5159</v>
      </c>
    </row>
    <row r="123" spans="1:6" x14ac:dyDescent="0.1">
      <c r="A123" s="373" t="s">
        <v>2280</v>
      </c>
      <c r="B123" s="380" t="s">
        <v>5160</v>
      </c>
      <c r="C123" s="376"/>
      <c r="D123" s="375" t="s">
        <v>5039</v>
      </c>
      <c r="E123" s="376"/>
      <c r="F123" s="376"/>
    </row>
    <row r="124" spans="1:6" s="36" customFormat="1" x14ac:dyDescent="0.1">
      <c r="A124" s="343" t="s">
        <v>2468</v>
      </c>
      <c r="B124" s="385" t="s">
        <v>5161</v>
      </c>
      <c r="C124" s="385" t="s">
        <v>5114</v>
      </c>
      <c r="D124" s="382" t="s">
        <v>5039</v>
      </c>
      <c r="E124" s="385" t="s">
        <v>5162</v>
      </c>
      <c r="F124" s="385" t="s">
        <v>5163</v>
      </c>
    </row>
    <row r="125" spans="1:6" x14ac:dyDescent="0.1">
      <c r="A125" s="373" t="s">
        <v>2296</v>
      </c>
      <c r="B125" s="380" t="s">
        <v>5051</v>
      </c>
      <c r="C125" s="376"/>
      <c r="D125" s="375" t="s">
        <v>5039</v>
      </c>
      <c r="E125" s="380" t="s">
        <v>5164</v>
      </c>
      <c r="F125" s="380" t="s">
        <v>5165</v>
      </c>
    </row>
    <row r="126" spans="1:6" s="36" customFormat="1" x14ac:dyDescent="0.1">
      <c r="A126" s="343" t="s">
        <v>7</v>
      </c>
      <c r="B126" s="385" t="s">
        <v>5166</v>
      </c>
      <c r="C126" s="385" t="s">
        <v>4950</v>
      </c>
      <c r="D126" s="385" t="s">
        <v>4964</v>
      </c>
      <c r="E126" s="385" t="s">
        <v>5167</v>
      </c>
      <c r="F126" s="385" t="s">
        <v>5168</v>
      </c>
    </row>
    <row r="127" spans="1:6" x14ac:dyDescent="0.1">
      <c r="A127" s="373" t="s">
        <v>2457</v>
      </c>
      <c r="B127" s="380" t="s">
        <v>5169</v>
      </c>
      <c r="C127" s="376"/>
      <c r="D127" s="375" t="s">
        <v>5039</v>
      </c>
      <c r="E127" s="380" t="s">
        <v>5000</v>
      </c>
      <c r="F127" s="380" t="s">
        <v>5170</v>
      </c>
    </row>
    <row r="128" spans="1:6" x14ac:dyDescent="0.1">
      <c r="A128" s="373" t="s">
        <v>2340</v>
      </c>
      <c r="B128" s="380" t="s">
        <v>5171</v>
      </c>
      <c r="C128" s="380" t="s">
        <v>5038</v>
      </c>
      <c r="D128" s="375" t="s">
        <v>5039</v>
      </c>
      <c r="E128" s="380" t="s">
        <v>5000</v>
      </c>
      <c r="F128" s="380" t="s">
        <v>5172</v>
      </c>
    </row>
    <row r="129" spans="1:7" x14ac:dyDescent="0.1">
      <c r="A129" s="373" t="s">
        <v>2349</v>
      </c>
      <c r="B129" s="380" t="s">
        <v>5173</v>
      </c>
      <c r="C129" s="380" t="s">
        <v>4941</v>
      </c>
      <c r="D129" s="380" t="s">
        <v>4942</v>
      </c>
      <c r="E129" s="380" t="s">
        <v>4954</v>
      </c>
      <c r="F129" s="380" t="s">
        <v>5174</v>
      </c>
    </row>
    <row r="131" spans="1:7" x14ac:dyDescent="0.15">
      <c r="A131" s="511" t="s">
        <v>262</v>
      </c>
      <c r="B131" s="511" t="s">
        <v>4918</v>
      </c>
      <c r="C131" s="511" t="s">
        <v>279</v>
      </c>
      <c r="D131" s="511" t="s">
        <v>4919</v>
      </c>
      <c r="E131" s="511" t="s">
        <v>3591</v>
      </c>
      <c r="F131" s="511" t="s">
        <v>5175</v>
      </c>
      <c r="G131" s="1"/>
    </row>
    <row r="132" spans="1:7" x14ac:dyDescent="0.15">
      <c r="A132" s="512" t="s">
        <v>2397</v>
      </c>
      <c r="B132" s="512" t="s">
        <v>5176</v>
      </c>
      <c r="C132" s="512" t="s">
        <v>5038</v>
      </c>
      <c r="D132" s="512" t="s">
        <v>5039</v>
      </c>
      <c r="E132" s="512" t="s">
        <v>4995</v>
      </c>
      <c r="F132" s="512" t="s">
        <v>5177</v>
      </c>
      <c r="G132" s="1"/>
    </row>
    <row r="133" spans="1:7" x14ac:dyDescent="0.15">
      <c r="A133" s="512" t="s">
        <v>5178</v>
      </c>
      <c r="B133" s="513"/>
      <c r="C133" s="513"/>
      <c r="D133" s="513"/>
      <c r="E133" s="513"/>
      <c r="F133" s="513"/>
      <c r="G133" s="1"/>
    </row>
    <row r="134" spans="1:7" x14ac:dyDescent="0.15">
      <c r="A134" s="512" t="s">
        <v>1857</v>
      </c>
      <c r="B134" s="512" t="s">
        <v>5179</v>
      </c>
      <c r="C134" s="512" t="s">
        <v>5038</v>
      </c>
      <c r="D134" s="512" t="s">
        <v>5039</v>
      </c>
      <c r="E134" s="512" t="s">
        <v>4925</v>
      </c>
      <c r="F134" s="512" t="s">
        <v>5180</v>
      </c>
      <c r="G134" s="1"/>
    </row>
    <row r="135" spans="1:7" x14ac:dyDescent="0.15">
      <c r="A135" s="512" t="s">
        <v>1928</v>
      </c>
      <c r="B135" s="512" t="s">
        <v>5181</v>
      </c>
      <c r="C135" s="512" t="s">
        <v>5038</v>
      </c>
      <c r="D135" s="512" t="s">
        <v>5039</v>
      </c>
      <c r="E135" s="512" t="s">
        <v>5000</v>
      </c>
      <c r="F135" s="512" t="s">
        <v>5182</v>
      </c>
      <c r="G135" s="1"/>
    </row>
    <row r="136" spans="1:7" x14ac:dyDescent="0.15">
      <c r="A136" s="512" t="s">
        <v>2013</v>
      </c>
      <c r="B136" s="512" t="s">
        <v>5183</v>
      </c>
      <c r="C136" s="512" t="s">
        <v>5038</v>
      </c>
      <c r="D136" s="512" t="s">
        <v>5039</v>
      </c>
      <c r="E136" s="512" t="s">
        <v>5184</v>
      </c>
      <c r="F136" s="512" t="s">
        <v>5185</v>
      </c>
      <c r="G136" s="1"/>
    </row>
    <row r="137" spans="1:7" x14ac:dyDescent="0.15">
      <c r="A137" s="512" t="s">
        <v>2274</v>
      </c>
      <c r="B137" s="512" t="s">
        <v>5186</v>
      </c>
      <c r="C137" s="512" t="s">
        <v>5038</v>
      </c>
      <c r="D137" s="512" t="s">
        <v>5039</v>
      </c>
      <c r="E137" s="512" t="s">
        <v>5091</v>
      </c>
      <c r="F137" s="512" t="s">
        <v>5187</v>
      </c>
      <c r="G137" s="1"/>
    </row>
    <row r="138" spans="1:7" x14ac:dyDescent="0.15">
      <c r="A138" s="512" t="s">
        <v>2321</v>
      </c>
      <c r="B138" s="512" t="s">
        <v>5188</v>
      </c>
      <c r="C138" s="512" t="s">
        <v>5038</v>
      </c>
      <c r="D138" s="512" t="s">
        <v>5039</v>
      </c>
      <c r="E138" s="512" t="s">
        <v>4982</v>
      </c>
      <c r="F138" s="512" t="s">
        <v>5189</v>
      </c>
      <c r="G138" s="1"/>
    </row>
    <row r="139" spans="1:7" x14ac:dyDescent="0.15">
      <c r="A139" s="512" t="s">
        <v>2207</v>
      </c>
      <c r="B139" s="512" t="s">
        <v>5190</v>
      </c>
      <c r="C139" s="512" t="s">
        <v>5038</v>
      </c>
      <c r="D139" s="512" t="s">
        <v>5039</v>
      </c>
      <c r="E139" s="512" t="s">
        <v>4982</v>
      </c>
      <c r="F139" s="512" t="s">
        <v>5191</v>
      </c>
      <c r="G139" s="1"/>
    </row>
    <row r="140" spans="1:7" x14ac:dyDescent="0.15">
      <c r="A140" s="512" t="s">
        <v>2236</v>
      </c>
      <c r="B140" s="512" t="s">
        <v>5192</v>
      </c>
      <c r="C140" s="512" t="s">
        <v>5038</v>
      </c>
      <c r="D140" s="512" t="s">
        <v>5039</v>
      </c>
      <c r="E140" s="512" t="s">
        <v>4982</v>
      </c>
      <c r="F140" s="512" t="s">
        <v>5193</v>
      </c>
      <c r="G140" s="1"/>
    </row>
    <row r="141" spans="1:7" x14ac:dyDescent="0.15">
      <c r="A141" s="512" t="s">
        <v>3586</v>
      </c>
      <c r="B141" s="512" t="s">
        <v>5194</v>
      </c>
      <c r="C141" s="512" t="s">
        <v>5038</v>
      </c>
      <c r="D141" s="512" t="s">
        <v>5039</v>
      </c>
      <c r="E141" s="512" t="s">
        <v>5195</v>
      </c>
      <c r="F141" s="512" t="s">
        <v>5196</v>
      </c>
      <c r="G141" s="1"/>
    </row>
    <row r="142" spans="1:7" x14ac:dyDescent="0.15">
      <c r="A142" s="512" t="s">
        <v>1840</v>
      </c>
      <c r="B142" s="512" t="s">
        <v>5197</v>
      </c>
      <c r="C142" s="512" t="s">
        <v>5038</v>
      </c>
      <c r="D142" s="512" t="s">
        <v>5039</v>
      </c>
      <c r="E142" s="512" t="s">
        <v>5198</v>
      </c>
      <c r="F142" s="512" t="s">
        <v>5199</v>
      </c>
      <c r="G142" s="1"/>
    </row>
    <row r="143" spans="1:7" x14ac:dyDescent="0.15">
      <c r="A143" s="512" t="s">
        <v>1854</v>
      </c>
      <c r="B143" s="513"/>
      <c r="C143" s="513"/>
      <c r="D143" s="513"/>
      <c r="E143" s="513"/>
      <c r="F143" s="513"/>
      <c r="G143" s="1"/>
    </row>
    <row r="144" spans="1:7" x14ac:dyDescent="0.15">
      <c r="A144" s="512" t="s">
        <v>1867</v>
      </c>
      <c r="B144" s="514" t="s">
        <v>5200</v>
      </c>
      <c r="C144" s="512" t="s">
        <v>5038</v>
      </c>
      <c r="D144" s="514" t="s">
        <v>5045</v>
      </c>
      <c r="E144" s="512" t="s">
        <v>5201</v>
      </c>
      <c r="F144" s="512" t="s">
        <v>5202</v>
      </c>
      <c r="G144" s="1"/>
    </row>
    <row r="145" spans="1:7" x14ac:dyDescent="0.15">
      <c r="A145" s="512" t="s">
        <v>1920</v>
      </c>
      <c r="B145" s="514" t="s">
        <v>5203</v>
      </c>
      <c r="C145" s="512" t="s">
        <v>5038</v>
      </c>
      <c r="D145" s="512" t="s">
        <v>5039</v>
      </c>
      <c r="E145" s="512" t="s">
        <v>5140</v>
      </c>
      <c r="F145" s="512" t="s">
        <v>5204</v>
      </c>
      <c r="G145" s="1"/>
    </row>
    <row r="146" spans="1:7" x14ac:dyDescent="0.15">
      <c r="A146" s="512" t="s">
        <v>2015</v>
      </c>
      <c r="B146" s="514" t="s">
        <v>5205</v>
      </c>
      <c r="C146" s="512" t="s">
        <v>5038</v>
      </c>
      <c r="D146" s="512" t="s">
        <v>5039</v>
      </c>
      <c r="E146" s="514" t="s">
        <v>4995</v>
      </c>
      <c r="F146" s="514" t="s">
        <v>5206</v>
      </c>
      <c r="G146" s="1"/>
    </row>
    <row r="147" spans="1:7" x14ac:dyDescent="0.15">
      <c r="A147" s="512" t="s">
        <v>2226</v>
      </c>
      <c r="B147" s="514" t="s">
        <v>5207</v>
      </c>
      <c r="C147" s="512" t="s">
        <v>5038</v>
      </c>
      <c r="D147" s="512" t="s">
        <v>5039</v>
      </c>
      <c r="E147" s="514" t="s">
        <v>5208</v>
      </c>
      <c r="F147" s="514" t="s">
        <v>5209</v>
      </c>
      <c r="G147" s="1"/>
    </row>
    <row r="148" spans="1:7" x14ac:dyDescent="0.15">
      <c r="A148" s="512" t="s">
        <v>2228</v>
      </c>
      <c r="B148" s="514" t="s">
        <v>5210</v>
      </c>
      <c r="C148" s="513"/>
      <c r="D148" s="512" t="s">
        <v>5039</v>
      </c>
      <c r="E148" s="514" t="s">
        <v>5211</v>
      </c>
      <c r="F148" s="514" t="s">
        <v>5212</v>
      </c>
      <c r="G148" s="1"/>
    </row>
    <row r="149" spans="1:7" x14ac:dyDescent="0.15">
      <c r="A149" s="512" t="s">
        <v>2247</v>
      </c>
      <c r="B149" s="514" t="s">
        <v>5213</v>
      </c>
      <c r="C149" s="512" t="s">
        <v>5214</v>
      </c>
      <c r="D149" s="512" t="s">
        <v>5039</v>
      </c>
      <c r="E149" s="514" t="s">
        <v>4951</v>
      </c>
      <c r="F149" s="514" t="s">
        <v>5215</v>
      </c>
      <c r="G149" s="1"/>
    </row>
    <row r="150" spans="1:7" x14ac:dyDescent="0.15">
      <c r="A150" s="512" t="s">
        <v>2313</v>
      </c>
      <c r="B150" s="514" t="s">
        <v>5216</v>
      </c>
      <c r="C150" s="512" t="s">
        <v>5038</v>
      </c>
      <c r="D150" s="512" t="s">
        <v>5039</v>
      </c>
      <c r="E150" s="514" t="s">
        <v>4960</v>
      </c>
      <c r="F150" s="514" t="s">
        <v>5217</v>
      </c>
      <c r="G150" s="1"/>
    </row>
    <row r="151" spans="1:7" x14ac:dyDescent="0.15">
      <c r="A151" s="512" t="s">
        <v>5218</v>
      </c>
      <c r="B151" s="514" t="s">
        <v>5219</v>
      </c>
      <c r="C151" s="512" t="s">
        <v>5214</v>
      </c>
      <c r="D151" s="512" t="s">
        <v>5039</v>
      </c>
      <c r="E151" s="514" t="s">
        <v>5220</v>
      </c>
      <c r="F151" s="514" t="s">
        <v>5221</v>
      </c>
      <c r="G151" s="1"/>
    </row>
    <row r="152" spans="1:7" x14ac:dyDescent="0.15">
      <c r="A152" s="515" t="s">
        <v>2330</v>
      </c>
      <c r="B152" s="515" t="s">
        <v>5090</v>
      </c>
      <c r="C152" s="516"/>
      <c r="D152" s="515" t="s">
        <v>5045</v>
      </c>
      <c r="E152" s="515" t="s">
        <v>5000</v>
      </c>
      <c r="F152" s="515" t="s">
        <v>5222</v>
      </c>
      <c r="G152" s="517" t="s">
        <v>5223</v>
      </c>
    </row>
    <row r="153" spans="1:7" x14ac:dyDescent="0.15">
      <c r="A153" s="512" t="s">
        <v>2432</v>
      </c>
      <c r="B153" s="514" t="s">
        <v>5224</v>
      </c>
      <c r="C153" s="513"/>
      <c r="D153" s="512" t="s">
        <v>5039</v>
      </c>
      <c r="E153" s="514" t="s">
        <v>5000</v>
      </c>
      <c r="F153" s="513"/>
      <c r="G153" s="1"/>
    </row>
    <row r="154" spans="1:7" x14ac:dyDescent="0.15">
      <c r="A154" s="512" t="s">
        <v>2430</v>
      </c>
      <c r="B154" s="513"/>
      <c r="C154" s="513"/>
      <c r="D154" s="513"/>
      <c r="E154" s="513"/>
      <c r="F154" s="513"/>
      <c r="G154" s="1"/>
    </row>
    <row r="155" spans="1:7" x14ac:dyDescent="0.15">
      <c r="A155" s="512" t="s">
        <v>2718</v>
      </c>
      <c r="B155" s="514" t="s">
        <v>5225</v>
      </c>
      <c r="C155" s="514" t="s">
        <v>5038</v>
      </c>
      <c r="D155" s="514" t="s">
        <v>5039</v>
      </c>
      <c r="E155" s="514" t="s">
        <v>5226</v>
      </c>
      <c r="F155" s="514" t="s">
        <v>5227</v>
      </c>
      <c r="G155" s="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P37"/>
  <sheetViews>
    <sheetView workbookViewId="0">
      <selection activeCell="M10" sqref="M10"/>
    </sheetView>
  </sheetViews>
  <sheetFormatPr defaultColWidth="9.00390625" defaultRowHeight="15" x14ac:dyDescent="0.1"/>
  <cols>
    <col min="1" max="1" width="1.05078125" style="267" customWidth="1"/>
    <col min="2" max="2" width="9.00390625" style="267" hidden="1" customWidth="1"/>
    <col min="3" max="3" width="7.015625" style="267" customWidth="1"/>
    <col min="4" max="5" width="10.9921875" style="267" customWidth="1"/>
    <col min="6" max="6" width="9.00390625" style="267" customWidth="1"/>
    <col min="7" max="7" width="21.984375" style="267" customWidth="1"/>
    <col min="8" max="8" width="9.9375" style="267" customWidth="1"/>
    <col min="9" max="9" width="9.00390625" style="267" customWidth="1"/>
    <col min="10" max="10" width="14.96875" style="267" customWidth="1"/>
    <col min="11" max="11" width="14.03125" style="267" customWidth="1"/>
    <col min="12" max="12" width="14.96875" style="267" customWidth="1"/>
    <col min="13" max="13" width="52.0390625" style="267" customWidth="1"/>
    <col min="14" max="16" width="9.00390625" style="267" hidden="1" customWidth="1"/>
    <col min="17" max="17" width="9.00390625" style="267" customWidth="1"/>
    <col min="18" max="16384" width="9.00390625" style="267"/>
  </cols>
  <sheetData>
    <row r="2" spans="2:16" ht="17.25" x14ac:dyDescent="0.1">
      <c r="C2" s="268" t="s">
        <v>5228</v>
      </c>
    </row>
    <row r="3" spans="2:16" ht="6.75" customHeight="1" x14ac:dyDescent="0.1"/>
    <row r="4" spans="2:16" x14ac:dyDescent="0.1">
      <c r="C4" s="269" t="s">
        <v>5229</v>
      </c>
    </row>
    <row r="5" spans="2:16" ht="18" customHeight="1" x14ac:dyDescent="0.1">
      <c r="B5" s="270" t="s">
        <v>5230</v>
      </c>
      <c r="C5" s="271" t="s">
        <v>5230</v>
      </c>
      <c r="D5" s="272"/>
      <c r="E5" s="271" t="s">
        <v>5231</v>
      </c>
      <c r="F5" s="272"/>
      <c r="G5" s="272"/>
      <c r="H5" s="273"/>
      <c r="I5" s="274" t="s">
        <v>5232</v>
      </c>
      <c r="J5" s="271" t="s">
        <v>5233</v>
      </c>
      <c r="K5" s="275"/>
      <c r="L5" s="276" t="s">
        <v>5234</v>
      </c>
      <c r="M5" s="273"/>
    </row>
    <row r="6" spans="2:16" ht="18" customHeight="1" x14ac:dyDescent="0.1">
      <c r="B6" s="277" t="s">
        <v>5235</v>
      </c>
      <c r="C6" s="278" t="s">
        <v>5236</v>
      </c>
      <c r="D6" s="279" t="s">
        <v>4919</v>
      </c>
      <c r="E6" s="278" t="s">
        <v>5237</v>
      </c>
      <c r="F6" s="279" t="s">
        <v>279</v>
      </c>
      <c r="G6" s="279" t="s">
        <v>5238</v>
      </c>
      <c r="H6" s="280" t="s">
        <v>5239</v>
      </c>
      <c r="I6" s="281"/>
      <c r="J6" s="278" t="s">
        <v>3593</v>
      </c>
      <c r="K6" s="282" t="s">
        <v>3592</v>
      </c>
      <c r="L6" s="283" t="s">
        <v>5240</v>
      </c>
      <c r="M6" s="280" t="s">
        <v>3591</v>
      </c>
    </row>
    <row r="7" spans="2:16" ht="18" customHeight="1" x14ac:dyDescent="0.1">
      <c r="B7" s="284">
        <v>2040001</v>
      </c>
      <c r="C7" s="334" t="s">
        <v>3254</v>
      </c>
      <c r="D7" s="285" t="s">
        <v>5241</v>
      </c>
      <c r="E7" s="286" t="s">
        <v>5242</v>
      </c>
      <c r="F7" s="287" t="s">
        <v>4923</v>
      </c>
      <c r="G7" s="287" t="s">
        <v>2798</v>
      </c>
      <c r="H7" s="288" t="s">
        <v>5243</v>
      </c>
      <c r="I7" s="289">
        <v>37987</v>
      </c>
      <c r="J7" s="290" t="s">
        <v>5244</v>
      </c>
      <c r="K7" s="291" t="s">
        <v>5245</v>
      </c>
      <c r="L7" s="292" t="s">
        <v>5246</v>
      </c>
      <c r="M7" s="291" t="str">
        <f t="shared" ref="M7:M28" si="0">+VLOOKUP(N7,$O$7:$P$13,2,0)&amp;" "&amp;L7</f>
        <v>서울특별시 강남구 신사동 617-3번지 LG패션 서관5층</v>
      </c>
      <c r="N7" s="267" t="str">
        <f t="shared" ref="N7:N28" si="1">+LEFT(L7,2)</f>
        <v>서관</v>
      </c>
      <c r="O7" s="267" t="s">
        <v>5247</v>
      </c>
      <c r="P7" s="293" t="s">
        <v>5248</v>
      </c>
    </row>
    <row r="8" spans="2:16" ht="18" customHeight="1" x14ac:dyDescent="0.1">
      <c r="B8" s="294">
        <v>2010049</v>
      </c>
      <c r="C8" s="335" t="s">
        <v>1739</v>
      </c>
      <c r="D8" s="296" t="s">
        <v>4929</v>
      </c>
      <c r="E8" s="297" t="s">
        <v>5242</v>
      </c>
      <c r="F8" s="298" t="s">
        <v>4923</v>
      </c>
      <c r="G8" s="298" t="s">
        <v>2798</v>
      </c>
      <c r="H8" s="299" t="s">
        <v>5243</v>
      </c>
      <c r="I8" s="300">
        <v>36951</v>
      </c>
      <c r="J8" s="301" t="s">
        <v>5249</v>
      </c>
      <c r="K8" s="302" t="s">
        <v>5250</v>
      </c>
      <c r="L8" s="303" t="s">
        <v>5246</v>
      </c>
      <c r="M8" s="302" t="str">
        <f t="shared" si="0"/>
        <v>서울특별시 강남구 신사동 617-3번지 LG패션 서관5층</v>
      </c>
      <c r="N8" s="267" t="str">
        <f t="shared" si="1"/>
        <v>서관</v>
      </c>
      <c r="O8" s="267" t="s">
        <v>5251</v>
      </c>
      <c r="P8" s="293" t="s">
        <v>5252</v>
      </c>
    </row>
    <row r="9" spans="2:16" ht="18" customHeight="1" x14ac:dyDescent="0.1">
      <c r="B9" s="294">
        <v>2050006</v>
      </c>
      <c r="C9" s="335" t="s">
        <v>1735</v>
      </c>
      <c r="D9" s="296" t="s">
        <v>4934</v>
      </c>
      <c r="E9" s="297" t="s">
        <v>5242</v>
      </c>
      <c r="F9" s="298" t="s">
        <v>5253</v>
      </c>
      <c r="G9" s="298" t="s">
        <v>5254</v>
      </c>
      <c r="H9" s="299" t="s">
        <v>5243</v>
      </c>
      <c r="I9" s="300">
        <v>38353</v>
      </c>
      <c r="J9" s="301" t="s">
        <v>5255</v>
      </c>
      <c r="K9" s="302" t="s">
        <v>5256</v>
      </c>
      <c r="L9" s="303" t="s">
        <v>5246</v>
      </c>
      <c r="M9" s="302" t="str">
        <f t="shared" si="0"/>
        <v>서울특별시 강남구 신사동 617-3번지 LG패션 서관5층</v>
      </c>
      <c r="N9" s="267" t="str">
        <f t="shared" si="1"/>
        <v>서관</v>
      </c>
      <c r="O9" s="267" t="s">
        <v>5257</v>
      </c>
      <c r="P9" s="267" t="s">
        <v>5258</v>
      </c>
    </row>
    <row r="10" spans="2:16" ht="18" customHeight="1" x14ac:dyDescent="0.1">
      <c r="B10" s="294">
        <v>2061001</v>
      </c>
      <c r="C10" s="335" t="s">
        <v>3288</v>
      </c>
      <c r="D10" s="296" t="s">
        <v>4944</v>
      </c>
      <c r="E10" s="297" t="s">
        <v>4876</v>
      </c>
      <c r="F10" s="298" t="s">
        <v>5253</v>
      </c>
      <c r="G10" s="298" t="s">
        <v>5259</v>
      </c>
      <c r="H10" s="299" t="s">
        <v>5243</v>
      </c>
      <c r="I10" s="300">
        <v>38718</v>
      </c>
      <c r="J10" s="301" t="s">
        <v>5260</v>
      </c>
      <c r="K10" s="302" t="s">
        <v>5261</v>
      </c>
      <c r="L10" s="303" t="s">
        <v>5262</v>
      </c>
      <c r="M10" s="302" t="str">
        <f t="shared" si="0"/>
        <v>서울특별시 강남구 신사동 618-3번지 뉴서울빌딩10층</v>
      </c>
      <c r="N10" s="267" t="str">
        <f t="shared" si="1"/>
        <v>뉴서</v>
      </c>
      <c r="O10" s="267" t="s">
        <v>5263</v>
      </c>
      <c r="P10" s="267" t="s">
        <v>5264</v>
      </c>
    </row>
    <row r="11" spans="2:16" ht="18" customHeight="1" x14ac:dyDescent="0.1">
      <c r="B11" s="294">
        <v>2080005</v>
      </c>
      <c r="C11" s="335" t="s">
        <v>1742</v>
      </c>
      <c r="D11" s="296" t="s">
        <v>4944</v>
      </c>
      <c r="E11" s="297" t="s">
        <v>4876</v>
      </c>
      <c r="F11" s="298" t="s">
        <v>5253</v>
      </c>
      <c r="G11" s="298" t="s">
        <v>5265</v>
      </c>
      <c r="H11" s="299" t="s">
        <v>5243</v>
      </c>
      <c r="I11" s="300">
        <v>39448</v>
      </c>
      <c r="J11" s="301" t="s">
        <v>5266</v>
      </c>
      <c r="K11" s="302" t="s">
        <v>5267</v>
      </c>
      <c r="L11" s="303" t="s">
        <v>5268</v>
      </c>
      <c r="M11" s="302" t="str">
        <f t="shared" si="0"/>
        <v>서울특별시 강남구 청담동 31-11 보담6층</v>
      </c>
      <c r="N11" s="267" t="str">
        <f t="shared" si="1"/>
        <v>보담</v>
      </c>
      <c r="O11" s="267" t="s">
        <v>5269</v>
      </c>
      <c r="P11" s="267" t="s">
        <v>5270</v>
      </c>
    </row>
    <row r="12" spans="2:16" ht="18" customHeight="1" x14ac:dyDescent="0.1">
      <c r="B12" s="294">
        <v>2092129</v>
      </c>
      <c r="C12" s="335" t="s">
        <v>3343</v>
      </c>
      <c r="D12" s="296" t="s">
        <v>4944</v>
      </c>
      <c r="E12" s="297" t="s">
        <v>4876</v>
      </c>
      <c r="F12" s="298" t="s">
        <v>5253</v>
      </c>
      <c r="G12" s="298" t="s">
        <v>5271</v>
      </c>
      <c r="H12" s="299" t="s">
        <v>5243</v>
      </c>
      <c r="I12" s="300">
        <v>39951</v>
      </c>
      <c r="J12" s="301" t="s">
        <v>5272</v>
      </c>
      <c r="K12" s="302" t="s">
        <v>5273</v>
      </c>
      <c r="L12" s="303" t="s">
        <v>5274</v>
      </c>
      <c r="M12" s="302" t="str">
        <f t="shared" si="0"/>
        <v>서울특별시 강남구 신사동 637-1번지 LG패션 동관6층</v>
      </c>
      <c r="N12" s="267" t="str">
        <f t="shared" si="1"/>
        <v>동관</v>
      </c>
      <c r="O12" s="267" t="s">
        <v>5275</v>
      </c>
      <c r="P12" s="267" t="s">
        <v>5276</v>
      </c>
    </row>
    <row r="13" spans="2:16" ht="18" customHeight="1" x14ac:dyDescent="0.1">
      <c r="B13" s="294">
        <v>2120034</v>
      </c>
      <c r="C13" s="295" t="s">
        <v>5277</v>
      </c>
      <c r="D13" s="296" t="s">
        <v>4944</v>
      </c>
      <c r="E13" s="297" t="s">
        <v>4876</v>
      </c>
      <c r="F13" s="298" t="s">
        <v>5278</v>
      </c>
      <c r="G13" s="298" t="s">
        <v>5279</v>
      </c>
      <c r="H13" s="299" t="s">
        <v>5243</v>
      </c>
      <c r="I13" s="300">
        <v>40959</v>
      </c>
      <c r="J13" s="301" t="s">
        <v>5280</v>
      </c>
      <c r="K13" s="302" t="s">
        <v>5281</v>
      </c>
      <c r="L13" s="303" t="s">
        <v>5246</v>
      </c>
      <c r="M13" s="302" t="str">
        <f t="shared" si="0"/>
        <v>서울특별시 강남구 신사동 617-3번지 LG패션 서관5층</v>
      </c>
      <c r="N13" s="267" t="str">
        <f t="shared" si="1"/>
        <v>서관</v>
      </c>
      <c r="O13" s="267" t="s">
        <v>5282</v>
      </c>
      <c r="P13" s="267" t="s">
        <v>5283</v>
      </c>
    </row>
    <row r="14" spans="2:16" ht="18" customHeight="1" x14ac:dyDescent="0.1">
      <c r="B14" s="294">
        <v>2120077</v>
      </c>
      <c r="C14" s="295" t="s">
        <v>5284</v>
      </c>
      <c r="D14" s="296" t="s">
        <v>5285</v>
      </c>
      <c r="E14" s="297" t="s">
        <v>5242</v>
      </c>
      <c r="F14" s="298" t="s">
        <v>5286</v>
      </c>
      <c r="G14" s="298" t="s">
        <v>5287</v>
      </c>
      <c r="H14" s="299" t="s">
        <v>5243</v>
      </c>
      <c r="I14" s="300">
        <v>40991</v>
      </c>
      <c r="J14" s="301" t="s">
        <v>5288</v>
      </c>
      <c r="K14" s="302" t="s">
        <v>5289</v>
      </c>
      <c r="L14" s="303" t="s">
        <v>5290</v>
      </c>
      <c r="M14" s="302" t="str">
        <f t="shared" si="0"/>
        <v>서울특별시 강남구 신사동 617-3번지 LG패션 서관4층</v>
      </c>
      <c r="N14" s="267" t="str">
        <f t="shared" si="1"/>
        <v>서관</v>
      </c>
    </row>
    <row r="15" spans="2:16" ht="18" customHeight="1" x14ac:dyDescent="0.1">
      <c r="B15" s="294">
        <v>2051001</v>
      </c>
      <c r="C15" s="295" t="s">
        <v>5291</v>
      </c>
      <c r="D15" s="296" t="s">
        <v>4942</v>
      </c>
      <c r="E15" s="297" t="s">
        <v>4876</v>
      </c>
      <c r="F15" s="298" t="s">
        <v>5278</v>
      </c>
      <c r="G15" s="298" t="s">
        <v>5292</v>
      </c>
      <c r="H15" s="299" t="s">
        <v>5243</v>
      </c>
      <c r="I15" s="300">
        <v>38353</v>
      </c>
      <c r="J15" s="301" t="s">
        <v>5293</v>
      </c>
      <c r="K15" s="302" t="s">
        <v>5294</v>
      </c>
      <c r="L15" s="303" t="s">
        <v>5295</v>
      </c>
      <c r="M15" s="302" t="str">
        <f t="shared" si="0"/>
        <v>서울특별시 신사동 618-4번지 태승빌딩5층</v>
      </c>
      <c r="N15" s="267" t="str">
        <f t="shared" si="1"/>
        <v>태승</v>
      </c>
    </row>
    <row r="16" spans="2:16" ht="18" customHeight="1" x14ac:dyDescent="0.1">
      <c r="B16" s="294">
        <v>2090019</v>
      </c>
      <c r="C16" s="335" t="s">
        <v>3397</v>
      </c>
      <c r="D16" s="296" t="s">
        <v>4942</v>
      </c>
      <c r="E16" s="297" t="s">
        <v>4876</v>
      </c>
      <c r="F16" s="298" t="s">
        <v>4933</v>
      </c>
      <c r="G16" s="298" t="s">
        <v>5296</v>
      </c>
      <c r="H16" s="299" t="s">
        <v>5243</v>
      </c>
      <c r="I16" s="300">
        <v>39845</v>
      </c>
      <c r="J16" s="301" t="s">
        <v>5297</v>
      </c>
      <c r="K16" s="302" t="s">
        <v>5298</v>
      </c>
      <c r="L16" s="303" t="s">
        <v>5299</v>
      </c>
      <c r="M16" s="302" t="str">
        <f t="shared" si="0"/>
        <v>서울특별시 강남구 신사동 637-1번지 LG패션 동관5층</v>
      </c>
      <c r="N16" s="267" t="str">
        <f t="shared" si="1"/>
        <v>동관</v>
      </c>
    </row>
    <row r="17" spans="2:14" ht="18" customHeight="1" x14ac:dyDescent="0.1">
      <c r="B17" s="294">
        <v>2090018</v>
      </c>
      <c r="C17" s="335" t="s">
        <v>3406</v>
      </c>
      <c r="D17" s="296" t="s">
        <v>4942</v>
      </c>
      <c r="E17" s="297" t="s">
        <v>4876</v>
      </c>
      <c r="F17" s="298" t="s">
        <v>4933</v>
      </c>
      <c r="G17" s="298" t="s">
        <v>5300</v>
      </c>
      <c r="H17" s="299" t="s">
        <v>5301</v>
      </c>
      <c r="I17" s="300">
        <v>39845</v>
      </c>
      <c r="J17" s="301" t="s">
        <v>5302</v>
      </c>
      <c r="K17" s="302" t="s">
        <v>5303</v>
      </c>
      <c r="L17" s="303" t="s">
        <v>5290</v>
      </c>
      <c r="M17" s="302" t="str">
        <f t="shared" si="0"/>
        <v>서울특별시 강남구 신사동 617-3번지 LG패션 서관4층</v>
      </c>
      <c r="N17" s="267" t="str">
        <f t="shared" si="1"/>
        <v>서관</v>
      </c>
    </row>
    <row r="18" spans="2:14" ht="18" customHeight="1" x14ac:dyDescent="0.1">
      <c r="B18" s="294">
        <v>2040205</v>
      </c>
      <c r="C18" s="335" t="s">
        <v>3416</v>
      </c>
      <c r="D18" s="296" t="s">
        <v>4942</v>
      </c>
      <c r="E18" s="297" t="s">
        <v>4876</v>
      </c>
      <c r="F18" s="298" t="s">
        <v>5253</v>
      </c>
      <c r="G18" s="298" t="s">
        <v>5304</v>
      </c>
      <c r="H18" s="299" t="s">
        <v>5243</v>
      </c>
      <c r="I18" s="300">
        <v>38324</v>
      </c>
      <c r="J18" s="301" t="s">
        <v>5305</v>
      </c>
      <c r="K18" s="302" t="s">
        <v>5306</v>
      </c>
      <c r="L18" s="303" t="s">
        <v>5307</v>
      </c>
      <c r="M18" s="302" t="str">
        <f t="shared" si="0"/>
        <v>서울특별시 신사동 618-4번지 태승빌딩2층</v>
      </c>
      <c r="N18" s="267" t="str">
        <f t="shared" si="1"/>
        <v>태승</v>
      </c>
    </row>
    <row r="19" spans="2:14" ht="18" customHeight="1" x14ac:dyDescent="0.1">
      <c r="B19" s="294">
        <v>2120326</v>
      </c>
      <c r="C19" s="295" t="s">
        <v>5308</v>
      </c>
      <c r="D19" s="296" t="s">
        <v>4942</v>
      </c>
      <c r="E19" s="297" t="s">
        <v>4876</v>
      </c>
      <c r="F19" s="298" t="s">
        <v>4933</v>
      </c>
      <c r="G19" s="298" t="s">
        <v>5309</v>
      </c>
      <c r="H19" s="299" t="s">
        <v>5243</v>
      </c>
      <c r="I19" s="300">
        <v>41134</v>
      </c>
      <c r="J19" s="301" t="s">
        <v>5310</v>
      </c>
      <c r="K19" s="302" t="s">
        <v>5311</v>
      </c>
      <c r="L19" s="303" t="s">
        <v>5312</v>
      </c>
      <c r="M19" s="302" t="str">
        <f t="shared" si="0"/>
        <v>서울특별시 강남구 청담동 31-11 보담4층</v>
      </c>
      <c r="N19" s="267" t="str">
        <f t="shared" si="1"/>
        <v>보담</v>
      </c>
    </row>
    <row r="20" spans="2:14" ht="18" customHeight="1" x14ac:dyDescent="0.1">
      <c r="B20" s="294">
        <v>8920382</v>
      </c>
      <c r="C20" s="295" t="s">
        <v>5313</v>
      </c>
      <c r="D20" s="296" t="s">
        <v>5314</v>
      </c>
      <c r="E20" s="297" t="s">
        <v>4876</v>
      </c>
      <c r="F20" s="298" t="s">
        <v>5278</v>
      </c>
      <c r="G20" s="298" t="s">
        <v>5315</v>
      </c>
      <c r="H20" s="299" t="s">
        <v>5243</v>
      </c>
      <c r="I20" s="300">
        <v>32509</v>
      </c>
      <c r="J20" s="301" t="s">
        <v>5316</v>
      </c>
      <c r="K20" s="302" t="s">
        <v>5317</v>
      </c>
      <c r="L20" s="303" t="s">
        <v>5318</v>
      </c>
      <c r="M20" s="302" t="str">
        <f t="shared" si="0"/>
        <v>서울특별시 강남구 신사동 618-3번지 뉴서울빌딩2층</v>
      </c>
      <c r="N20" s="267" t="str">
        <f t="shared" si="1"/>
        <v>뉴서</v>
      </c>
    </row>
    <row r="21" spans="2:14" ht="18" customHeight="1" x14ac:dyDescent="0.1">
      <c r="B21" s="294">
        <v>2080104</v>
      </c>
      <c r="C21" s="335" t="s">
        <v>3314</v>
      </c>
      <c r="D21" s="296" t="s">
        <v>5314</v>
      </c>
      <c r="E21" s="297" t="s">
        <v>4876</v>
      </c>
      <c r="F21" s="298" t="s">
        <v>5139</v>
      </c>
      <c r="G21" s="298" t="s">
        <v>5319</v>
      </c>
      <c r="H21" s="299" t="s">
        <v>5243</v>
      </c>
      <c r="I21" s="300">
        <v>39722</v>
      </c>
      <c r="J21" s="301" t="s">
        <v>5320</v>
      </c>
      <c r="K21" s="302" t="s">
        <v>5321</v>
      </c>
      <c r="L21" s="303" t="s">
        <v>5322</v>
      </c>
      <c r="M21" s="302" t="str">
        <f t="shared" si="0"/>
        <v>서울특별시 강남구 신사동 637-7번지 신관3층</v>
      </c>
      <c r="N21" s="267" t="str">
        <f t="shared" si="1"/>
        <v>신관</v>
      </c>
    </row>
    <row r="22" spans="2:14" ht="18" customHeight="1" x14ac:dyDescent="0.1">
      <c r="B22" s="304">
        <v>2110001</v>
      </c>
      <c r="C22" s="336" t="s">
        <v>3304</v>
      </c>
      <c r="D22" s="306" t="s">
        <v>5314</v>
      </c>
      <c r="E22" s="307" t="s">
        <v>4876</v>
      </c>
      <c r="F22" s="308" t="s">
        <v>5139</v>
      </c>
      <c r="G22" s="308" t="s">
        <v>5323</v>
      </c>
      <c r="H22" s="309" t="s">
        <v>5243</v>
      </c>
      <c r="I22" s="310">
        <v>40544</v>
      </c>
      <c r="J22" s="301" t="s">
        <v>5324</v>
      </c>
      <c r="K22" s="302" t="s">
        <v>5325</v>
      </c>
      <c r="L22" s="303" t="s">
        <v>5290</v>
      </c>
      <c r="M22" s="302" t="str">
        <f t="shared" si="0"/>
        <v>서울특별시 강남구 신사동 617-3번지 LG패션 서관4층</v>
      </c>
      <c r="N22" s="267" t="str">
        <f t="shared" si="1"/>
        <v>서관</v>
      </c>
    </row>
    <row r="23" spans="2:14" ht="18" customHeight="1" x14ac:dyDescent="0.1">
      <c r="B23" s="304">
        <v>2110030</v>
      </c>
      <c r="C23" s="305" t="s">
        <v>5326</v>
      </c>
      <c r="D23" s="306" t="s">
        <v>5314</v>
      </c>
      <c r="E23" s="307" t="s">
        <v>4876</v>
      </c>
      <c r="F23" s="308" t="s">
        <v>4933</v>
      </c>
      <c r="G23" s="308" t="s">
        <v>5327</v>
      </c>
      <c r="H23" s="309" t="s">
        <v>5243</v>
      </c>
      <c r="I23" s="310">
        <v>40544</v>
      </c>
      <c r="J23" s="301" t="s">
        <v>5328</v>
      </c>
      <c r="K23" s="302" t="s">
        <v>5329</v>
      </c>
      <c r="L23" s="303" t="s">
        <v>5330</v>
      </c>
      <c r="M23" s="302" t="str">
        <f t="shared" si="0"/>
        <v>서울특별시 강남구 신사동 637-1번지 LG패션 동관2층</v>
      </c>
      <c r="N23" s="267" t="str">
        <f t="shared" si="1"/>
        <v>동관</v>
      </c>
    </row>
    <row r="24" spans="2:14" ht="18" customHeight="1" x14ac:dyDescent="0.1">
      <c r="B24" s="304">
        <v>2120056</v>
      </c>
      <c r="C24" s="305" t="s">
        <v>5331</v>
      </c>
      <c r="D24" s="306" t="s">
        <v>5314</v>
      </c>
      <c r="E24" s="307" t="s">
        <v>4876</v>
      </c>
      <c r="F24" s="308" t="s">
        <v>5278</v>
      </c>
      <c r="G24" s="308" t="s">
        <v>5332</v>
      </c>
      <c r="H24" s="309" t="s">
        <v>5243</v>
      </c>
      <c r="I24" s="310">
        <v>40969</v>
      </c>
      <c r="J24" s="301" t="s">
        <v>5333</v>
      </c>
      <c r="K24" s="302" t="s">
        <v>5334</v>
      </c>
      <c r="L24" s="303" t="s">
        <v>5299</v>
      </c>
      <c r="M24" s="302" t="str">
        <f t="shared" si="0"/>
        <v>서울특별시 강남구 신사동 637-1번지 LG패션 동관5층</v>
      </c>
      <c r="N24" s="267" t="str">
        <f t="shared" si="1"/>
        <v>동관</v>
      </c>
    </row>
    <row r="25" spans="2:14" ht="18" customHeight="1" x14ac:dyDescent="0.1">
      <c r="B25" s="304">
        <v>2120168</v>
      </c>
      <c r="C25" s="305" t="s">
        <v>5335</v>
      </c>
      <c r="D25" s="306" t="s">
        <v>5314</v>
      </c>
      <c r="E25" s="307" t="s">
        <v>4876</v>
      </c>
      <c r="F25" s="308" t="s">
        <v>5278</v>
      </c>
      <c r="G25" s="308" t="s">
        <v>5336</v>
      </c>
      <c r="H25" s="309" t="s">
        <v>5243</v>
      </c>
      <c r="I25" s="310">
        <v>41061</v>
      </c>
      <c r="J25" s="301" t="s">
        <v>5337</v>
      </c>
      <c r="K25" s="302" t="s">
        <v>5338</v>
      </c>
      <c r="L25" s="303" t="s">
        <v>5339</v>
      </c>
      <c r="M25" s="302" t="str">
        <f t="shared" si="0"/>
        <v>서울특별시 강남구 신사동 637-1번지 LG패션 동관8층</v>
      </c>
      <c r="N25" s="267" t="str">
        <f t="shared" si="1"/>
        <v>동관</v>
      </c>
    </row>
    <row r="26" spans="2:14" ht="18" customHeight="1" x14ac:dyDescent="0.1">
      <c r="B26" s="294">
        <v>2092150</v>
      </c>
      <c r="C26" s="335" t="s">
        <v>3387</v>
      </c>
      <c r="D26" s="296" t="s">
        <v>5314</v>
      </c>
      <c r="E26" s="297" t="s">
        <v>4876</v>
      </c>
      <c r="F26" s="298" t="s">
        <v>4933</v>
      </c>
      <c r="G26" s="298" t="s">
        <v>5340</v>
      </c>
      <c r="H26" s="299" t="s">
        <v>5243</v>
      </c>
      <c r="I26" s="300">
        <v>39973</v>
      </c>
      <c r="J26" s="301" t="s">
        <v>5341</v>
      </c>
      <c r="K26" s="302" t="s">
        <v>5342</v>
      </c>
      <c r="L26" s="303" t="s">
        <v>5343</v>
      </c>
      <c r="M26" s="302" t="str">
        <f t="shared" si="0"/>
        <v>서울특별시 강남구 신사동 637-3번지 별관3층</v>
      </c>
      <c r="N26" s="267" t="str">
        <f t="shared" si="1"/>
        <v>별관</v>
      </c>
    </row>
    <row r="27" spans="2:14" ht="18" customHeight="1" x14ac:dyDescent="0.1">
      <c r="B27" s="304">
        <v>2051101</v>
      </c>
      <c r="C27" s="336" t="s">
        <v>1737</v>
      </c>
      <c r="D27" s="306" t="s">
        <v>5314</v>
      </c>
      <c r="E27" s="307" t="s">
        <v>4876</v>
      </c>
      <c r="F27" s="308" t="s">
        <v>4933</v>
      </c>
      <c r="G27" s="308" t="s">
        <v>5344</v>
      </c>
      <c r="H27" s="309" t="s">
        <v>5243</v>
      </c>
      <c r="I27" s="310">
        <v>38596</v>
      </c>
      <c r="J27" s="301" t="s">
        <v>5345</v>
      </c>
      <c r="K27" s="302" t="s">
        <v>5346</v>
      </c>
      <c r="L27" s="303" t="s">
        <v>5347</v>
      </c>
      <c r="M27" s="302" t="str">
        <f t="shared" si="0"/>
        <v>서울특별시 강남구 신사동 618-3번지 뉴서울빌딩9층</v>
      </c>
      <c r="N27" s="267" t="str">
        <f t="shared" si="1"/>
        <v>뉴서</v>
      </c>
    </row>
    <row r="28" spans="2:14" ht="18" customHeight="1" x14ac:dyDescent="0.1">
      <c r="B28" s="311">
        <v>2100305</v>
      </c>
      <c r="C28" s="312" t="s">
        <v>5348</v>
      </c>
      <c r="D28" s="313" t="s">
        <v>5314</v>
      </c>
      <c r="E28" s="314" t="s">
        <v>4876</v>
      </c>
      <c r="F28" s="315" t="s">
        <v>4933</v>
      </c>
      <c r="G28" s="315" t="s">
        <v>5349</v>
      </c>
      <c r="H28" s="316" t="s">
        <v>5243</v>
      </c>
      <c r="I28" s="317">
        <v>40497</v>
      </c>
      <c r="J28" s="318" t="s">
        <v>5350</v>
      </c>
      <c r="K28" s="319" t="s">
        <v>5351</v>
      </c>
      <c r="L28" s="320" t="s">
        <v>5295</v>
      </c>
      <c r="M28" s="319" t="str">
        <f t="shared" si="0"/>
        <v>서울특별시 신사동 618-4번지 태승빌딩5층</v>
      </c>
      <c r="N28" s="267" t="str">
        <f t="shared" si="1"/>
        <v>태승</v>
      </c>
    </row>
    <row r="29" spans="2:14" x14ac:dyDescent="0.1">
      <c r="J29" s="321"/>
      <c r="K29" s="321"/>
      <c r="L29" s="321"/>
      <c r="M29" s="321"/>
    </row>
    <row r="30" spans="2:14" x14ac:dyDescent="0.1">
      <c r="C30" s="269" t="s">
        <v>5352</v>
      </c>
      <c r="J30" s="321"/>
      <c r="K30" s="321"/>
      <c r="L30" s="321"/>
      <c r="M30" s="321"/>
    </row>
    <row r="31" spans="2:14" ht="18" customHeight="1" x14ac:dyDescent="0.1">
      <c r="B31" s="270" t="s">
        <v>5230</v>
      </c>
      <c r="C31" s="271" t="s">
        <v>5230</v>
      </c>
      <c r="D31" s="322"/>
      <c r="E31" s="271" t="s">
        <v>5231</v>
      </c>
      <c r="F31" s="272"/>
      <c r="G31" s="272"/>
      <c r="H31" s="322"/>
      <c r="I31" s="323" t="s">
        <v>5232</v>
      </c>
      <c r="J31" s="271" t="s">
        <v>5233</v>
      </c>
      <c r="K31" s="275"/>
      <c r="L31" s="276" t="s">
        <v>5234</v>
      </c>
      <c r="M31" s="273"/>
    </row>
    <row r="32" spans="2:14" ht="18" customHeight="1" x14ac:dyDescent="0.1">
      <c r="B32" s="277" t="s">
        <v>5235</v>
      </c>
      <c r="C32" s="278" t="s">
        <v>5236</v>
      </c>
      <c r="D32" s="324" t="s">
        <v>4919</v>
      </c>
      <c r="E32" s="278" t="s">
        <v>5237</v>
      </c>
      <c r="F32" s="279" t="s">
        <v>279</v>
      </c>
      <c r="G32" s="279" t="s">
        <v>278</v>
      </c>
      <c r="H32" s="324" t="s">
        <v>5239</v>
      </c>
      <c r="I32" s="325"/>
      <c r="J32" s="278" t="s">
        <v>3593</v>
      </c>
      <c r="K32" s="282" t="s">
        <v>3592</v>
      </c>
      <c r="L32" s="283" t="s">
        <v>5240</v>
      </c>
      <c r="M32" s="280" t="s">
        <v>3591</v>
      </c>
    </row>
    <row r="33" spans="2:14" ht="18" customHeight="1" x14ac:dyDescent="0.1">
      <c r="B33" s="326">
        <v>2092169</v>
      </c>
      <c r="C33" s="301" t="s">
        <v>5353</v>
      </c>
      <c r="D33" s="327" t="s">
        <v>5354</v>
      </c>
      <c r="E33" s="301" t="s">
        <v>4876</v>
      </c>
      <c r="F33" s="328" t="s">
        <v>5354</v>
      </c>
      <c r="G33" s="328" t="s">
        <v>5271</v>
      </c>
      <c r="H33" s="327" t="s">
        <v>5301</v>
      </c>
      <c r="I33" s="329">
        <v>39986</v>
      </c>
      <c r="J33" s="290" t="s">
        <v>5355</v>
      </c>
      <c r="K33" s="291" t="s">
        <v>5356</v>
      </c>
      <c r="L33" s="292" t="s">
        <v>5274</v>
      </c>
      <c r="M33" s="291" t="str">
        <f>+VLOOKUP(N33,$O$7:$P$13,2,0)&amp;" "&amp;L33</f>
        <v>서울특별시 강남구 신사동 637-1번지 LG패션 동관6층</v>
      </c>
      <c r="N33" s="267" t="str">
        <f>+LEFT(L33,2)</f>
        <v>동관</v>
      </c>
    </row>
    <row r="34" spans="2:14" ht="18" customHeight="1" x14ac:dyDescent="0.1">
      <c r="B34" s="326">
        <v>2080088</v>
      </c>
      <c r="C34" s="301" t="s">
        <v>5357</v>
      </c>
      <c r="D34" s="327" t="s">
        <v>5354</v>
      </c>
      <c r="E34" s="301" t="s">
        <v>4876</v>
      </c>
      <c r="F34" s="328" t="s">
        <v>5354</v>
      </c>
      <c r="G34" s="328" t="s">
        <v>5304</v>
      </c>
      <c r="H34" s="327" t="s">
        <v>5301</v>
      </c>
      <c r="I34" s="329">
        <v>39681</v>
      </c>
      <c r="J34" s="301" t="s">
        <v>5358</v>
      </c>
      <c r="K34" s="302" t="s">
        <v>5359</v>
      </c>
      <c r="L34" s="303" t="s">
        <v>5307</v>
      </c>
      <c r="M34" s="302" t="str">
        <f>+VLOOKUP(N34,$O$7:$P$13,2,0)&amp;" "&amp;L34</f>
        <v>서울특별시 신사동 618-4번지 태승빌딩2층</v>
      </c>
      <c r="N34" s="267" t="str">
        <f>+LEFT(L34,2)</f>
        <v>태승</v>
      </c>
    </row>
    <row r="35" spans="2:14" ht="18" customHeight="1" x14ac:dyDescent="0.1">
      <c r="B35" s="326">
        <v>2092273</v>
      </c>
      <c r="C35" s="301" t="s">
        <v>5360</v>
      </c>
      <c r="D35" s="327" t="s">
        <v>5354</v>
      </c>
      <c r="E35" s="301" t="s">
        <v>4876</v>
      </c>
      <c r="F35" s="328" t="s">
        <v>5354</v>
      </c>
      <c r="G35" s="328" t="s">
        <v>5361</v>
      </c>
      <c r="H35" s="327" t="s">
        <v>5301</v>
      </c>
      <c r="I35" s="329">
        <v>40057</v>
      </c>
      <c r="J35" s="301" t="s">
        <v>5362</v>
      </c>
      <c r="K35" s="302" t="s">
        <v>5363</v>
      </c>
      <c r="L35" s="303" t="s">
        <v>5364</v>
      </c>
      <c r="M35" s="302" t="str">
        <f>+VLOOKUP(N35,$O$7:$P$13,2,0)&amp;" "&amp;L35</f>
        <v>서울특별시 강남구 신사동 637-3번지 별관6층</v>
      </c>
      <c r="N35" s="267" t="str">
        <f>+LEFT(L35,2)</f>
        <v>별관</v>
      </c>
    </row>
    <row r="36" spans="2:14" ht="18" customHeight="1" x14ac:dyDescent="0.1">
      <c r="B36" s="326">
        <v>2100178</v>
      </c>
      <c r="C36" s="301" t="s">
        <v>5365</v>
      </c>
      <c r="D36" s="327" t="s">
        <v>5354</v>
      </c>
      <c r="E36" s="301" t="s">
        <v>4876</v>
      </c>
      <c r="F36" s="328" t="s">
        <v>5354</v>
      </c>
      <c r="G36" s="328" t="s">
        <v>5366</v>
      </c>
      <c r="H36" s="327" t="s">
        <v>5301</v>
      </c>
      <c r="I36" s="329">
        <v>40367</v>
      </c>
      <c r="J36" s="301" t="s">
        <v>5367</v>
      </c>
      <c r="K36" s="302" t="s">
        <v>5368</v>
      </c>
      <c r="L36" s="303" t="s">
        <v>5369</v>
      </c>
      <c r="M36" s="302" t="str">
        <f>+VLOOKUP(N36,$O$7:$P$13,2,0)&amp;" "&amp;L36</f>
        <v>서울특별시 강남구 신사동 637-1번지 LG패션 동관3층</v>
      </c>
      <c r="N36" s="267" t="str">
        <f>+LEFT(L36,2)</f>
        <v>동관</v>
      </c>
    </row>
    <row r="37" spans="2:14" ht="18" customHeight="1" x14ac:dyDescent="0.1">
      <c r="B37" s="330">
        <v>2100224</v>
      </c>
      <c r="C37" s="318" t="s">
        <v>3444</v>
      </c>
      <c r="D37" s="331" t="s">
        <v>5354</v>
      </c>
      <c r="E37" s="318" t="s">
        <v>4876</v>
      </c>
      <c r="F37" s="332" t="s">
        <v>5354</v>
      </c>
      <c r="G37" s="332" t="s">
        <v>5370</v>
      </c>
      <c r="H37" s="331" t="s">
        <v>5243</v>
      </c>
      <c r="I37" s="333">
        <v>40413</v>
      </c>
      <c r="J37" s="318" t="s">
        <v>5371</v>
      </c>
      <c r="K37" s="319" t="s">
        <v>5372</v>
      </c>
      <c r="L37" s="320" t="s">
        <v>5373</v>
      </c>
      <c r="M37" s="319" t="str">
        <f>+VLOOKUP(N37,$O$7:$P$13,2,0)&amp;" "&amp;L37</f>
        <v>서울특별시 강남구 신사동 618-3번지 뉴서울빌딩5층</v>
      </c>
      <c r="N37" s="267" t="str">
        <f>+LEFT(L37,2)</f>
        <v>뉴서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3"/>
  <sheetViews>
    <sheetView topLeftCell="A7" workbookViewId="0">
      <selection activeCell="G42" sqref="G42"/>
    </sheetView>
  </sheetViews>
  <sheetFormatPr defaultColWidth="9.00390625" defaultRowHeight="12.75" x14ac:dyDescent="0.1"/>
  <cols>
    <col min="1" max="1" width="3.97265625" style="97" customWidth="1"/>
    <col min="2" max="2" width="5.02734375" style="97" customWidth="1"/>
    <col min="3" max="3" width="9.00390625" style="97" customWidth="1"/>
    <col min="4" max="5" width="14.03125" style="97" customWidth="1"/>
    <col min="6" max="6" width="9.00390625" style="97" customWidth="1"/>
    <col min="7" max="7" width="59.9921875" style="97" customWidth="1"/>
    <col min="8" max="8" width="19.99609375" style="97" customWidth="1"/>
    <col min="9" max="9" width="10.9921875" style="97" customWidth="1"/>
    <col min="10" max="10" width="9.00390625" style="97" customWidth="1"/>
    <col min="11" max="16384" width="9.00390625" style="97"/>
  </cols>
  <sheetData>
    <row r="1" spans="1:9" ht="26.25" x14ac:dyDescent="0.1">
      <c r="A1" s="408" t="s">
        <v>5374</v>
      </c>
    </row>
    <row r="2" spans="1:9" ht="15" x14ac:dyDescent="0.2">
      <c r="C2" s="409"/>
      <c r="D2" s="410" t="s">
        <v>4727</v>
      </c>
      <c r="E2" s="411"/>
      <c r="F2" s="412" t="s">
        <v>4290</v>
      </c>
      <c r="H2" s="97" t="s">
        <v>5375</v>
      </c>
    </row>
    <row r="3" spans="1:9" s="321" customFormat="1" ht="15" x14ac:dyDescent="0.1">
      <c r="A3" s="413" t="s">
        <v>5376</v>
      </c>
      <c r="B3" s="413" t="s">
        <v>3589</v>
      </c>
      <c r="C3" s="413" t="s">
        <v>5236</v>
      </c>
      <c r="D3" s="413" t="s">
        <v>5377</v>
      </c>
      <c r="E3" s="413" t="s">
        <v>5378</v>
      </c>
      <c r="F3" s="413" t="s">
        <v>3590</v>
      </c>
      <c r="G3" s="413" t="s">
        <v>5379</v>
      </c>
      <c r="H3" s="413" t="s">
        <v>5380</v>
      </c>
      <c r="I3" s="413" t="s">
        <v>5381</v>
      </c>
    </row>
    <row r="4" spans="1:9" s="267" customFormat="1" ht="15" x14ac:dyDescent="0.2">
      <c r="A4" s="414">
        <v>18</v>
      </c>
      <c r="B4" s="410" t="s">
        <v>4383</v>
      </c>
      <c r="C4" s="415" t="s">
        <v>3294</v>
      </c>
      <c r="D4" s="410" t="s">
        <v>5382</v>
      </c>
      <c r="E4" s="410" t="s">
        <v>5383</v>
      </c>
      <c r="F4" s="410" t="s">
        <v>4131</v>
      </c>
      <c r="G4" s="416" t="s">
        <v>4132</v>
      </c>
      <c r="H4" s="417" t="s">
        <v>5384</v>
      </c>
      <c r="I4" s="418"/>
    </row>
    <row r="5" spans="1:9" s="267" customFormat="1" ht="15" x14ac:dyDescent="0.2">
      <c r="A5" s="414">
        <v>19</v>
      </c>
      <c r="B5" s="410" t="s">
        <v>4383</v>
      </c>
      <c r="C5" s="410" t="s">
        <v>3307</v>
      </c>
      <c r="D5" s="410" t="s">
        <v>1473</v>
      </c>
      <c r="E5" s="410" t="s">
        <v>5385</v>
      </c>
      <c r="F5" s="410" t="s">
        <v>4087</v>
      </c>
      <c r="G5" s="416" t="s">
        <v>4133</v>
      </c>
      <c r="H5" s="417" t="s">
        <v>5386</v>
      </c>
      <c r="I5" s="418"/>
    </row>
    <row r="6" spans="1:9" s="267" customFormat="1" ht="15" x14ac:dyDescent="0.2">
      <c r="A6" s="414">
        <v>20</v>
      </c>
      <c r="B6" s="410" t="s">
        <v>4383</v>
      </c>
      <c r="C6" s="419" t="s">
        <v>3318</v>
      </c>
      <c r="D6" s="410"/>
      <c r="E6" s="410" t="s">
        <v>5387</v>
      </c>
      <c r="F6" s="410" t="s">
        <v>5388</v>
      </c>
      <c r="G6" s="416" t="s">
        <v>4135</v>
      </c>
      <c r="H6" s="417"/>
      <c r="I6" s="418"/>
    </row>
    <row r="7" spans="1:9" s="267" customFormat="1" ht="15" x14ac:dyDescent="0.2">
      <c r="A7" s="414">
        <v>22</v>
      </c>
      <c r="B7" s="410" t="s">
        <v>4383</v>
      </c>
      <c r="C7" s="410" t="s">
        <v>3329</v>
      </c>
      <c r="D7" s="410"/>
      <c r="E7" s="410" t="s">
        <v>5389</v>
      </c>
      <c r="F7" s="410" t="s">
        <v>4087</v>
      </c>
      <c r="G7" s="416" t="s">
        <v>4119</v>
      </c>
      <c r="H7" s="420" t="s">
        <v>3525</v>
      </c>
      <c r="I7" s="418"/>
    </row>
    <row r="8" spans="1:9" s="267" customFormat="1" ht="15" x14ac:dyDescent="0.2">
      <c r="A8" s="414">
        <v>23</v>
      </c>
      <c r="B8" s="410" t="s">
        <v>4383</v>
      </c>
      <c r="C8" s="415" t="s">
        <v>3339</v>
      </c>
      <c r="D8" s="410"/>
      <c r="E8" s="410" t="s">
        <v>5390</v>
      </c>
      <c r="F8" s="410" t="s">
        <v>5391</v>
      </c>
      <c r="G8" s="416" t="s">
        <v>4125</v>
      </c>
      <c r="H8" s="417"/>
      <c r="I8" s="418"/>
    </row>
    <row r="9" spans="1:9" s="267" customFormat="1" ht="15" x14ac:dyDescent="0.2">
      <c r="A9" s="414">
        <v>29</v>
      </c>
      <c r="B9" s="410" t="s">
        <v>4383</v>
      </c>
      <c r="C9" s="410" t="s">
        <v>3347</v>
      </c>
      <c r="D9" s="410"/>
      <c r="E9" s="410"/>
      <c r="F9" s="416"/>
      <c r="G9" s="416"/>
      <c r="H9" s="417"/>
      <c r="I9" s="418"/>
    </row>
    <row r="10" spans="1:9" s="267" customFormat="1" ht="15" x14ac:dyDescent="0.2">
      <c r="A10" s="414">
        <v>24</v>
      </c>
      <c r="B10" s="410" t="s">
        <v>4383</v>
      </c>
      <c r="C10" s="419" t="s">
        <v>3357</v>
      </c>
      <c r="D10" s="410"/>
      <c r="E10" s="410"/>
      <c r="F10" s="410" t="s">
        <v>4120</v>
      </c>
      <c r="G10" s="416" t="s">
        <v>4121</v>
      </c>
      <c r="H10" s="417" t="s">
        <v>5392</v>
      </c>
      <c r="I10" s="418"/>
    </row>
    <row r="11" spans="1:9" s="267" customFormat="1" ht="15" x14ac:dyDescent="0.2">
      <c r="A11" s="414">
        <v>25</v>
      </c>
      <c r="B11" s="410" t="s">
        <v>4383</v>
      </c>
      <c r="C11" s="410" t="s">
        <v>3368</v>
      </c>
      <c r="D11" s="410" t="s">
        <v>5393</v>
      </c>
      <c r="E11" s="410" t="s">
        <v>5394</v>
      </c>
      <c r="F11" s="410" t="s">
        <v>4117</v>
      </c>
      <c r="G11" s="416" t="s">
        <v>4118</v>
      </c>
      <c r="H11" s="417" t="s">
        <v>5395</v>
      </c>
      <c r="I11" s="418"/>
    </row>
    <row r="12" spans="1:9" s="267" customFormat="1" ht="15" x14ac:dyDescent="0.2">
      <c r="A12" s="414">
        <v>26</v>
      </c>
      <c r="B12" s="410" t="s">
        <v>4383</v>
      </c>
      <c r="C12" s="415" t="s">
        <v>3374</v>
      </c>
      <c r="D12" s="410" t="s">
        <v>5396</v>
      </c>
      <c r="E12" s="410" t="s">
        <v>5397</v>
      </c>
      <c r="F12" s="410" t="s">
        <v>5398</v>
      </c>
      <c r="G12" s="416" t="s">
        <v>4091</v>
      </c>
      <c r="H12" s="417" t="s">
        <v>5399</v>
      </c>
      <c r="I12" s="418"/>
    </row>
    <row r="13" spans="1:9" s="267" customFormat="1" ht="15" x14ac:dyDescent="0.2">
      <c r="A13" s="414">
        <v>27</v>
      </c>
      <c r="B13" s="410" t="s">
        <v>4383</v>
      </c>
      <c r="C13" s="415" t="s">
        <v>3382</v>
      </c>
      <c r="D13" s="410" t="s">
        <v>5400</v>
      </c>
      <c r="E13" s="410"/>
      <c r="F13" s="410" t="s">
        <v>4128</v>
      </c>
      <c r="G13" s="416" t="s">
        <v>4129</v>
      </c>
      <c r="H13" s="417"/>
      <c r="I13" s="418"/>
    </row>
    <row r="14" spans="1:9" s="267" customFormat="1" ht="15" x14ac:dyDescent="0.2">
      <c r="A14" s="414">
        <v>28</v>
      </c>
      <c r="B14" s="410" t="s">
        <v>4383</v>
      </c>
      <c r="C14" s="410" t="s">
        <v>3392</v>
      </c>
      <c r="D14" s="410"/>
      <c r="E14" s="410"/>
      <c r="F14" s="410"/>
      <c r="G14" s="417"/>
      <c r="H14" s="417"/>
      <c r="I14" s="418" t="s">
        <v>5401</v>
      </c>
    </row>
    <row r="15" spans="1:9" s="267" customFormat="1" ht="15" x14ac:dyDescent="0.2">
      <c r="A15" s="414">
        <v>1</v>
      </c>
      <c r="B15" s="414" t="s">
        <v>4301</v>
      </c>
      <c r="C15" s="419" t="s">
        <v>3401</v>
      </c>
      <c r="D15" s="414" t="s">
        <v>5402</v>
      </c>
      <c r="E15" s="414"/>
      <c r="F15" s="414" t="s">
        <v>4106</v>
      </c>
      <c r="G15" s="421" t="s">
        <v>4107</v>
      </c>
      <c r="H15" s="417"/>
      <c r="I15" s="421"/>
    </row>
    <row r="16" spans="1:9" s="267" customFormat="1" ht="15" x14ac:dyDescent="0.2">
      <c r="A16" s="414">
        <v>2</v>
      </c>
      <c r="B16" s="414" t="s">
        <v>4301</v>
      </c>
      <c r="C16" s="415" t="s">
        <v>3410</v>
      </c>
      <c r="D16" s="414" t="s">
        <v>5403</v>
      </c>
      <c r="E16" s="414" t="s">
        <v>5404</v>
      </c>
      <c r="F16" s="414" t="s">
        <v>4150</v>
      </c>
      <c r="G16" s="421" t="s">
        <v>4151</v>
      </c>
      <c r="H16" s="417" t="s">
        <v>5405</v>
      </c>
      <c r="I16" s="421"/>
    </row>
    <row r="17" spans="1:9" s="267" customFormat="1" ht="15" x14ac:dyDescent="0.2">
      <c r="A17" s="414">
        <v>3</v>
      </c>
      <c r="B17" s="414" t="s">
        <v>4301</v>
      </c>
      <c r="C17" s="419" t="s">
        <v>3420</v>
      </c>
      <c r="D17" s="414" t="s">
        <v>5406</v>
      </c>
      <c r="E17" s="414" t="s">
        <v>5407</v>
      </c>
      <c r="F17" s="414" t="s">
        <v>4145</v>
      </c>
      <c r="G17" s="421" t="s">
        <v>5408</v>
      </c>
      <c r="H17" s="417"/>
      <c r="I17" s="421"/>
    </row>
    <row r="18" spans="1:9" s="267" customFormat="1" ht="15" x14ac:dyDescent="0.2">
      <c r="A18" s="414">
        <v>4</v>
      </c>
      <c r="B18" s="414" t="s">
        <v>4301</v>
      </c>
      <c r="C18" s="415" t="s">
        <v>3428</v>
      </c>
      <c r="D18" s="414" t="s">
        <v>5409</v>
      </c>
      <c r="E18" s="414" t="s">
        <v>5410</v>
      </c>
      <c r="F18" s="414" t="s">
        <v>4147</v>
      </c>
      <c r="G18" s="421" t="s">
        <v>4148</v>
      </c>
      <c r="H18" s="417"/>
      <c r="I18" s="421"/>
    </row>
    <row r="19" spans="1:9" s="267" customFormat="1" ht="15" x14ac:dyDescent="0.2">
      <c r="A19" s="414">
        <v>5</v>
      </c>
      <c r="B19" s="414" t="s">
        <v>4301</v>
      </c>
      <c r="C19" s="414" t="s">
        <v>3437</v>
      </c>
      <c r="D19" s="414" t="s">
        <v>5411</v>
      </c>
      <c r="E19" s="414"/>
      <c r="F19" s="422" t="s">
        <v>4093</v>
      </c>
      <c r="G19" s="423" t="s">
        <v>4094</v>
      </c>
      <c r="H19" s="417"/>
      <c r="I19" s="421" t="s">
        <v>5412</v>
      </c>
    </row>
    <row r="20" spans="1:9" s="267" customFormat="1" ht="15" x14ac:dyDescent="0.2">
      <c r="A20" s="414">
        <v>6</v>
      </c>
      <c r="B20" s="414" t="s">
        <v>4301</v>
      </c>
      <c r="C20" s="415" t="s">
        <v>1468</v>
      </c>
      <c r="D20" s="414" t="s">
        <v>5413</v>
      </c>
      <c r="E20" s="414" t="s">
        <v>5414</v>
      </c>
      <c r="F20" s="414"/>
      <c r="G20" s="424"/>
      <c r="H20" s="417"/>
      <c r="I20" s="421"/>
    </row>
    <row r="21" spans="1:9" s="267" customFormat="1" ht="15" x14ac:dyDescent="0.2">
      <c r="A21" s="414">
        <v>7</v>
      </c>
      <c r="B21" s="414" t="s">
        <v>4301</v>
      </c>
      <c r="C21" s="414" t="s">
        <v>1472</v>
      </c>
      <c r="D21" s="414" t="s">
        <v>1473</v>
      </c>
      <c r="E21" s="414"/>
      <c r="F21" s="414"/>
      <c r="G21" s="424"/>
      <c r="H21" s="417"/>
      <c r="I21" s="421"/>
    </row>
    <row r="22" spans="1:9" s="267" customFormat="1" ht="15" x14ac:dyDescent="0.2">
      <c r="A22" s="414">
        <v>8</v>
      </c>
      <c r="B22" s="414" t="s">
        <v>4301</v>
      </c>
      <c r="C22" s="415" t="s">
        <v>1475</v>
      </c>
      <c r="D22" s="414" t="s">
        <v>5415</v>
      </c>
      <c r="E22" s="414" t="s">
        <v>5416</v>
      </c>
      <c r="F22" s="414" t="s">
        <v>4084</v>
      </c>
      <c r="G22" s="421" t="s">
        <v>5417</v>
      </c>
      <c r="H22" s="417"/>
      <c r="I22" s="421"/>
    </row>
    <row r="23" spans="1:9" s="267" customFormat="1" ht="15" x14ac:dyDescent="0.2">
      <c r="A23" s="414">
        <v>9</v>
      </c>
      <c r="B23" s="414" t="s">
        <v>4301</v>
      </c>
      <c r="C23" s="415" t="s">
        <v>3463</v>
      </c>
      <c r="D23" s="414" t="s">
        <v>5418</v>
      </c>
      <c r="E23" s="414" t="s">
        <v>5419</v>
      </c>
      <c r="F23" s="414" t="s">
        <v>5420</v>
      </c>
      <c r="G23" s="421" t="s">
        <v>5421</v>
      </c>
      <c r="H23" s="417"/>
      <c r="I23" s="421"/>
    </row>
    <row r="24" spans="1:9" s="267" customFormat="1" ht="15" x14ac:dyDescent="0.2">
      <c r="A24" s="414">
        <v>10</v>
      </c>
      <c r="B24" s="414" t="s">
        <v>4301</v>
      </c>
      <c r="C24" s="415" t="s">
        <v>1484</v>
      </c>
      <c r="D24" s="414" t="s">
        <v>5422</v>
      </c>
      <c r="E24" s="414"/>
      <c r="F24" s="414"/>
      <c r="G24" s="424"/>
      <c r="H24" s="417"/>
      <c r="I24" s="421" t="s">
        <v>5423</v>
      </c>
    </row>
    <row r="25" spans="1:9" s="267" customFormat="1" ht="15" x14ac:dyDescent="0.2">
      <c r="A25" s="414">
        <v>11</v>
      </c>
      <c r="B25" s="414" t="s">
        <v>4301</v>
      </c>
      <c r="C25" s="415" t="s">
        <v>3475</v>
      </c>
      <c r="D25" s="414" t="s">
        <v>5424</v>
      </c>
      <c r="E25" s="414" t="s">
        <v>5425</v>
      </c>
      <c r="F25" s="414" t="s">
        <v>4111</v>
      </c>
      <c r="G25" s="421" t="s">
        <v>5426</v>
      </c>
      <c r="H25" s="417"/>
      <c r="I25" s="421"/>
    </row>
    <row r="26" spans="1:9" s="267" customFormat="1" ht="15" x14ac:dyDescent="0.2">
      <c r="A26" s="414">
        <v>12</v>
      </c>
      <c r="B26" s="414" t="s">
        <v>4301</v>
      </c>
      <c r="C26" s="415" t="s">
        <v>3481</v>
      </c>
      <c r="D26" s="414" t="s">
        <v>5427</v>
      </c>
      <c r="E26" s="414" t="s">
        <v>5428</v>
      </c>
      <c r="F26" s="414" t="s">
        <v>4109</v>
      </c>
      <c r="G26" s="421" t="s">
        <v>4110</v>
      </c>
      <c r="H26" s="417"/>
      <c r="I26" s="421"/>
    </row>
    <row r="27" spans="1:9" s="267" customFormat="1" ht="15" x14ac:dyDescent="0.2">
      <c r="A27" s="414">
        <v>13</v>
      </c>
      <c r="B27" s="410" t="s">
        <v>4301</v>
      </c>
      <c r="C27" s="415" t="s">
        <v>3489</v>
      </c>
      <c r="D27" s="410" t="s">
        <v>5429</v>
      </c>
      <c r="E27" s="410" t="s">
        <v>5430</v>
      </c>
      <c r="F27" s="410" t="s">
        <v>4099</v>
      </c>
      <c r="G27" s="417" t="s">
        <v>5431</v>
      </c>
      <c r="H27" s="417" t="s">
        <v>5432</v>
      </c>
      <c r="I27" s="421"/>
    </row>
    <row r="28" spans="1:9" s="267" customFormat="1" ht="15" x14ac:dyDescent="0.2">
      <c r="A28" s="414">
        <v>14</v>
      </c>
      <c r="B28" s="410" t="s">
        <v>4301</v>
      </c>
      <c r="C28" s="415" t="s">
        <v>3493</v>
      </c>
      <c r="D28" s="410" t="s">
        <v>5433</v>
      </c>
      <c r="E28" s="410" t="s">
        <v>5434</v>
      </c>
      <c r="F28" s="410" t="s">
        <v>4101</v>
      </c>
      <c r="G28" s="416" t="s">
        <v>4102</v>
      </c>
      <c r="H28" s="417" t="s">
        <v>5435</v>
      </c>
      <c r="I28" s="421" t="s">
        <v>5436</v>
      </c>
    </row>
    <row r="29" spans="1:9" s="267" customFormat="1" ht="15" x14ac:dyDescent="0.2">
      <c r="A29" s="414">
        <v>15</v>
      </c>
      <c r="B29" s="410" t="s">
        <v>4301</v>
      </c>
      <c r="C29" s="415" t="s">
        <v>3488</v>
      </c>
      <c r="D29" s="410" t="s">
        <v>5437</v>
      </c>
      <c r="E29" s="410"/>
      <c r="F29" s="425" t="s">
        <v>4113</v>
      </c>
      <c r="G29" s="426" t="s">
        <v>4114</v>
      </c>
      <c r="H29" s="427" t="s">
        <v>5438</v>
      </c>
      <c r="I29" s="421"/>
    </row>
    <row r="30" spans="1:9" s="267" customFormat="1" ht="15" x14ac:dyDescent="0.2">
      <c r="A30" s="414">
        <v>16</v>
      </c>
      <c r="B30" s="410" t="s">
        <v>4301</v>
      </c>
      <c r="C30" s="410" t="s">
        <v>3505</v>
      </c>
      <c r="D30" s="410" t="s">
        <v>5439</v>
      </c>
      <c r="E30" s="410" t="s">
        <v>5440</v>
      </c>
      <c r="F30" s="410" t="s">
        <v>4104</v>
      </c>
      <c r="G30" s="416" t="s">
        <v>4105</v>
      </c>
      <c r="H30" s="417" t="s">
        <v>5441</v>
      </c>
      <c r="I30" s="421"/>
    </row>
    <row r="31" spans="1:9" s="267" customFormat="1" ht="15" x14ac:dyDescent="0.2">
      <c r="A31" s="414">
        <v>17</v>
      </c>
      <c r="B31" s="410" t="s">
        <v>4301</v>
      </c>
      <c r="C31" s="415" t="s">
        <v>3512</v>
      </c>
      <c r="D31" s="410"/>
      <c r="E31" s="410" t="s">
        <v>5442</v>
      </c>
      <c r="F31" s="410" t="s">
        <v>5443</v>
      </c>
      <c r="G31" s="416" t="s">
        <v>5444</v>
      </c>
      <c r="H31" s="417" t="s">
        <v>3503</v>
      </c>
      <c r="I31" s="421"/>
    </row>
    <row r="32" spans="1:9" ht="14.25" customHeight="1" x14ac:dyDescent="0.1">
      <c r="B32" s="387"/>
    </row>
    <row r="33" spans="2:4" s="267" customFormat="1" ht="15" x14ac:dyDescent="0.2">
      <c r="B33" s="293"/>
      <c r="C33" s="428"/>
      <c r="D33" s="429" t="s">
        <v>5445</v>
      </c>
    </row>
    <row r="34" spans="2:4" s="267" customFormat="1" ht="15" x14ac:dyDescent="0.2">
      <c r="D34" s="430" t="s">
        <v>5446</v>
      </c>
    </row>
    <row r="35" spans="2:4" s="267" customFormat="1" ht="15" x14ac:dyDescent="0.1">
      <c r="D35" s="267" t="s">
        <v>5447</v>
      </c>
    </row>
    <row r="36" spans="2:4" s="267" customFormat="1" ht="15" x14ac:dyDescent="0.1">
      <c r="D36" s="267" t="s">
        <v>5448</v>
      </c>
    </row>
    <row r="37" spans="2:4" s="267" customFormat="1" ht="15" x14ac:dyDescent="0.1">
      <c r="D37" s="293" t="s">
        <v>5449</v>
      </c>
    </row>
    <row r="38" spans="2:4" s="267" customFormat="1" ht="15" x14ac:dyDescent="0.1">
      <c r="D38" s="293"/>
    </row>
    <row r="39" spans="2:4" s="267" customFormat="1" ht="15" x14ac:dyDescent="0.1">
      <c r="D39" s="293"/>
    </row>
    <row r="40" spans="2:4" s="267" customFormat="1" ht="15" x14ac:dyDescent="0.1">
      <c r="D40" s="293"/>
    </row>
    <row r="41" spans="2:4" x14ac:dyDescent="0.1">
      <c r="D41" s="387"/>
    </row>
    <row r="42" spans="2:4" x14ac:dyDescent="0.1">
      <c r="D42" s="387"/>
    </row>
    <row r="43" spans="2:4" x14ac:dyDescent="0.1">
      <c r="D43" s="387"/>
    </row>
  </sheetData>
  <phoneticPr fontId="1" type="noConversion"/>
  <hyperlinks>
    <hyperlink ref="H29" r:id="rId1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D102"/>
  <sheetViews>
    <sheetView topLeftCell="A10" workbookViewId="0">
      <selection activeCell="D25" sqref="D25"/>
    </sheetView>
  </sheetViews>
  <sheetFormatPr defaultColWidth="9.00390625" defaultRowHeight="14.25" x14ac:dyDescent="0.1"/>
  <cols>
    <col min="1" max="1" width="9.00390625" style="249" customWidth="1"/>
    <col min="2" max="16384" width="9.00390625" style="249"/>
  </cols>
  <sheetData>
    <row r="2" spans="2:4" x14ac:dyDescent="0.1">
      <c r="B2" s="249" t="s">
        <v>3245</v>
      </c>
      <c r="D2" s="249" t="s">
        <v>5450</v>
      </c>
    </row>
    <row r="3" spans="2:4" x14ac:dyDescent="0.1">
      <c r="B3" s="249" t="s">
        <v>2509</v>
      </c>
      <c r="D3" s="249" t="s">
        <v>5451</v>
      </c>
    </row>
    <row r="4" spans="2:4" x14ac:dyDescent="0.1">
      <c r="B4" s="249" t="s">
        <v>652</v>
      </c>
      <c r="C4" s="249" t="s">
        <v>651</v>
      </c>
      <c r="D4" s="249" t="s">
        <v>5452</v>
      </c>
    </row>
    <row r="5" spans="2:4" x14ac:dyDescent="0.1">
      <c r="B5" s="249" t="s">
        <v>3266</v>
      </c>
      <c r="D5" s="249" t="s">
        <v>5453</v>
      </c>
    </row>
    <row r="6" spans="2:4" x14ac:dyDescent="0.1">
      <c r="B6" s="249" t="s">
        <v>3277</v>
      </c>
      <c r="D6" s="249" t="s">
        <v>3781</v>
      </c>
    </row>
    <row r="7" spans="2:4" x14ac:dyDescent="0.1">
      <c r="B7" s="249" t="s">
        <v>2513</v>
      </c>
      <c r="D7" s="249" t="s">
        <v>5454</v>
      </c>
    </row>
    <row r="8" spans="2:4" x14ac:dyDescent="0.1">
      <c r="B8" s="249" t="s">
        <v>2515</v>
      </c>
      <c r="C8" s="249" t="s">
        <v>651</v>
      </c>
      <c r="D8" s="249" t="s">
        <v>5455</v>
      </c>
    </row>
    <row r="9" spans="2:4" x14ac:dyDescent="0.1">
      <c r="B9" s="249" t="s">
        <v>3301</v>
      </c>
      <c r="D9" s="249" t="s">
        <v>5456</v>
      </c>
    </row>
    <row r="10" spans="2:4" x14ac:dyDescent="0.1">
      <c r="B10" s="249" t="s">
        <v>3312</v>
      </c>
      <c r="D10" s="249" t="s">
        <v>3783</v>
      </c>
    </row>
    <row r="11" spans="2:4" x14ac:dyDescent="0.1">
      <c r="B11" s="249" t="s">
        <v>3322</v>
      </c>
      <c r="D11" s="249" t="s">
        <v>5457</v>
      </c>
    </row>
    <row r="12" spans="2:4" x14ac:dyDescent="0.1">
      <c r="B12" s="249" t="s">
        <v>3333</v>
      </c>
      <c r="D12" s="249" t="s">
        <v>5458</v>
      </c>
    </row>
    <row r="13" spans="2:4" x14ac:dyDescent="0.1">
      <c r="B13" s="249" t="s">
        <v>3342</v>
      </c>
      <c r="D13" s="249" t="s">
        <v>5459</v>
      </c>
    </row>
    <row r="14" spans="2:4" x14ac:dyDescent="0.1">
      <c r="B14" s="249" t="s">
        <v>655</v>
      </c>
      <c r="C14" s="249" t="s">
        <v>651</v>
      </c>
      <c r="D14" s="249" t="s">
        <v>5460</v>
      </c>
    </row>
    <row r="15" spans="2:4" x14ac:dyDescent="0.1">
      <c r="B15" s="249" t="s">
        <v>3361</v>
      </c>
      <c r="D15" s="249" t="s">
        <v>5461</v>
      </c>
    </row>
    <row r="16" spans="2:4" x14ac:dyDescent="0.1">
      <c r="B16" s="249" t="s">
        <v>660</v>
      </c>
      <c r="C16" s="249" t="s">
        <v>651</v>
      </c>
      <c r="D16" s="249" t="s">
        <v>3686</v>
      </c>
    </row>
    <row r="17" spans="2:4" x14ac:dyDescent="0.1">
      <c r="B17" s="249" t="s">
        <v>3369</v>
      </c>
      <c r="D17" s="249" t="s">
        <v>5462</v>
      </c>
    </row>
    <row r="18" spans="2:4" x14ac:dyDescent="0.1">
      <c r="B18" s="249" t="s">
        <v>662</v>
      </c>
      <c r="C18" s="249" t="s">
        <v>651</v>
      </c>
      <c r="D18" s="249" t="s">
        <v>5463</v>
      </c>
    </row>
    <row r="19" spans="2:4" x14ac:dyDescent="0.1">
      <c r="B19" s="249" t="s">
        <v>3384</v>
      </c>
      <c r="D19" s="249" t="s">
        <v>5464</v>
      </c>
    </row>
    <row r="20" spans="2:4" x14ac:dyDescent="0.1">
      <c r="B20" s="249" t="s">
        <v>3394</v>
      </c>
      <c r="D20" s="249" t="s">
        <v>5465</v>
      </c>
    </row>
    <row r="21" spans="2:4" x14ac:dyDescent="0.1">
      <c r="B21" s="249" t="s">
        <v>2536</v>
      </c>
      <c r="D21" s="249" t="s">
        <v>5466</v>
      </c>
    </row>
    <row r="22" spans="2:4" x14ac:dyDescent="0.1">
      <c r="B22" s="249" t="s">
        <v>2543</v>
      </c>
      <c r="D22" s="249" t="s">
        <v>3787</v>
      </c>
    </row>
    <row r="23" spans="2:4" x14ac:dyDescent="0.1">
      <c r="B23" s="249" t="s">
        <v>3413</v>
      </c>
      <c r="D23" s="249" t="s">
        <v>5467</v>
      </c>
    </row>
    <row r="24" spans="2:4" x14ac:dyDescent="0.1">
      <c r="B24" s="249" t="s">
        <v>3424</v>
      </c>
      <c r="D24" s="249" t="s">
        <v>5468</v>
      </c>
    </row>
    <row r="25" spans="2:4" x14ac:dyDescent="0.1">
      <c r="B25" s="249" t="s">
        <v>3432</v>
      </c>
      <c r="D25" s="249" t="s">
        <v>4246</v>
      </c>
    </row>
    <row r="26" spans="2:4" x14ac:dyDescent="0.1">
      <c r="B26" s="249" t="s">
        <v>3441</v>
      </c>
      <c r="D26" s="249" t="s">
        <v>5469</v>
      </c>
    </row>
    <row r="27" spans="2:4" x14ac:dyDescent="0.1">
      <c r="B27" s="249" t="s">
        <v>1302</v>
      </c>
      <c r="D27" s="249" t="s">
        <v>3789</v>
      </c>
    </row>
    <row r="28" spans="2:4" x14ac:dyDescent="0.1">
      <c r="B28" s="249" t="s">
        <v>665</v>
      </c>
      <c r="C28" s="249" t="s">
        <v>651</v>
      </c>
      <c r="D28" s="249" t="s">
        <v>5470</v>
      </c>
    </row>
    <row r="29" spans="2:4" x14ac:dyDescent="0.1">
      <c r="B29" s="249" t="s">
        <v>667</v>
      </c>
      <c r="C29" s="249" t="s">
        <v>651</v>
      </c>
      <c r="D29" s="249" t="s">
        <v>5471</v>
      </c>
    </row>
    <row r="30" spans="2:4" x14ac:dyDescent="0.1">
      <c r="B30" s="249" t="s">
        <v>3453</v>
      </c>
      <c r="D30" s="249" t="s">
        <v>3790</v>
      </c>
    </row>
    <row r="31" spans="2:4" x14ac:dyDescent="0.1">
      <c r="B31" s="249" t="s">
        <v>3460</v>
      </c>
      <c r="D31" s="249" t="s">
        <v>5472</v>
      </c>
    </row>
    <row r="32" spans="2:4" x14ac:dyDescent="0.1">
      <c r="B32" s="249" t="s">
        <v>3466</v>
      </c>
      <c r="D32" s="249" t="s">
        <v>5473</v>
      </c>
    </row>
    <row r="33" spans="2:4" x14ac:dyDescent="0.1">
      <c r="B33" s="249" t="s">
        <v>670</v>
      </c>
      <c r="D33" s="249" t="s">
        <v>5474</v>
      </c>
    </row>
    <row r="34" spans="2:4" x14ac:dyDescent="0.1">
      <c r="B34" s="249" t="s">
        <v>2553</v>
      </c>
      <c r="C34" s="249" t="s">
        <v>651</v>
      </c>
      <c r="D34" s="249" t="s">
        <v>5475</v>
      </c>
    </row>
    <row r="35" spans="2:4" x14ac:dyDescent="0.1">
      <c r="B35" s="249" t="s">
        <v>2557</v>
      </c>
      <c r="D35" s="249" t="s">
        <v>5476</v>
      </c>
    </row>
    <row r="36" spans="2:4" x14ac:dyDescent="0.1">
      <c r="B36" s="249" t="s">
        <v>2562</v>
      </c>
      <c r="D36" s="249" t="s">
        <v>3795</v>
      </c>
    </row>
    <row r="37" spans="2:4" x14ac:dyDescent="0.1">
      <c r="B37" s="249" t="s">
        <v>20</v>
      </c>
      <c r="D37" s="249" t="s">
        <v>5477</v>
      </c>
    </row>
    <row r="38" spans="2:4" x14ac:dyDescent="0.1">
      <c r="B38" s="249" t="s">
        <v>3491</v>
      </c>
      <c r="D38" s="249" t="s">
        <v>5478</v>
      </c>
    </row>
    <row r="39" spans="2:4" x14ac:dyDescent="0.1">
      <c r="B39" s="249" t="s">
        <v>3496</v>
      </c>
      <c r="D39" s="249" t="s">
        <v>5479</v>
      </c>
    </row>
    <row r="40" spans="2:4" x14ac:dyDescent="0.1">
      <c r="B40" s="249" t="s">
        <v>3501</v>
      </c>
      <c r="D40" s="249" t="s">
        <v>3798</v>
      </c>
    </row>
    <row r="41" spans="2:4" x14ac:dyDescent="0.1">
      <c r="B41" s="249" t="s">
        <v>2865</v>
      </c>
      <c r="D41" s="249" t="s">
        <v>5480</v>
      </c>
    </row>
    <row r="42" spans="2:4" x14ac:dyDescent="0.1">
      <c r="B42" s="249" t="s">
        <v>2573</v>
      </c>
      <c r="D42" s="249" t="s">
        <v>5481</v>
      </c>
    </row>
    <row r="43" spans="2:4" x14ac:dyDescent="0.1">
      <c r="B43" s="249" t="s">
        <v>672</v>
      </c>
      <c r="C43" s="249" t="s">
        <v>651</v>
      </c>
      <c r="D43" s="249" t="s">
        <v>5482</v>
      </c>
    </row>
    <row r="44" spans="2:4" x14ac:dyDescent="0.1">
      <c r="B44" s="249" t="s">
        <v>3519</v>
      </c>
      <c r="D44" s="249" t="s">
        <v>3801</v>
      </c>
    </row>
    <row r="45" spans="2:4" x14ac:dyDescent="0.1">
      <c r="B45" s="249" t="s">
        <v>3524</v>
      </c>
      <c r="D45" s="249" t="s">
        <v>5483</v>
      </c>
    </row>
    <row r="46" spans="2:4" x14ac:dyDescent="0.1">
      <c r="B46" s="249" t="s">
        <v>3527</v>
      </c>
      <c r="D46" s="249" t="s">
        <v>5484</v>
      </c>
    </row>
    <row r="47" spans="2:4" x14ac:dyDescent="0.1">
      <c r="B47" s="249" t="s">
        <v>2578</v>
      </c>
      <c r="D47" s="249" t="s">
        <v>3803</v>
      </c>
    </row>
    <row r="48" spans="2:4" x14ac:dyDescent="0.1">
      <c r="B48" s="249" t="s">
        <v>2959</v>
      </c>
      <c r="D48" s="249" t="s">
        <v>5485</v>
      </c>
    </row>
    <row r="49" spans="2:4" x14ac:dyDescent="0.1">
      <c r="B49" s="249" t="s">
        <v>3539</v>
      </c>
      <c r="D49" s="249" t="s">
        <v>5486</v>
      </c>
    </row>
    <row r="50" spans="2:4" x14ac:dyDescent="0.1">
      <c r="B50" s="249" t="s">
        <v>3542</v>
      </c>
      <c r="D50" s="249" t="s">
        <v>3805</v>
      </c>
    </row>
    <row r="51" spans="2:4" x14ac:dyDescent="0.1">
      <c r="B51" s="249" t="s">
        <v>674</v>
      </c>
      <c r="C51" s="249" t="s">
        <v>651</v>
      </c>
      <c r="D51" s="249" t="s">
        <v>5487</v>
      </c>
    </row>
    <row r="52" spans="2:4" x14ac:dyDescent="0.1">
      <c r="B52" s="249" t="s">
        <v>2581</v>
      </c>
      <c r="D52" s="249" t="s">
        <v>5488</v>
      </c>
    </row>
    <row r="53" spans="2:4" x14ac:dyDescent="0.1">
      <c r="B53" s="249" t="s">
        <v>2871</v>
      </c>
      <c r="D53" s="249" t="s">
        <v>3808</v>
      </c>
    </row>
    <row r="54" spans="2:4" x14ac:dyDescent="0.1">
      <c r="B54" s="249" t="s">
        <v>2583</v>
      </c>
      <c r="D54" s="249" t="s">
        <v>3810</v>
      </c>
    </row>
    <row r="55" spans="2:4" x14ac:dyDescent="0.1">
      <c r="B55" s="249" t="s">
        <v>3296</v>
      </c>
      <c r="D55" s="249" t="s">
        <v>5489</v>
      </c>
    </row>
    <row r="56" spans="2:4" x14ac:dyDescent="0.1">
      <c r="B56" s="249" t="s">
        <v>2587</v>
      </c>
      <c r="D56" s="249" t="s">
        <v>3813</v>
      </c>
    </row>
    <row r="57" spans="2:4" x14ac:dyDescent="0.1">
      <c r="B57" s="249" t="s">
        <v>2589</v>
      </c>
      <c r="C57" s="249" t="s">
        <v>651</v>
      </c>
      <c r="D57" s="249" t="s">
        <v>5490</v>
      </c>
    </row>
    <row r="58" spans="2:4" x14ac:dyDescent="0.1">
      <c r="B58" s="249" t="s">
        <v>3555</v>
      </c>
      <c r="D58" s="249" t="s">
        <v>5491</v>
      </c>
    </row>
    <row r="59" spans="2:4" x14ac:dyDescent="0.1">
      <c r="B59" s="249" t="s">
        <v>3558</v>
      </c>
      <c r="D59" s="249" t="s">
        <v>5492</v>
      </c>
    </row>
    <row r="60" spans="2:4" x14ac:dyDescent="0.1">
      <c r="B60" s="249" t="s">
        <v>2593</v>
      </c>
      <c r="C60" s="249" t="s">
        <v>651</v>
      </c>
      <c r="D60" s="249" t="s">
        <v>3814</v>
      </c>
    </row>
    <row r="61" spans="2:4" x14ac:dyDescent="0.1">
      <c r="B61" s="249" t="s">
        <v>1744</v>
      </c>
      <c r="D61" s="249" t="s">
        <v>3816</v>
      </c>
    </row>
    <row r="62" spans="2:4" x14ac:dyDescent="0.1">
      <c r="B62" s="249" t="s">
        <v>3563</v>
      </c>
      <c r="D62" s="249" t="s">
        <v>5493</v>
      </c>
    </row>
    <row r="63" spans="2:4" x14ac:dyDescent="0.1">
      <c r="B63" s="249" t="s">
        <v>2605</v>
      </c>
      <c r="D63" s="249" t="s">
        <v>3818</v>
      </c>
    </row>
    <row r="64" spans="2:4" x14ac:dyDescent="0.1">
      <c r="B64" s="249" t="s">
        <v>676</v>
      </c>
      <c r="C64" s="249" t="s">
        <v>651</v>
      </c>
      <c r="D64" s="249" t="s">
        <v>5494</v>
      </c>
    </row>
    <row r="65" spans="2:4" x14ac:dyDescent="0.1">
      <c r="B65" s="249" t="s">
        <v>2612</v>
      </c>
      <c r="C65" s="249" t="s">
        <v>651</v>
      </c>
      <c r="D65" s="249" t="s">
        <v>5495</v>
      </c>
    </row>
    <row r="66" spans="2:4" x14ac:dyDescent="0.1">
      <c r="B66" s="249" t="s">
        <v>3566</v>
      </c>
      <c r="D66" s="249" t="s">
        <v>5496</v>
      </c>
    </row>
    <row r="67" spans="2:4" x14ac:dyDescent="0.1">
      <c r="B67" s="249" t="s">
        <v>2616</v>
      </c>
      <c r="C67" s="249" t="s">
        <v>651</v>
      </c>
      <c r="D67" s="249" t="s">
        <v>5497</v>
      </c>
    </row>
    <row r="68" spans="2:4" x14ac:dyDescent="0.1">
      <c r="B68" s="249" t="s">
        <v>2619</v>
      </c>
      <c r="D68" s="249" t="s">
        <v>3820</v>
      </c>
    </row>
    <row r="69" spans="2:4" x14ac:dyDescent="0.1">
      <c r="B69" s="249" t="s">
        <v>32</v>
      </c>
      <c r="D69" s="249" t="s">
        <v>3822</v>
      </c>
    </row>
    <row r="70" spans="2:4" x14ac:dyDescent="0.1">
      <c r="B70" s="249" t="s">
        <v>34</v>
      </c>
      <c r="D70" s="249" t="s">
        <v>5498</v>
      </c>
    </row>
    <row r="71" spans="2:4" x14ac:dyDescent="0.1">
      <c r="B71" s="249" t="s">
        <v>2621</v>
      </c>
      <c r="D71" s="249" t="s">
        <v>5499</v>
      </c>
    </row>
    <row r="72" spans="2:4" x14ac:dyDescent="0.1">
      <c r="B72" s="249" t="s">
        <v>2332</v>
      </c>
      <c r="D72" s="249" t="s">
        <v>5500</v>
      </c>
    </row>
    <row r="73" spans="2:4" x14ac:dyDescent="0.1">
      <c r="B73" s="249" t="s">
        <v>3364</v>
      </c>
      <c r="D73" s="249" t="s">
        <v>5501</v>
      </c>
    </row>
    <row r="74" spans="2:4" x14ac:dyDescent="0.1">
      <c r="B74" s="249" t="s">
        <v>3572</v>
      </c>
      <c r="C74" s="249" t="s">
        <v>651</v>
      </c>
      <c r="D74" s="249" t="s">
        <v>5502</v>
      </c>
    </row>
    <row r="75" spans="2:4" x14ac:dyDescent="0.1">
      <c r="B75" s="249" t="s">
        <v>2899</v>
      </c>
      <c r="D75" s="249" t="s">
        <v>3824</v>
      </c>
    </row>
    <row r="76" spans="2:4" x14ac:dyDescent="0.1">
      <c r="B76" s="249" t="s">
        <v>3575</v>
      </c>
      <c r="D76" s="249" t="s">
        <v>5503</v>
      </c>
    </row>
    <row r="77" spans="2:4" x14ac:dyDescent="0.1">
      <c r="B77" s="249" t="s">
        <v>3576</v>
      </c>
      <c r="D77" s="249" t="s">
        <v>3825</v>
      </c>
    </row>
    <row r="78" spans="2:4" x14ac:dyDescent="0.1">
      <c r="B78" s="249" t="s">
        <v>2378</v>
      </c>
      <c r="D78" s="249" t="s">
        <v>3827</v>
      </c>
    </row>
    <row r="79" spans="2:4" x14ac:dyDescent="0.1">
      <c r="B79" s="249" t="s">
        <v>2628</v>
      </c>
      <c r="D79" s="249" t="s">
        <v>3829</v>
      </c>
    </row>
    <row r="80" spans="2:4" x14ac:dyDescent="0.1">
      <c r="B80" s="249" t="s">
        <v>2905</v>
      </c>
      <c r="D80" s="249" t="s">
        <v>5504</v>
      </c>
    </row>
    <row r="81" spans="2:4" x14ac:dyDescent="0.1">
      <c r="B81" s="249" t="s">
        <v>1923</v>
      </c>
      <c r="D81" s="249" t="s">
        <v>5505</v>
      </c>
    </row>
    <row r="82" spans="2:4" x14ac:dyDescent="0.1">
      <c r="B82" s="249" t="s">
        <v>3577</v>
      </c>
      <c r="D82" s="249" t="s">
        <v>3831</v>
      </c>
    </row>
    <row r="83" spans="2:4" x14ac:dyDescent="0.1">
      <c r="B83" s="249" t="s">
        <v>3578</v>
      </c>
      <c r="D83" s="249" t="s">
        <v>5506</v>
      </c>
    </row>
    <row r="84" spans="2:4" x14ac:dyDescent="0.1">
      <c r="B84" s="249" t="s">
        <v>3382</v>
      </c>
      <c r="D84" s="249" t="s">
        <v>3833</v>
      </c>
    </row>
    <row r="85" spans="2:4" x14ac:dyDescent="0.1">
      <c r="B85" s="249" t="s">
        <v>3579</v>
      </c>
      <c r="D85" s="249" t="s">
        <v>5507</v>
      </c>
    </row>
    <row r="86" spans="2:4" x14ac:dyDescent="0.1">
      <c r="B86" s="249" t="s">
        <v>2655</v>
      </c>
      <c r="D86" s="249" t="s">
        <v>5508</v>
      </c>
    </row>
    <row r="87" spans="2:4" x14ac:dyDescent="0.1">
      <c r="B87" s="249" t="s">
        <v>3580</v>
      </c>
      <c r="D87" s="249" t="s">
        <v>5509</v>
      </c>
    </row>
    <row r="88" spans="2:4" x14ac:dyDescent="0.1">
      <c r="B88" s="249" t="s">
        <v>684</v>
      </c>
      <c r="D88" s="249" t="s">
        <v>3837</v>
      </c>
    </row>
    <row r="89" spans="2:4" x14ac:dyDescent="0.1">
      <c r="B89" s="249" t="s">
        <v>2664</v>
      </c>
      <c r="D89" s="249" t="s">
        <v>3839</v>
      </c>
    </row>
    <row r="90" spans="2:4" x14ac:dyDescent="0.1">
      <c r="B90" s="249" t="s">
        <v>687</v>
      </c>
      <c r="C90" s="249" t="s">
        <v>651</v>
      </c>
    </row>
    <row r="91" spans="2:4" x14ac:dyDescent="0.1">
      <c r="B91" s="249" t="s">
        <v>2668</v>
      </c>
      <c r="D91" s="249" t="s">
        <v>3841</v>
      </c>
    </row>
    <row r="92" spans="2:4" x14ac:dyDescent="0.1">
      <c r="B92" s="249" t="s">
        <v>3581</v>
      </c>
      <c r="D92" s="249" t="s">
        <v>5510</v>
      </c>
    </row>
    <row r="93" spans="2:4" x14ac:dyDescent="0.1">
      <c r="B93" s="249" t="s">
        <v>3582</v>
      </c>
      <c r="D93" s="249" t="s">
        <v>5511</v>
      </c>
    </row>
    <row r="94" spans="2:4" x14ac:dyDescent="0.1">
      <c r="B94" s="249" t="s">
        <v>3583</v>
      </c>
      <c r="D94" s="249" t="s">
        <v>5512</v>
      </c>
    </row>
    <row r="95" spans="2:4" x14ac:dyDescent="0.1">
      <c r="B95" s="249" t="s">
        <v>2687</v>
      </c>
      <c r="D95" s="249" t="s">
        <v>5513</v>
      </c>
    </row>
    <row r="96" spans="2:4" x14ac:dyDescent="0.1">
      <c r="B96" s="249" t="s">
        <v>2692</v>
      </c>
      <c r="C96" s="249" t="s">
        <v>651</v>
      </c>
      <c r="D96" s="249" t="s">
        <v>5514</v>
      </c>
    </row>
    <row r="97" spans="2:4" x14ac:dyDescent="0.1">
      <c r="B97" s="249" t="s">
        <v>2695</v>
      </c>
      <c r="D97" s="249" t="s">
        <v>5515</v>
      </c>
    </row>
    <row r="98" spans="2:4" x14ac:dyDescent="0.1">
      <c r="B98" s="249" t="s">
        <v>690</v>
      </c>
      <c r="C98" s="249" t="s">
        <v>651</v>
      </c>
      <c r="D98" s="249" t="s">
        <v>5516</v>
      </c>
    </row>
    <row r="99" spans="2:4" x14ac:dyDescent="0.1">
      <c r="B99" s="249" t="s">
        <v>3584</v>
      </c>
      <c r="D99" s="249" t="s">
        <v>3843</v>
      </c>
    </row>
    <row r="100" spans="2:4" x14ac:dyDescent="0.1">
      <c r="B100" s="249" t="s">
        <v>2494</v>
      </c>
      <c r="D100" s="249" t="s">
        <v>3845</v>
      </c>
    </row>
    <row r="101" spans="2:4" x14ac:dyDescent="0.1">
      <c r="B101" s="249" t="s">
        <v>2700</v>
      </c>
      <c r="D101" s="249" t="s">
        <v>4019</v>
      </c>
    </row>
    <row r="102" spans="2:4" x14ac:dyDescent="0.1">
      <c r="B102" s="249" t="s">
        <v>3585</v>
      </c>
      <c r="D102" s="249" t="s">
        <v>5517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J36"/>
  <sheetViews>
    <sheetView workbookViewId="0">
      <selection activeCell="H15" sqref="H15"/>
    </sheetView>
  </sheetViews>
  <sheetFormatPr defaultColWidth="9.00390625" defaultRowHeight="10.5" x14ac:dyDescent="0.1"/>
  <cols>
    <col min="1" max="1" width="3.97265625" style="502" customWidth="1"/>
    <col min="2" max="2" width="14.03125" style="502" customWidth="1"/>
    <col min="3" max="3" width="16.01953125" style="502" hidden="1" customWidth="1"/>
    <col min="4" max="4" width="30.98828125" style="502" customWidth="1"/>
    <col min="5" max="5" width="16.95703125" style="503" hidden="1" customWidth="1"/>
    <col min="6" max="6" width="3.0390625" style="504" hidden="1" customWidth="1"/>
    <col min="7" max="7" width="32.04296875" style="503" customWidth="1"/>
    <col min="8" max="8" width="65.01953125" style="503" customWidth="1"/>
    <col min="9" max="9" width="30.98828125" style="502" customWidth="1"/>
    <col min="10" max="10" width="18.0078125" style="502" customWidth="1"/>
    <col min="11" max="11" width="9.00390625" style="502" customWidth="1"/>
    <col min="12" max="16384" width="9.00390625" style="502"/>
  </cols>
  <sheetData>
    <row r="2" spans="1:10" s="441" customFormat="1" ht="24.75" customHeight="1" x14ac:dyDescent="0.3">
      <c r="A2" s="760" t="s">
        <v>5518</v>
      </c>
      <c r="B2" s="760"/>
      <c r="C2" s="760"/>
      <c r="D2" s="760"/>
      <c r="E2" s="760"/>
      <c r="F2" s="760"/>
      <c r="G2" s="760"/>
      <c r="H2" s="440"/>
    </row>
    <row r="3" spans="1:10" s="443" customFormat="1" ht="20.25" customHeight="1" x14ac:dyDescent="0.1">
      <c r="A3" s="442"/>
      <c r="B3" s="442"/>
      <c r="C3" s="442"/>
      <c r="D3" s="442"/>
      <c r="E3" s="442"/>
      <c r="F3" s="442"/>
      <c r="G3" s="442"/>
      <c r="H3" s="442"/>
    </row>
    <row r="4" spans="1:10" s="452" customFormat="1" ht="27" customHeight="1" x14ac:dyDescent="0.25">
      <c r="A4" s="444" t="s">
        <v>3589</v>
      </c>
      <c r="B4" s="445" t="s">
        <v>5519</v>
      </c>
      <c r="C4" s="446" t="s">
        <v>5520</v>
      </c>
      <c r="D4" s="446" t="s">
        <v>5521</v>
      </c>
      <c r="E4" s="447" t="s">
        <v>5522</v>
      </c>
      <c r="F4" s="448" t="s">
        <v>5523</v>
      </c>
      <c r="G4" s="449" t="s">
        <v>265</v>
      </c>
      <c r="H4" s="449" t="s">
        <v>3591</v>
      </c>
      <c r="I4" s="450" t="s">
        <v>4729</v>
      </c>
      <c r="J4" s="451"/>
    </row>
    <row r="5" spans="1:10" s="459" customFormat="1" ht="40.5" customHeight="1" x14ac:dyDescent="0.25">
      <c r="A5" s="453">
        <v>1</v>
      </c>
      <c r="B5" s="454" t="s">
        <v>3324</v>
      </c>
      <c r="C5" s="455"/>
      <c r="D5" s="456" t="s">
        <v>5524</v>
      </c>
      <c r="E5" s="455"/>
      <c r="F5" s="457"/>
      <c r="G5" s="458" t="s">
        <v>5525</v>
      </c>
      <c r="H5" s="434" t="s">
        <v>5526</v>
      </c>
      <c r="I5" s="456"/>
    </row>
    <row r="6" spans="1:10" s="459" customFormat="1" ht="19.5" customHeight="1" x14ac:dyDescent="0.25">
      <c r="A6" s="460">
        <v>2</v>
      </c>
      <c r="B6" s="461" t="s">
        <v>1538</v>
      </c>
      <c r="C6" s="462"/>
      <c r="D6" s="463" t="s">
        <v>4885</v>
      </c>
      <c r="E6" s="463"/>
      <c r="F6" s="464"/>
      <c r="G6" s="465" t="s">
        <v>5527</v>
      </c>
      <c r="H6" s="466"/>
      <c r="I6" s="462"/>
    </row>
    <row r="7" spans="1:10" s="459" customFormat="1" ht="30.75" customHeight="1" x14ac:dyDescent="0.25">
      <c r="A7" s="460">
        <v>3</v>
      </c>
      <c r="B7" s="467" t="s">
        <v>433</v>
      </c>
      <c r="C7" s="462"/>
      <c r="D7" s="462" t="s">
        <v>2522</v>
      </c>
      <c r="E7" s="463"/>
      <c r="F7" s="464"/>
      <c r="G7" s="468" t="s">
        <v>5528</v>
      </c>
      <c r="H7" s="435" t="s">
        <v>5529</v>
      </c>
      <c r="I7" s="462"/>
    </row>
    <row r="8" spans="1:10" s="459" customFormat="1" ht="18.75" customHeight="1" x14ac:dyDescent="0.25">
      <c r="A8" s="453">
        <v>4</v>
      </c>
      <c r="B8" s="461" t="s">
        <v>5</v>
      </c>
      <c r="C8" s="462"/>
      <c r="D8" s="462" t="s">
        <v>658</v>
      </c>
      <c r="E8" s="463"/>
      <c r="F8" s="464"/>
      <c r="G8" s="465" t="s">
        <v>142</v>
      </c>
      <c r="H8" s="466"/>
      <c r="I8" s="462"/>
    </row>
    <row r="9" spans="1:10" s="459" customFormat="1" ht="18.75" customHeight="1" x14ac:dyDescent="0.25">
      <c r="A9" s="460">
        <v>5</v>
      </c>
      <c r="B9" s="467" t="s">
        <v>1479</v>
      </c>
      <c r="C9" s="462"/>
      <c r="D9" s="469" t="s">
        <v>5530</v>
      </c>
      <c r="E9" s="470"/>
      <c r="F9" s="470"/>
      <c r="G9" s="471" t="s">
        <v>644</v>
      </c>
      <c r="H9" s="472"/>
      <c r="I9" s="462"/>
    </row>
    <row r="10" spans="1:10" s="459" customFormat="1" ht="18.75" customHeight="1" x14ac:dyDescent="0.25">
      <c r="A10" s="460">
        <v>6</v>
      </c>
      <c r="B10" s="461" t="s">
        <v>3335</v>
      </c>
      <c r="C10" s="462"/>
      <c r="D10" s="462" t="s">
        <v>5531</v>
      </c>
      <c r="E10" s="463"/>
      <c r="F10" s="464"/>
      <c r="G10" s="473" t="s">
        <v>5532</v>
      </c>
      <c r="H10" s="474"/>
      <c r="I10" s="462"/>
    </row>
    <row r="11" spans="1:10" s="459" customFormat="1" ht="18.75" customHeight="1" x14ac:dyDescent="0.25">
      <c r="A11" s="453">
        <v>7</v>
      </c>
      <c r="B11" s="461" t="s">
        <v>2551</v>
      </c>
      <c r="C11" s="462"/>
      <c r="D11" s="475"/>
      <c r="E11" s="470"/>
      <c r="F11" s="476"/>
      <c r="G11" s="477"/>
      <c r="H11" s="478"/>
      <c r="I11" s="462" t="s">
        <v>5533</v>
      </c>
    </row>
    <row r="12" spans="1:10" s="459" customFormat="1" ht="39.75" customHeight="1" x14ac:dyDescent="0.25">
      <c r="A12" s="460">
        <v>8</v>
      </c>
      <c r="B12" s="461" t="s">
        <v>3302</v>
      </c>
      <c r="C12" s="462"/>
      <c r="D12" s="462" t="s">
        <v>5534</v>
      </c>
      <c r="E12" s="463"/>
      <c r="F12" s="464"/>
      <c r="G12" s="479" t="s">
        <v>5535</v>
      </c>
      <c r="H12" s="435" t="s">
        <v>5536</v>
      </c>
      <c r="I12" s="462"/>
    </row>
    <row r="13" spans="1:10" s="459" customFormat="1" ht="33" customHeight="1" x14ac:dyDescent="0.25">
      <c r="A13" s="460">
        <v>9</v>
      </c>
      <c r="B13" s="461" t="s">
        <v>3313</v>
      </c>
      <c r="C13" s="462"/>
      <c r="D13" s="480" t="s">
        <v>5537</v>
      </c>
      <c r="E13" s="463"/>
      <c r="F13" s="464"/>
      <c r="G13" s="468" t="s">
        <v>5538</v>
      </c>
      <c r="H13" s="435" t="s">
        <v>4012</v>
      </c>
      <c r="I13" s="462"/>
    </row>
    <row r="14" spans="1:10" s="459" customFormat="1" ht="18.75" customHeight="1" x14ac:dyDescent="0.25">
      <c r="A14" s="453">
        <v>10</v>
      </c>
      <c r="B14" s="461" t="s">
        <v>2882</v>
      </c>
      <c r="C14" s="462"/>
      <c r="D14" s="462" t="s">
        <v>5539</v>
      </c>
      <c r="E14" s="463"/>
      <c r="F14" s="464"/>
      <c r="G14" s="465" t="s">
        <v>2883</v>
      </c>
      <c r="H14" s="466"/>
      <c r="I14" s="462" t="s">
        <v>5540</v>
      </c>
    </row>
    <row r="15" spans="1:10" s="459" customFormat="1" ht="18.75" customHeight="1" x14ac:dyDescent="0.25">
      <c r="A15" s="460">
        <v>11</v>
      </c>
      <c r="B15" s="461" t="s">
        <v>3352</v>
      </c>
      <c r="C15" s="462"/>
      <c r="D15" s="481" t="s">
        <v>5541</v>
      </c>
      <c r="E15" s="462"/>
      <c r="F15" s="482"/>
      <c r="G15" s="483" t="s">
        <v>5542</v>
      </c>
      <c r="H15" s="436" t="s">
        <v>5543</v>
      </c>
      <c r="I15" s="462" t="s">
        <v>3624</v>
      </c>
    </row>
    <row r="16" spans="1:10" s="459" customFormat="1" ht="18.75" customHeight="1" x14ac:dyDescent="0.25">
      <c r="A16" s="460">
        <v>12</v>
      </c>
      <c r="B16" s="461" t="s">
        <v>3364</v>
      </c>
      <c r="C16" s="462"/>
      <c r="D16" s="462" t="s">
        <v>5544</v>
      </c>
      <c r="E16" s="463"/>
      <c r="F16" s="464"/>
      <c r="G16" s="479" t="s">
        <v>5545</v>
      </c>
      <c r="H16" s="437" t="s">
        <v>5546</v>
      </c>
      <c r="I16" s="462" t="s">
        <v>5547</v>
      </c>
    </row>
    <row r="17" spans="1:9" s="459" customFormat="1" ht="18.75" customHeight="1" x14ac:dyDescent="0.25">
      <c r="A17" s="453">
        <v>13</v>
      </c>
      <c r="B17" s="461" t="s">
        <v>3267</v>
      </c>
      <c r="C17" s="462"/>
      <c r="D17" s="462" t="s">
        <v>5548</v>
      </c>
      <c r="E17" s="463"/>
      <c r="F17" s="464"/>
      <c r="G17" s="479" t="s">
        <v>3624</v>
      </c>
      <c r="H17" s="437" t="s">
        <v>4008</v>
      </c>
      <c r="I17" s="462" t="s">
        <v>3624</v>
      </c>
    </row>
    <row r="18" spans="1:9" s="459" customFormat="1" ht="41.25" customHeight="1" x14ac:dyDescent="0.25">
      <c r="A18" s="460">
        <v>14</v>
      </c>
      <c r="B18" s="461" t="s">
        <v>36</v>
      </c>
      <c r="C18" s="462"/>
      <c r="D18" s="462" t="s">
        <v>5549</v>
      </c>
      <c r="E18" s="463"/>
      <c r="F18" s="464"/>
      <c r="G18" s="479" t="s">
        <v>5550</v>
      </c>
      <c r="H18" s="435" t="s">
        <v>5551</v>
      </c>
      <c r="I18" s="462"/>
    </row>
    <row r="19" spans="1:9" s="459" customFormat="1" ht="29.25" customHeight="1" x14ac:dyDescent="0.25">
      <c r="A19" s="460">
        <v>15</v>
      </c>
      <c r="B19" s="461" t="s">
        <v>2700</v>
      </c>
      <c r="C19" s="462"/>
      <c r="D19" s="462" t="s">
        <v>5552</v>
      </c>
      <c r="E19" s="463"/>
      <c r="F19" s="464"/>
      <c r="G19" s="479" t="s">
        <v>5553</v>
      </c>
      <c r="H19" s="437" t="s">
        <v>5554</v>
      </c>
      <c r="I19" s="462" t="s">
        <v>3624</v>
      </c>
    </row>
    <row r="20" spans="1:9" s="490" customFormat="1" ht="18.75" customHeight="1" x14ac:dyDescent="0.1">
      <c r="A20" s="484"/>
      <c r="B20" s="485"/>
      <c r="C20" s="486"/>
      <c r="D20" s="486"/>
      <c r="E20" s="486"/>
      <c r="F20" s="487"/>
      <c r="G20" s="488"/>
      <c r="H20" s="489"/>
    </row>
    <row r="21" spans="1:9" s="490" customFormat="1" ht="18.75" customHeight="1" x14ac:dyDescent="0.1">
      <c r="A21" s="491"/>
      <c r="B21" s="492"/>
      <c r="C21" s="493"/>
      <c r="D21" s="493"/>
      <c r="E21" s="494"/>
      <c r="F21" s="494"/>
      <c r="G21" s="489"/>
      <c r="H21" s="489"/>
      <c r="I21" s="495"/>
    </row>
    <row r="22" spans="1:9" s="490" customFormat="1" ht="18.75" customHeight="1" x14ac:dyDescent="0.1">
      <c r="A22" s="491"/>
      <c r="B22" s="492"/>
      <c r="C22" s="493"/>
      <c r="D22" s="493"/>
      <c r="E22" s="494"/>
      <c r="F22" s="496"/>
      <c r="G22" s="489"/>
      <c r="H22" s="489"/>
    </row>
    <row r="23" spans="1:9" s="490" customFormat="1" ht="18.75" customHeight="1" x14ac:dyDescent="0.1">
      <c r="A23" s="491"/>
      <c r="B23" s="492"/>
      <c r="C23" s="493"/>
      <c r="D23" s="493"/>
      <c r="E23" s="493"/>
      <c r="F23" s="496"/>
      <c r="G23" s="489"/>
      <c r="H23" s="489"/>
    </row>
    <row r="24" spans="1:9" s="490" customFormat="1" ht="18.75" customHeight="1" x14ac:dyDescent="0.1">
      <c r="A24" s="491"/>
      <c r="B24" s="492"/>
      <c r="C24" s="493"/>
      <c r="D24" s="493"/>
      <c r="E24" s="494"/>
      <c r="F24" s="496"/>
      <c r="G24" s="493"/>
      <c r="H24" s="493"/>
    </row>
    <row r="25" spans="1:9" s="490" customFormat="1" ht="18.75" customHeight="1" x14ac:dyDescent="0.1">
      <c r="A25" s="491"/>
      <c r="B25" s="492"/>
      <c r="C25" s="493"/>
      <c r="D25" s="493"/>
      <c r="E25" s="494"/>
      <c r="F25" s="496"/>
      <c r="G25" s="493"/>
      <c r="H25" s="493"/>
    </row>
    <row r="26" spans="1:9" s="490" customFormat="1" ht="18.75" customHeight="1" x14ac:dyDescent="0.1">
      <c r="A26" s="491"/>
      <c r="B26" s="492"/>
      <c r="C26" s="493"/>
      <c r="D26" s="493"/>
      <c r="E26" s="494"/>
      <c r="F26" s="496"/>
      <c r="G26" s="493"/>
      <c r="H26" s="493"/>
    </row>
    <row r="27" spans="1:9" s="490" customFormat="1" ht="18.75" customHeight="1" x14ac:dyDescent="0.1">
      <c r="A27" s="491"/>
      <c r="B27" s="492"/>
      <c r="C27" s="493"/>
      <c r="D27" s="493"/>
      <c r="E27" s="494"/>
      <c r="F27" s="493"/>
      <c r="G27" s="497"/>
      <c r="H27" s="497"/>
    </row>
    <row r="28" spans="1:9" s="490" customFormat="1" ht="18.75" customHeight="1" x14ac:dyDescent="0.1">
      <c r="A28" s="491"/>
      <c r="B28" s="492"/>
      <c r="C28" s="493"/>
      <c r="D28" s="493"/>
      <c r="E28" s="494"/>
      <c r="F28" s="494"/>
      <c r="G28" s="489"/>
      <c r="H28" s="489"/>
    </row>
    <row r="29" spans="1:9" s="490" customFormat="1" ht="18.75" customHeight="1" x14ac:dyDescent="0.1">
      <c r="A29" s="491"/>
      <c r="B29" s="492"/>
      <c r="C29" s="493"/>
      <c r="D29" s="493"/>
      <c r="E29" s="494"/>
      <c r="F29" s="494"/>
      <c r="G29" s="497"/>
      <c r="H29" s="497"/>
    </row>
    <row r="30" spans="1:9" s="490" customFormat="1" ht="18.75" customHeight="1" x14ac:dyDescent="0.1">
      <c r="A30" s="491"/>
      <c r="B30" s="492"/>
      <c r="C30" s="493"/>
      <c r="D30" s="493"/>
      <c r="E30" s="494"/>
      <c r="F30" s="496"/>
      <c r="G30" s="493"/>
      <c r="H30" s="493"/>
    </row>
    <row r="31" spans="1:9" s="490" customFormat="1" ht="18.75" customHeight="1" x14ac:dyDescent="0.1">
      <c r="A31" s="491"/>
      <c r="B31" s="492"/>
      <c r="C31" s="493"/>
      <c r="D31" s="494"/>
      <c r="E31" s="493"/>
      <c r="F31" s="496"/>
      <c r="G31" s="498"/>
      <c r="H31" s="498"/>
    </row>
    <row r="32" spans="1:9" s="490" customFormat="1" ht="18.75" customHeight="1" x14ac:dyDescent="0.1">
      <c r="A32" s="491"/>
      <c r="B32" s="492"/>
      <c r="C32" s="493"/>
      <c r="D32" s="493"/>
      <c r="E32" s="494"/>
      <c r="F32" s="496"/>
      <c r="G32" s="489"/>
      <c r="H32" s="489"/>
    </row>
    <row r="33" spans="1:8" s="490" customFormat="1" ht="18.75" customHeight="1" x14ac:dyDescent="0.1">
      <c r="A33" s="491"/>
      <c r="B33" s="492"/>
      <c r="C33" s="493"/>
      <c r="D33" s="493"/>
      <c r="E33" s="494"/>
      <c r="F33" s="496"/>
      <c r="G33" s="497"/>
      <c r="H33" s="497"/>
    </row>
    <row r="34" spans="1:8" s="490" customFormat="1" ht="18.75" customHeight="1" x14ac:dyDescent="0.1">
      <c r="A34" s="491"/>
      <c r="B34" s="492"/>
      <c r="C34" s="494"/>
      <c r="D34" s="493"/>
      <c r="E34" s="494"/>
      <c r="F34" s="496"/>
      <c r="G34" s="499"/>
      <c r="H34" s="499"/>
    </row>
    <row r="35" spans="1:8" s="490" customFormat="1" x14ac:dyDescent="0.1">
      <c r="A35" s="491"/>
      <c r="B35" s="492"/>
      <c r="C35" s="494"/>
      <c r="D35" s="493"/>
      <c r="E35" s="494"/>
      <c r="F35" s="496"/>
      <c r="G35" s="493"/>
      <c r="H35" s="493"/>
    </row>
    <row r="36" spans="1:8" s="490" customFormat="1" x14ac:dyDescent="0.1">
      <c r="E36" s="500"/>
      <c r="F36" s="501"/>
      <c r="G36" s="500"/>
      <c r="H36" s="500"/>
    </row>
  </sheetData>
  <mergeCells count="1">
    <mergeCell ref="A2:G2"/>
  </mergeCells>
  <phoneticPr fontId="1" type="noConversion"/>
  <hyperlinks>
    <hyperlink ref="G7" r:id="rId1" xr:uid="{00000000-0004-0000-1100-000000000000}"/>
    <hyperlink ref="G6" r:id="rId2" xr:uid="{00000000-0004-0000-1100-000001000000}"/>
    <hyperlink ref="G18" r:id="rId3" xr:uid="{00000000-0004-0000-1100-000002000000}"/>
    <hyperlink ref="G13" r:id="rId4" xr:uid="{00000000-0004-0000-1100-000003000000}"/>
    <hyperlink ref="G5" r:id="rId5" xr:uid="{00000000-0004-0000-1100-000004000000}"/>
    <hyperlink ref="G8" r:id="rId6" xr:uid="{00000000-0004-0000-1100-000005000000}"/>
    <hyperlink ref="G9" r:id="rId7" xr:uid="{00000000-0004-0000-1100-000006000000}"/>
    <hyperlink ref="G10" r:id="rId8" xr:uid="{00000000-0004-0000-1100-000007000000}"/>
    <hyperlink ref="G16" r:id="rId9" xr:uid="{00000000-0004-0000-1100-000008000000}"/>
    <hyperlink ref="G19" r:id="rId10" xr:uid="{00000000-0004-0000-1100-000009000000}"/>
    <hyperlink ref="G12" r:id="rId11" xr:uid="{00000000-0004-0000-1100-00000A000000}"/>
    <hyperlink ref="G15" r:id="rId12" xr:uid="{00000000-0004-0000-1100-00000B000000}"/>
    <hyperlink ref="G14" r:id="rId13" xr:uid="{00000000-0004-0000-1100-00000C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232"/>
  <sheetViews>
    <sheetView topLeftCell="A160" workbookViewId="0">
      <selection activeCell="C216" sqref="C216:C217"/>
    </sheetView>
  </sheetViews>
  <sheetFormatPr defaultRowHeight="13.5" x14ac:dyDescent="0.1"/>
  <cols>
    <col min="2" max="2" width="19.99609375" customWidth="1"/>
    <col min="3" max="3" width="32.04296875" customWidth="1"/>
    <col min="4" max="4" width="21.046875" customWidth="1"/>
    <col min="5" max="5" width="12.98046875" customWidth="1"/>
    <col min="6" max="6" width="14.96875" customWidth="1"/>
    <col min="7" max="7" width="12.04296875" customWidth="1"/>
    <col min="8" max="8" width="14.03125" customWidth="1"/>
    <col min="9" max="9" width="16.01953125" customWidth="1"/>
  </cols>
  <sheetData>
    <row r="1" spans="2:6" ht="42.75" x14ac:dyDescent="0.75">
      <c r="B1" s="603" t="s">
        <v>5555</v>
      </c>
    </row>
    <row r="2" spans="2:6" ht="24.75" x14ac:dyDescent="0.4">
      <c r="B2" s="604">
        <v>2012.11</v>
      </c>
    </row>
    <row r="3" spans="2:6" ht="18.75" x14ac:dyDescent="0.15">
      <c r="B3" s="829" t="s">
        <v>5556</v>
      </c>
      <c r="C3" s="776"/>
      <c r="D3" s="776"/>
      <c r="E3" s="776"/>
      <c r="F3" s="776"/>
    </row>
    <row r="4" spans="2:6" ht="18.75" x14ac:dyDescent="0.15">
      <c r="B4" s="830" t="s">
        <v>5557</v>
      </c>
      <c r="C4" s="776"/>
      <c r="D4" s="776"/>
      <c r="E4" s="776"/>
      <c r="F4" s="776"/>
    </row>
    <row r="5" spans="2:6" ht="18.75" x14ac:dyDescent="0.15">
      <c r="B5" s="829" t="s">
        <v>5558</v>
      </c>
      <c r="C5" s="776"/>
      <c r="D5" s="776"/>
      <c r="E5" s="776"/>
      <c r="F5" s="776"/>
    </row>
    <row r="6" spans="2:6" ht="24.75" x14ac:dyDescent="0.35">
      <c r="B6" s="818" t="s">
        <v>5559</v>
      </c>
      <c r="C6" s="776"/>
      <c r="D6" s="776"/>
      <c r="E6" s="776"/>
      <c r="F6" s="776"/>
    </row>
    <row r="7" spans="2:6" x14ac:dyDescent="0.15">
      <c r="B7" s="813" t="s">
        <v>5560</v>
      </c>
      <c r="C7" s="776"/>
      <c r="D7" s="776"/>
      <c r="E7" s="776"/>
      <c r="F7" s="776"/>
    </row>
    <row r="8" spans="2:6" x14ac:dyDescent="0.15">
      <c r="B8" s="813" t="s">
        <v>5561</v>
      </c>
      <c r="C8" s="776"/>
      <c r="D8" s="776"/>
      <c r="E8" s="776"/>
      <c r="F8" s="776"/>
    </row>
    <row r="9" spans="2:6" x14ac:dyDescent="0.2">
      <c r="B9" s="828" t="s">
        <v>5562</v>
      </c>
      <c r="C9" s="776"/>
      <c r="D9" s="776"/>
      <c r="E9" s="776"/>
      <c r="F9" s="776"/>
    </row>
    <row r="10" spans="2:6" x14ac:dyDescent="0.15">
      <c r="B10" s="813" t="s">
        <v>5563</v>
      </c>
      <c r="C10" s="776"/>
      <c r="D10" s="776"/>
      <c r="E10" s="776"/>
      <c r="F10" s="776"/>
    </row>
    <row r="11" spans="2:6" x14ac:dyDescent="0.15">
      <c r="B11" s="813" t="s">
        <v>5564</v>
      </c>
      <c r="C11" s="776"/>
      <c r="D11" s="776"/>
      <c r="E11" s="776"/>
      <c r="F11" s="776"/>
    </row>
    <row r="12" spans="2:6" x14ac:dyDescent="0.15">
      <c r="B12" s="813" t="s">
        <v>5565</v>
      </c>
      <c r="C12" s="776"/>
      <c r="D12" s="776"/>
      <c r="E12" s="776"/>
      <c r="F12" s="776"/>
    </row>
    <row r="13" spans="2:6" x14ac:dyDescent="0.2">
      <c r="B13" s="814" t="s">
        <v>1532</v>
      </c>
      <c r="C13" s="776"/>
      <c r="D13" s="776"/>
      <c r="E13" s="776"/>
      <c r="F13" s="776"/>
    </row>
    <row r="14" spans="2:6" ht="24.75" x14ac:dyDescent="0.35">
      <c r="B14" s="818" t="s">
        <v>5566</v>
      </c>
      <c r="C14" s="776"/>
      <c r="D14" s="776"/>
      <c r="E14" s="776"/>
      <c r="F14" s="776"/>
    </row>
    <row r="15" spans="2:6" x14ac:dyDescent="0.15">
      <c r="B15" s="813" t="s">
        <v>5567</v>
      </c>
      <c r="C15" s="776"/>
      <c r="D15" s="776"/>
      <c r="E15" s="776"/>
      <c r="F15" s="776"/>
    </row>
    <row r="16" spans="2:6" x14ac:dyDescent="0.2">
      <c r="B16" s="819" t="s">
        <v>1470</v>
      </c>
      <c r="C16" s="776"/>
      <c r="D16" s="776"/>
      <c r="E16" s="776"/>
      <c r="F16" s="776"/>
    </row>
    <row r="17" spans="2:6" x14ac:dyDescent="0.2">
      <c r="B17" s="828" t="s">
        <v>5568</v>
      </c>
      <c r="C17" s="776"/>
      <c r="D17" s="776"/>
      <c r="E17" s="776"/>
      <c r="F17" s="776"/>
    </row>
    <row r="18" spans="2:6" x14ac:dyDescent="0.15">
      <c r="B18" s="813" t="s">
        <v>5569</v>
      </c>
      <c r="C18" s="776"/>
      <c r="D18" s="776"/>
      <c r="E18" s="776"/>
      <c r="F18" s="776"/>
    </row>
    <row r="19" spans="2:6" x14ac:dyDescent="0.15">
      <c r="B19" s="813" t="s">
        <v>5570</v>
      </c>
      <c r="C19" s="776"/>
      <c r="D19" s="776"/>
      <c r="E19" s="776"/>
      <c r="F19" s="776"/>
    </row>
    <row r="20" spans="2:6" x14ac:dyDescent="0.15">
      <c r="B20" s="813" t="s">
        <v>5571</v>
      </c>
      <c r="C20" s="776"/>
      <c r="D20" s="776"/>
      <c r="E20" s="776"/>
      <c r="F20" s="776"/>
    </row>
    <row r="21" spans="2:6" x14ac:dyDescent="0.2">
      <c r="B21" s="814" t="s">
        <v>5572</v>
      </c>
      <c r="C21" s="776"/>
      <c r="D21" s="776"/>
      <c r="E21" s="776"/>
      <c r="F21" s="776"/>
    </row>
    <row r="22" spans="2:6" ht="24.75" x14ac:dyDescent="0.35">
      <c r="B22" s="818" t="s">
        <v>5573</v>
      </c>
      <c r="C22" s="776"/>
      <c r="D22" s="776"/>
      <c r="E22" s="776"/>
      <c r="F22" s="776"/>
    </row>
    <row r="23" spans="2:6" x14ac:dyDescent="0.15">
      <c r="B23" s="813" t="s">
        <v>5574</v>
      </c>
      <c r="C23" s="776"/>
      <c r="D23" s="776"/>
      <c r="E23" s="776"/>
      <c r="F23" s="776"/>
    </row>
    <row r="24" spans="2:6" x14ac:dyDescent="0.2">
      <c r="B24" s="819" t="s">
        <v>1477</v>
      </c>
      <c r="C24" s="776"/>
      <c r="D24" s="776"/>
      <c r="E24" s="776"/>
      <c r="F24" s="776"/>
    </row>
    <row r="25" spans="2:6" x14ac:dyDescent="0.2">
      <c r="B25" s="819" t="s">
        <v>5575</v>
      </c>
      <c r="C25" s="776"/>
      <c r="D25" s="776"/>
      <c r="E25" s="776"/>
      <c r="F25" s="776"/>
    </row>
    <row r="26" spans="2:6" x14ac:dyDescent="0.15">
      <c r="B26" s="813" t="s">
        <v>5576</v>
      </c>
      <c r="C26" s="776"/>
      <c r="D26" s="776"/>
      <c r="E26" s="776"/>
      <c r="F26" s="776"/>
    </row>
    <row r="27" spans="2:6" x14ac:dyDescent="0.15">
      <c r="B27" s="813" t="s">
        <v>5577</v>
      </c>
      <c r="C27" s="776"/>
      <c r="D27" s="776"/>
      <c r="E27" s="776"/>
      <c r="F27" s="776"/>
    </row>
    <row r="28" spans="2:6" x14ac:dyDescent="0.15">
      <c r="B28" s="813" t="s">
        <v>5578</v>
      </c>
      <c r="C28" s="776"/>
      <c r="D28" s="776"/>
      <c r="E28" s="776"/>
      <c r="F28" s="776"/>
    </row>
    <row r="29" spans="2:6" x14ac:dyDescent="0.2">
      <c r="B29" s="814" t="s">
        <v>5579</v>
      </c>
      <c r="C29" s="776"/>
      <c r="D29" s="776"/>
      <c r="E29" s="776"/>
      <c r="F29" s="776"/>
    </row>
    <row r="30" spans="2:6" ht="24.75" x14ac:dyDescent="0.35">
      <c r="B30" s="818" t="s">
        <v>5580</v>
      </c>
      <c r="C30" s="776"/>
      <c r="D30" s="776"/>
      <c r="E30" s="776"/>
      <c r="F30" s="776"/>
    </row>
    <row r="31" spans="2:6" x14ac:dyDescent="0.2">
      <c r="B31" s="814" t="s">
        <v>5581</v>
      </c>
      <c r="C31" s="776"/>
      <c r="D31" s="776"/>
      <c r="E31" s="776"/>
      <c r="F31" s="776"/>
    </row>
    <row r="32" spans="2:6" x14ac:dyDescent="0.15">
      <c r="B32" s="813" t="s">
        <v>5582</v>
      </c>
      <c r="C32" s="776"/>
      <c r="D32" s="776"/>
      <c r="E32" s="776"/>
      <c r="F32" s="776"/>
    </row>
    <row r="33" spans="2:6" x14ac:dyDescent="0.15">
      <c r="B33" s="813" t="s">
        <v>5583</v>
      </c>
      <c r="C33" s="776"/>
      <c r="D33" s="776"/>
      <c r="E33" s="776"/>
      <c r="F33" s="776"/>
    </row>
    <row r="34" spans="2:6" x14ac:dyDescent="0.2">
      <c r="B34" s="828" t="s">
        <v>644</v>
      </c>
      <c r="C34" s="776"/>
      <c r="D34" s="776"/>
      <c r="E34" s="776"/>
      <c r="F34" s="776"/>
    </row>
    <row r="35" spans="2:6" x14ac:dyDescent="0.2">
      <c r="B35" s="814" t="s">
        <v>5584</v>
      </c>
      <c r="C35" s="776"/>
      <c r="D35" s="776"/>
      <c r="E35" s="776"/>
      <c r="F35" s="776"/>
    </row>
    <row r="36" spans="2:6" x14ac:dyDescent="0.15">
      <c r="B36" s="813" t="s">
        <v>5585</v>
      </c>
      <c r="C36" s="776"/>
      <c r="D36" s="776"/>
      <c r="E36" s="776"/>
      <c r="F36" s="776"/>
    </row>
    <row r="37" spans="2:6" x14ac:dyDescent="0.2">
      <c r="B37" s="814" t="s">
        <v>1501</v>
      </c>
      <c r="C37" s="776"/>
      <c r="D37" s="776"/>
      <c r="E37" s="776"/>
      <c r="F37" s="776"/>
    </row>
    <row r="38" spans="2:6" x14ac:dyDescent="0.15">
      <c r="B38" s="813" t="s">
        <v>541</v>
      </c>
      <c r="C38" s="776"/>
      <c r="D38" s="776"/>
      <c r="E38" s="776"/>
      <c r="F38" s="776"/>
    </row>
    <row r="39" spans="2:6" x14ac:dyDescent="0.2">
      <c r="B39" s="814" t="s">
        <v>5586</v>
      </c>
      <c r="C39" s="776"/>
      <c r="D39" s="776"/>
      <c r="E39" s="776"/>
      <c r="F39" s="776"/>
    </row>
    <row r="40" spans="2:6" x14ac:dyDescent="0.2">
      <c r="B40" s="814" t="s">
        <v>5587</v>
      </c>
      <c r="C40" s="776"/>
      <c r="D40" s="776"/>
      <c r="E40" s="776"/>
      <c r="F40" s="776"/>
    </row>
    <row r="41" spans="2:6" ht="24.75" x14ac:dyDescent="0.35">
      <c r="B41" s="818" t="s">
        <v>5588</v>
      </c>
      <c r="C41" s="776"/>
      <c r="D41" s="776"/>
      <c r="E41" s="776"/>
      <c r="F41" s="776"/>
    </row>
    <row r="42" spans="2:6" x14ac:dyDescent="0.15">
      <c r="B42" s="813" t="s">
        <v>5589</v>
      </c>
      <c r="C42" s="776"/>
      <c r="D42" s="776"/>
      <c r="E42" s="776"/>
      <c r="F42" s="776"/>
    </row>
    <row r="43" spans="2:6" x14ac:dyDescent="0.2">
      <c r="B43" s="819" t="s">
        <v>5590</v>
      </c>
      <c r="C43" s="776"/>
      <c r="D43" s="776"/>
      <c r="E43" s="776"/>
      <c r="F43" s="776"/>
    </row>
    <row r="44" spans="2:6" x14ac:dyDescent="0.15">
      <c r="B44" s="813" t="s">
        <v>5591</v>
      </c>
      <c r="C44" s="776"/>
      <c r="D44" s="776"/>
      <c r="E44" s="776"/>
      <c r="F44" s="776"/>
    </row>
    <row r="45" spans="2:6" x14ac:dyDescent="0.15">
      <c r="B45" s="813" t="s">
        <v>5592</v>
      </c>
      <c r="C45" s="776"/>
      <c r="D45" s="776"/>
      <c r="E45" s="776"/>
      <c r="F45" s="776"/>
    </row>
    <row r="46" spans="2:6" x14ac:dyDescent="0.15">
      <c r="B46" s="813" t="s">
        <v>5593</v>
      </c>
      <c r="C46" s="776"/>
      <c r="D46" s="776"/>
      <c r="E46" s="776"/>
      <c r="F46" s="776"/>
    </row>
    <row r="47" spans="2:6" x14ac:dyDescent="0.2">
      <c r="B47" s="814" t="s">
        <v>5594</v>
      </c>
      <c r="C47" s="776"/>
      <c r="D47" s="776"/>
      <c r="E47" s="776"/>
      <c r="F47" s="776"/>
    </row>
    <row r="48" spans="2:6" x14ac:dyDescent="0.2">
      <c r="B48" s="814" t="s">
        <v>5595</v>
      </c>
      <c r="C48" s="776"/>
      <c r="D48" s="776"/>
      <c r="E48" s="776"/>
      <c r="F48" s="776"/>
    </row>
    <row r="49" spans="2:6" ht="24.75" x14ac:dyDescent="0.35">
      <c r="B49" s="818" t="s">
        <v>5596</v>
      </c>
      <c r="C49" s="776"/>
      <c r="D49" s="776"/>
      <c r="E49" s="776"/>
      <c r="F49" s="776"/>
    </row>
    <row r="50" spans="2:6" x14ac:dyDescent="0.15">
      <c r="B50" s="813" t="s">
        <v>5597</v>
      </c>
      <c r="C50" s="776"/>
      <c r="D50" s="776"/>
      <c r="E50" s="776"/>
      <c r="F50" s="776"/>
    </row>
    <row r="51" spans="2:6" x14ac:dyDescent="0.2">
      <c r="B51" s="819" t="s">
        <v>5598</v>
      </c>
      <c r="C51" s="776"/>
      <c r="D51" s="776"/>
      <c r="E51" s="776"/>
      <c r="F51" s="776"/>
    </row>
    <row r="52" spans="2:6" x14ac:dyDescent="0.15">
      <c r="B52" s="820" t="s">
        <v>5599</v>
      </c>
      <c r="C52" s="776"/>
      <c r="D52" s="776"/>
      <c r="E52" s="776"/>
      <c r="F52" s="776"/>
    </row>
    <row r="53" spans="2:6" x14ac:dyDescent="0.2">
      <c r="B53" s="817" t="s">
        <v>5600</v>
      </c>
      <c r="C53" s="776"/>
      <c r="D53" s="776"/>
      <c r="E53" s="776"/>
      <c r="F53" s="776"/>
    </row>
    <row r="54" spans="2:6" x14ac:dyDescent="0.2">
      <c r="B54" s="814" t="s">
        <v>1449</v>
      </c>
      <c r="C54" s="776"/>
      <c r="D54" s="776"/>
      <c r="E54" s="776"/>
      <c r="F54" s="776"/>
    </row>
    <row r="55" spans="2:6" x14ac:dyDescent="0.15">
      <c r="B55" s="813" t="s">
        <v>5601</v>
      </c>
      <c r="C55" s="776"/>
      <c r="D55" s="776"/>
      <c r="E55" s="776"/>
      <c r="F55" s="776"/>
    </row>
    <row r="56" spans="2:6" x14ac:dyDescent="0.15">
      <c r="B56" s="824" t="s">
        <v>5602</v>
      </c>
      <c r="C56" s="782"/>
      <c r="D56" s="782"/>
      <c r="E56" s="782"/>
      <c r="F56" s="782"/>
    </row>
    <row r="57" spans="2:6" ht="16.5" x14ac:dyDescent="0.15">
      <c r="B57" s="825" t="s">
        <v>5519</v>
      </c>
      <c r="C57" s="605" t="s">
        <v>5603</v>
      </c>
      <c r="D57" s="607" t="s">
        <v>5604</v>
      </c>
      <c r="E57" s="825" t="s">
        <v>5605</v>
      </c>
      <c r="F57" s="825" t="s">
        <v>5606</v>
      </c>
    </row>
    <row r="58" spans="2:6" ht="21.75" x14ac:dyDescent="0.35">
      <c r="B58" s="826"/>
      <c r="C58" s="606" t="s">
        <v>5557</v>
      </c>
      <c r="D58" s="608" t="s">
        <v>5521</v>
      </c>
      <c r="E58" s="826"/>
      <c r="F58" s="826"/>
    </row>
    <row r="59" spans="2:6" x14ac:dyDescent="0.1">
      <c r="B59" s="827" t="s">
        <v>5607</v>
      </c>
    </row>
    <row r="60" spans="2:6" x14ac:dyDescent="0.1">
      <c r="B60" s="822"/>
      <c r="C60" s="609" t="s">
        <v>5608</v>
      </c>
      <c r="D60" s="815" t="s">
        <v>5609</v>
      </c>
      <c r="E60" s="610" t="s">
        <v>5563</v>
      </c>
      <c r="F60" s="610" t="s">
        <v>5610</v>
      </c>
    </row>
    <row r="61" spans="2:6" x14ac:dyDescent="0.1">
      <c r="B61" s="822"/>
      <c r="C61" s="610" t="s">
        <v>5560</v>
      </c>
      <c r="D61" s="815"/>
      <c r="E61" s="610" t="s">
        <v>5564</v>
      </c>
      <c r="F61" s="609" t="s">
        <v>1532</v>
      </c>
    </row>
    <row r="62" spans="2:6" x14ac:dyDescent="0.15">
      <c r="B62" s="823"/>
      <c r="C62" s="610" t="s">
        <v>5561</v>
      </c>
      <c r="D62" s="816"/>
      <c r="E62" s="610" t="s">
        <v>5611</v>
      </c>
      <c r="F62" s="247"/>
    </row>
    <row r="63" spans="2:6" x14ac:dyDescent="0.15">
      <c r="B63" s="612" t="s">
        <v>4900</v>
      </c>
      <c r="C63" s="611" t="s">
        <v>5562</v>
      </c>
      <c r="E63" s="248"/>
      <c r="F63" s="248"/>
    </row>
    <row r="64" spans="2:6" x14ac:dyDescent="0.1">
      <c r="B64" s="821" t="s">
        <v>5612</v>
      </c>
    </row>
    <row r="65" spans="2:6" x14ac:dyDescent="0.1">
      <c r="B65" s="822"/>
      <c r="C65" s="609" t="s">
        <v>5613</v>
      </c>
      <c r="D65" s="815" t="s">
        <v>5614</v>
      </c>
      <c r="E65" s="610" t="s">
        <v>5569</v>
      </c>
      <c r="F65" s="610" t="s">
        <v>1529</v>
      </c>
    </row>
    <row r="66" spans="2:6" ht="18.75" x14ac:dyDescent="0.1">
      <c r="B66" s="822"/>
      <c r="C66" s="610" t="s">
        <v>5567</v>
      </c>
      <c r="D66" s="815"/>
      <c r="E66" s="610" t="s">
        <v>5570</v>
      </c>
      <c r="F66" s="609" t="s">
        <v>5572</v>
      </c>
    </row>
    <row r="67" spans="2:6" x14ac:dyDescent="0.15">
      <c r="B67" s="823"/>
      <c r="C67" s="613" t="s">
        <v>1470</v>
      </c>
      <c r="D67" s="816"/>
      <c r="E67" s="610" t="s">
        <v>5615</v>
      </c>
      <c r="F67" s="247"/>
    </row>
    <row r="68" spans="2:6" x14ac:dyDescent="0.15">
      <c r="B68" s="612" t="s">
        <v>5413</v>
      </c>
      <c r="C68" s="611" t="s">
        <v>5568</v>
      </c>
      <c r="E68" s="248"/>
      <c r="F68" s="248"/>
    </row>
    <row r="69" spans="2:6" x14ac:dyDescent="0.1">
      <c r="B69" s="821" t="s">
        <v>5616</v>
      </c>
    </row>
    <row r="70" spans="2:6" ht="18.75" x14ac:dyDescent="0.1">
      <c r="B70" s="822"/>
      <c r="C70" s="610" t="s">
        <v>5617</v>
      </c>
      <c r="D70" s="815"/>
      <c r="E70" s="610" t="s">
        <v>5576</v>
      </c>
      <c r="F70" s="610" t="s">
        <v>5618</v>
      </c>
    </row>
    <row r="71" spans="2:6" ht="18.75" x14ac:dyDescent="0.1">
      <c r="B71" s="822"/>
      <c r="C71" s="610" t="s">
        <v>5574</v>
      </c>
      <c r="D71" s="815"/>
      <c r="E71" s="610" t="s">
        <v>5577</v>
      </c>
      <c r="F71" s="609" t="s">
        <v>5579</v>
      </c>
    </row>
    <row r="72" spans="2:6" x14ac:dyDescent="0.15">
      <c r="B72" s="823"/>
      <c r="C72" s="613" t="s">
        <v>1477</v>
      </c>
      <c r="D72" s="816"/>
      <c r="E72" s="610" t="s">
        <v>5619</v>
      </c>
      <c r="F72" s="247"/>
    </row>
    <row r="73" spans="2:6" x14ac:dyDescent="0.15">
      <c r="B73" s="612" t="s">
        <v>5415</v>
      </c>
      <c r="C73" s="614" t="s">
        <v>5575</v>
      </c>
      <c r="E73" s="248"/>
      <c r="F73" s="248"/>
    </row>
    <row r="74" spans="2:6" x14ac:dyDescent="0.1">
      <c r="B74" s="821" t="s">
        <v>5620</v>
      </c>
    </row>
    <row r="75" spans="2:6" ht="18.75" x14ac:dyDescent="0.1">
      <c r="B75" s="822"/>
      <c r="C75" s="610" t="s">
        <v>5621</v>
      </c>
      <c r="D75" s="815" t="s">
        <v>5622</v>
      </c>
      <c r="E75" s="610" t="s">
        <v>5585</v>
      </c>
      <c r="F75" s="610" t="s">
        <v>5623</v>
      </c>
    </row>
    <row r="76" spans="2:6" x14ac:dyDescent="0.2">
      <c r="B76" s="822"/>
      <c r="C76" s="609" t="s">
        <v>5581</v>
      </c>
      <c r="D76" s="815"/>
      <c r="E76" s="609" t="s">
        <v>1501</v>
      </c>
      <c r="F76" s="609" t="s">
        <v>5587</v>
      </c>
    </row>
    <row r="77" spans="2:6" x14ac:dyDescent="0.15">
      <c r="B77" s="822"/>
      <c r="C77" s="610" t="s">
        <v>5582</v>
      </c>
      <c r="D77" s="815"/>
      <c r="E77" s="610" t="s">
        <v>541</v>
      </c>
      <c r="F77" s="247"/>
    </row>
    <row r="78" spans="2:6" x14ac:dyDescent="0.15">
      <c r="B78" s="823"/>
      <c r="C78" s="610" t="s">
        <v>5583</v>
      </c>
      <c r="D78" s="816"/>
      <c r="E78" s="609" t="s">
        <v>5624</v>
      </c>
      <c r="F78" s="247"/>
    </row>
    <row r="79" spans="2:6" x14ac:dyDescent="0.2">
      <c r="B79" s="612" t="s">
        <v>5625</v>
      </c>
      <c r="C79" s="611" t="s">
        <v>644</v>
      </c>
      <c r="E79" s="248"/>
      <c r="F79" s="248"/>
    </row>
    <row r="80" spans="2:6" x14ac:dyDescent="0.1">
      <c r="B80" s="821" t="s">
        <v>5626</v>
      </c>
    </row>
    <row r="81" spans="2:9" ht="18.75" x14ac:dyDescent="0.1">
      <c r="B81" s="822"/>
      <c r="C81" s="610" t="s">
        <v>5627</v>
      </c>
      <c r="D81" s="609" t="s">
        <v>5628</v>
      </c>
      <c r="E81" s="610" t="s">
        <v>5591</v>
      </c>
      <c r="F81" s="610" t="s">
        <v>5629</v>
      </c>
    </row>
    <row r="82" spans="2:9" ht="18.75" x14ac:dyDescent="0.1">
      <c r="B82" s="822"/>
      <c r="C82" s="610" t="s">
        <v>5589</v>
      </c>
      <c r="D82" s="609" t="s">
        <v>5630</v>
      </c>
      <c r="E82" s="610" t="s">
        <v>5592</v>
      </c>
      <c r="F82" s="609" t="s">
        <v>5595</v>
      </c>
    </row>
    <row r="83" spans="2:9" ht="28.5" x14ac:dyDescent="0.15">
      <c r="B83" s="823"/>
      <c r="C83" s="613" t="s">
        <v>5590</v>
      </c>
      <c r="D83" s="248"/>
      <c r="E83" s="610" t="s">
        <v>5593</v>
      </c>
      <c r="F83" s="247"/>
    </row>
    <row r="84" spans="2:9" x14ac:dyDescent="0.15">
      <c r="B84" s="612" t="s">
        <v>5631</v>
      </c>
      <c r="C84" s="248"/>
      <c r="E84" s="615" t="s">
        <v>5632</v>
      </c>
      <c r="F84" s="248"/>
    </row>
    <row r="85" spans="2:9" x14ac:dyDescent="0.1">
      <c r="B85" s="821" t="s">
        <v>5633</v>
      </c>
    </row>
    <row r="86" spans="2:9" ht="57" x14ac:dyDescent="0.1">
      <c r="B86" s="822"/>
      <c r="C86" s="609" t="s">
        <v>5634</v>
      </c>
      <c r="D86" s="815" t="s">
        <v>5635</v>
      </c>
      <c r="E86" s="616" t="s">
        <v>5599</v>
      </c>
      <c r="F86" s="610" t="s">
        <v>5636</v>
      </c>
    </row>
    <row r="87" spans="2:9" ht="18.75" x14ac:dyDescent="0.1">
      <c r="B87" s="822"/>
      <c r="C87" s="610" t="s">
        <v>5597</v>
      </c>
      <c r="D87" s="815"/>
      <c r="E87" s="617" t="s">
        <v>5637</v>
      </c>
      <c r="F87" s="609" t="s">
        <v>1449</v>
      </c>
    </row>
    <row r="88" spans="2:9" x14ac:dyDescent="0.15">
      <c r="B88" s="823"/>
      <c r="C88" s="613" t="s">
        <v>5598</v>
      </c>
      <c r="D88" s="816"/>
      <c r="E88" s="247"/>
      <c r="F88" s="610" t="s">
        <v>5601</v>
      </c>
    </row>
    <row r="89" spans="2:9" x14ac:dyDescent="0.15">
      <c r="B89" s="612" t="s">
        <v>1473</v>
      </c>
      <c r="C89" s="248"/>
      <c r="E89" s="248"/>
      <c r="F89" s="618" t="s">
        <v>5602</v>
      </c>
    </row>
    <row r="90" spans="2:9" ht="35.25" x14ac:dyDescent="0.55000000000000004">
      <c r="B90" s="619"/>
    </row>
    <row r="91" spans="2:9" ht="35.25" x14ac:dyDescent="0.55000000000000004">
      <c r="B91" s="620"/>
    </row>
    <row r="92" spans="2:9" ht="35.25" x14ac:dyDescent="0.55000000000000004">
      <c r="B92" s="620"/>
    </row>
    <row r="93" spans="2:9" ht="35.25" x14ac:dyDescent="0.55000000000000004">
      <c r="B93" s="620" t="s">
        <v>5638</v>
      </c>
    </row>
    <row r="94" spans="2:9" ht="20.25" x14ac:dyDescent="0.3">
      <c r="B94" s="621" t="s">
        <v>5639</v>
      </c>
    </row>
    <row r="95" spans="2:9" x14ac:dyDescent="0.15">
      <c r="B95" s="810" t="s">
        <v>5640</v>
      </c>
      <c r="C95" s="776"/>
      <c r="D95" s="776"/>
      <c r="E95" s="776"/>
      <c r="F95" s="776"/>
      <c r="G95" s="776"/>
      <c r="H95" s="776"/>
      <c r="I95" s="776"/>
    </row>
    <row r="96" spans="2:9" x14ac:dyDescent="0.15">
      <c r="B96" s="775" t="s">
        <v>5641</v>
      </c>
      <c r="C96" s="776"/>
      <c r="D96" s="776"/>
      <c r="E96" s="776"/>
      <c r="F96" s="776"/>
      <c r="G96" s="776"/>
      <c r="H96" s="776"/>
      <c r="I96" s="776"/>
    </row>
    <row r="97" spans="2:9" x14ac:dyDescent="0.15">
      <c r="B97" s="810" t="s">
        <v>5381</v>
      </c>
      <c r="C97" s="776"/>
      <c r="D97" s="776"/>
      <c r="E97" s="776"/>
      <c r="F97" s="776"/>
      <c r="G97" s="776"/>
      <c r="H97" s="776"/>
      <c r="I97" s="776"/>
    </row>
    <row r="98" spans="2:9" x14ac:dyDescent="0.15">
      <c r="B98" s="800" t="s">
        <v>5642</v>
      </c>
      <c r="C98" s="776"/>
      <c r="D98" s="776"/>
      <c r="E98" s="776"/>
      <c r="F98" s="776"/>
      <c r="G98" s="776"/>
      <c r="H98" s="776"/>
      <c r="I98" s="776"/>
    </row>
    <row r="99" spans="2:9" x14ac:dyDescent="0.15">
      <c r="B99" s="800" t="s">
        <v>5643</v>
      </c>
      <c r="C99" s="776"/>
      <c r="D99" s="776"/>
      <c r="E99" s="776"/>
      <c r="F99" s="776"/>
      <c r="G99" s="776"/>
      <c r="H99" s="776"/>
      <c r="I99" s="776"/>
    </row>
    <row r="100" spans="2:9" x14ac:dyDescent="0.15">
      <c r="B100" s="800" t="s">
        <v>5644</v>
      </c>
      <c r="C100" s="776"/>
      <c r="D100" s="776"/>
      <c r="E100" s="776"/>
      <c r="F100" s="776"/>
      <c r="G100" s="776"/>
      <c r="H100" s="776"/>
      <c r="I100" s="776"/>
    </row>
    <row r="101" spans="2:9" x14ac:dyDescent="0.15">
      <c r="B101" s="800" t="s">
        <v>5644</v>
      </c>
      <c r="C101" s="776"/>
      <c r="D101" s="776"/>
      <c r="E101" s="776"/>
      <c r="F101" s="776"/>
      <c r="G101" s="776"/>
      <c r="H101" s="776"/>
      <c r="I101" s="776"/>
    </row>
    <row r="102" spans="2:9" x14ac:dyDescent="0.15">
      <c r="B102" s="800" t="s">
        <v>5645</v>
      </c>
      <c r="C102" s="776"/>
      <c r="D102" s="776"/>
      <c r="E102" s="776"/>
      <c r="F102" s="776"/>
      <c r="G102" s="776"/>
      <c r="H102" s="776"/>
      <c r="I102" s="776"/>
    </row>
    <row r="103" spans="2:9" x14ac:dyDescent="0.15">
      <c r="B103" s="800" t="s">
        <v>5644</v>
      </c>
      <c r="C103" s="776"/>
      <c r="D103" s="776"/>
      <c r="E103" s="776"/>
      <c r="F103" s="776"/>
      <c r="G103" s="776"/>
      <c r="H103" s="776"/>
      <c r="I103" s="776"/>
    </row>
    <row r="104" spans="2:9" x14ac:dyDescent="0.15">
      <c r="B104" s="800" t="s">
        <v>5644</v>
      </c>
      <c r="C104" s="776"/>
      <c r="D104" s="776"/>
      <c r="E104" s="776"/>
      <c r="F104" s="776"/>
      <c r="G104" s="776"/>
      <c r="H104" s="776"/>
      <c r="I104" s="776"/>
    </row>
    <row r="105" spans="2:9" x14ac:dyDescent="0.15">
      <c r="B105" s="800" t="s">
        <v>5644</v>
      </c>
      <c r="C105" s="776"/>
      <c r="D105" s="776"/>
      <c r="E105" s="776"/>
      <c r="F105" s="776"/>
      <c r="G105" s="776"/>
      <c r="H105" s="776"/>
      <c r="I105" s="776"/>
    </row>
    <row r="106" spans="2:9" x14ac:dyDescent="0.15">
      <c r="B106" s="800" t="s">
        <v>5646</v>
      </c>
      <c r="C106" s="776"/>
      <c r="D106" s="776"/>
      <c r="E106" s="776"/>
      <c r="F106" s="776"/>
      <c r="G106" s="776"/>
      <c r="H106" s="776"/>
      <c r="I106" s="776"/>
    </row>
    <row r="107" spans="2:9" x14ac:dyDescent="0.15">
      <c r="B107" s="800" t="s">
        <v>5647</v>
      </c>
      <c r="C107" s="776"/>
      <c r="D107" s="776"/>
      <c r="E107" s="776"/>
      <c r="F107" s="776"/>
      <c r="G107" s="776"/>
      <c r="H107" s="776"/>
      <c r="I107" s="776"/>
    </row>
    <row r="108" spans="2:9" x14ac:dyDescent="0.15">
      <c r="B108" s="800" t="s">
        <v>5646</v>
      </c>
      <c r="C108" s="776"/>
      <c r="D108" s="776"/>
      <c r="E108" s="776"/>
      <c r="F108" s="776"/>
      <c r="G108" s="776"/>
      <c r="H108" s="776"/>
      <c r="I108" s="776"/>
    </row>
    <row r="109" spans="2:9" x14ac:dyDescent="0.15">
      <c r="B109" s="800" t="s">
        <v>5647</v>
      </c>
      <c r="C109" s="776"/>
      <c r="D109" s="776"/>
      <c r="E109" s="776"/>
      <c r="F109" s="776"/>
      <c r="G109" s="776"/>
      <c r="H109" s="776"/>
      <c r="I109" s="776"/>
    </row>
    <row r="110" spans="2:9" x14ac:dyDescent="0.15">
      <c r="B110" s="800" t="s">
        <v>5648</v>
      </c>
      <c r="C110" s="776"/>
      <c r="D110" s="776"/>
      <c r="E110" s="776"/>
      <c r="F110" s="776"/>
      <c r="G110" s="776"/>
      <c r="H110" s="776"/>
      <c r="I110" s="776"/>
    </row>
    <row r="111" spans="2:9" x14ac:dyDescent="0.15">
      <c r="B111" s="800" t="s">
        <v>5649</v>
      </c>
      <c r="C111" s="776"/>
      <c r="D111" s="776"/>
      <c r="E111" s="776"/>
      <c r="F111" s="776"/>
      <c r="G111" s="776"/>
      <c r="H111" s="776"/>
      <c r="I111" s="776"/>
    </row>
    <row r="112" spans="2:9" x14ac:dyDescent="0.15">
      <c r="B112" s="800" t="s">
        <v>5650</v>
      </c>
      <c r="C112" s="776"/>
      <c r="D112" s="776"/>
      <c r="E112" s="776"/>
      <c r="F112" s="776"/>
      <c r="G112" s="776"/>
      <c r="H112" s="776"/>
      <c r="I112" s="776"/>
    </row>
    <row r="113" spans="2:9" x14ac:dyDescent="0.15">
      <c r="B113" s="800" t="s">
        <v>3503</v>
      </c>
      <c r="C113" s="776"/>
      <c r="D113" s="776"/>
      <c r="E113" s="776"/>
      <c r="F113" s="776"/>
      <c r="G113" s="776"/>
      <c r="H113" s="776"/>
      <c r="I113" s="776"/>
    </row>
    <row r="114" spans="2:9" x14ac:dyDescent="0.15">
      <c r="B114" s="800" t="s">
        <v>5649</v>
      </c>
      <c r="C114" s="776"/>
      <c r="D114" s="776"/>
      <c r="E114" s="776"/>
      <c r="F114" s="776"/>
      <c r="G114" s="776"/>
      <c r="H114" s="776"/>
      <c r="I114" s="776"/>
    </row>
    <row r="115" spans="2:9" x14ac:dyDescent="0.15">
      <c r="B115" s="800" t="s">
        <v>5650</v>
      </c>
      <c r="C115" s="776"/>
      <c r="D115" s="776"/>
      <c r="E115" s="776"/>
      <c r="F115" s="776"/>
      <c r="G115" s="776"/>
      <c r="H115" s="776"/>
      <c r="I115" s="776"/>
    </row>
    <row r="116" spans="2:9" x14ac:dyDescent="0.15">
      <c r="B116" s="800" t="s">
        <v>5649</v>
      </c>
      <c r="C116" s="776"/>
      <c r="D116" s="776"/>
      <c r="E116" s="776"/>
      <c r="F116" s="776"/>
      <c r="G116" s="776"/>
      <c r="H116" s="776"/>
      <c r="I116" s="776"/>
    </row>
    <row r="117" spans="2:9" x14ac:dyDescent="0.15">
      <c r="B117" s="800" t="s">
        <v>5650</v>
      </c>
      <c r="C117" s="776"/>
      <c r="D117" s="776"/>
      <c r="E117" s="776"/>
      <c r="F117" s="776"/>
      <c r="G117" s="776"/>
      <c r="H117" s="776"/>
      <c r="I117" s="776"/>
    </row>
    <row r="118" spans="2:9" x14ac:dyDescent="0.15">
      <c r="B118" s="800" t="s">
        <v>5649</v>
      </c>
      <c r="C118" s="776"/>
      <c r="D118" s="776"/>
      <c r="E118" s="776"/>
      <c r="F118" s="776"/>
      <c r="G118" s="776"/>
      <c r="H118" s="776"/>
      <c r="I118" s="776"/>
    </row>
    <row r="119" spans="2:9" x14ac:dyDescent="0.15">
      <c r="B119" s="800" t="s">
        <v>5650</v>
      </c>
      <c r="C119" s="776"/>
      <c r="D119" s="776"/>
      <c r="E119" s="776"/>
      <c r="F119" s="776"/>
      <c r="G119" s="776"/>
      <c r="H119" s="776"/>
      <c r="I119" s="776"/>
    </row>
    <row r="120" spans="2:9" x14ac:dyDescent="0.15">
      <c r="B120" s="800" t="s">
        <v>5649</v>
      </c>
      <c r="C120" s="776"/>
      <c r="D120" s="776"/>
      <c r="E120" s="776"/>
      <c r="F120" s="776"/>
      <c r="G120" s="776"/>
      <c r="H120" s="776"/>
      <c r="I120" s="776"/>
    </row>
    <row r="121" spans="2:9" x14ac:dyDescent="0.15">
      <c r="B121" s="800" t="s">
        <v>5650</v>
      </c>
      <c r="C121" s="776"/>
      <c r="D121" s="776"/>
      <c r="E121" s="776"/>
      <c r="F121" s="776"/>
      <c r="G121" s="776"/>
      <c r="H121" s="776"/>
      <c r="I121" s="776"/>
    </row>
    <row r="122" spans="2:9" x14ac:dyDescent="0.15">
      <c r="B122" s="800" t="s">
        <v>5651</v>
      </c>
      <c r="C122" s="776"/>
      <c r="D122" s="776"/>
      <c r="E122" s="776"/>
      <c r="F122" s="776"/>
      <c r="G122" s="776"/>
      <c r="H122" s="776"/>
      <c r="I122" s="776"/>
    </row>
    <row r="123" spans="2:9" x14ac:dyDescent="0.15">
      <c r="B123" s="800" t="s">
        <v>5652</v>
      </c>
      <c r="C123" s="776"/>
      <c r="D123" s="776"/>
      <c r="E123" s="776"/>
      <c r="F123" s="776"/>
      <c r="G123" s="776"/>
      <c r="H123" s="776"/>
      <c r="I123" s="776"/>
    </row>
    <row r="124" spans="2:9" x14ac:dyDescent="0.15">
      <c r="B124" s="811" t="s">
        <v>5652</v>
      </c>
      <c r="C124" s="782"/>
      <c r="D124" s="782"/>
      <c r="E124" s="782"/>
      <c r="F124" s="782"/>
      <c r="G124" s="782"/>
      <c r="H124" s="782"/>
      <c r="I124" s="782"/>
    </row>
    <row r="125" spans="2:9" x14ac:dyDescent="0.1">
      <c r="B125" s="831" t="s">
        <v>5519</v>
      </c>
      <c r="C125" s="832"/>
      <c r="D125" s="805" t="s">
        <v>5653</v>
      </c>
      <c r="E125" s="622" t="s">
        <v>4830</v>
      </c>
      <c r="F125" s="807" t="s">
        <v>5654</v>
      </c>
      <c r="G125" s="808"/>
      <c r="H125" s="809"/>
      <c r="I125" s="805" t="s">
        <v>5381</v>
      </c>
    </row>
    <row r="126" spans="2:9" x14ac:dyDescent="0.1">
      <c r="B126" s="833"/>
      <c r="C126" s="834"/>
      <c r="D126" s="806"/>
      <c r="E126" s="623" t="s">
        <v>5641</v>
      </c>
      <c r="F126" s="624" t="s">
        <v>5655</v>
      </c>
      <c r="G126" s="625" t="s">
        <v>5656</v>
      </c>
      <c r="H126" s="625" t="s">
        <v>5657</v>
      </c>
      <c r="I126" s="806"/>
    </row>
    <row r="127" spans="2:9" x14ac:dyDescent="0.1">
      <c r="B127" s="798" t="s">
        <v>5642</v>
      </c>
    </row>
    <row r="128" spans="2:9" x14ac:dyDescent="0.1">
      <c r="B128" s="799"/>
      <c r="C128" s="626" t="s">
        <v>5658</v>
      </c>
      <c r="D128" s="627" t="s">
        <v>5659</v>
      </c>
      <c r="E128" s="628"/>
      <c r="F128" s="628"/>
      <c r="G128" s="628"/>
      <c r="H128" s="628"/>
      <c r="I128" s="629" t="s">
        <v>5660</v>
      </c>
    </row>
    <row r="129" spans="2:9" x14ac:dyDescent="0.1">
      <c r="B129" s="631" t="s">
        <v>3401</v>
      </c>
      <c r="C129" s="629" t="s">
        <v>4107</v>
      </c>
      <c r="D129" s="628" t="s">
        <v>4106</v>
      </c>
      <c r="E129" s="628"/>
      <c r="F129" s="628" t="s">
        <v>5661</v>
      </c>
      <c r="G129" s="628" t="s">
        <v>5402</v>
      </c>
      <c r="H129" s="629"/>
    </row>
    <row r="130" spans="2:9" ht="28.5" customHeight="1" x14ac:dyDescent="0.1">
      <c r="B130" s="792" t="s">
        <v>5644</v>
      </c>
      <c r="C130" s="633" t="s">
        <v>3456</v>
      </c>
      <c r="D130" s="790" t="s">
        <v>5662</v>
      </c>
      <c r="E130" s="792" t="s">
        <v>4104</v>
      </c>
      <c r="F130" s="792"/>
      <c r="G130" s="792" t="s">
        <v>5663</v>
      </c>
      <c r="H130" s="792"/>
      <c r="I130" s="812" t="s">
        <v>5664</v>
      </c>
    </row>
    <row r="131" spans="2:9" x14ac:dyDescent="0.1">
      <c r="B131" s="793"/>
      <c r="C131" s="628" t="s">
        <v>5665</v>
      </c>
      <c r="D131" s="791"/>
      <c r="E131" s="794"/>
      <c r="F131" s="794"/>
      <c r="G131" s="794"/>
      <c r="H131" s="794"/>
      <c r="I131" s="791"/>
    </row>
    <row r="132" spans="2:9" ht="16.5" x14ac:dyDescent="0.1">
      <c r="B132" s="793"/>
      <c r="C132" s="798" t="s">
        <v>3420</v>
      </c>
      <c r="D132" s="634" t="s">
        <v>5666</v>
      </c>
      <c r="E132" s="792" t="s">
        <v>4145</v>
      </c>
      <c r="F132" s="792" t="s">
        <v>5407</v>
      </c>
      <c r="G132" s="792" t="s">
        <v>5407</v>
      </c>
      <c r="H132" s="792" t="s">
        <v>5406</v>
      </c>
      <c r="I132" s="802"/>
    </row>
    <row r="133" spans="2:9" x14ac:dyDescent="0.1">
      <c r="B133" s="793"/>
      <c r="C133" s="799"/>
      <c r="D133" s="629" t="s">
        <v>5667</v>
      </c>
      <c r="E133" s="794"/>
      <c r="F133" s="794"/>
      <c r="G133" s="794"/>
      <c r="H133" s="794"/>
      <c r="I133" s="803"/>
    </row>
    <row r="134" spans="2:9" ht="16.5" x14ac:dyDescent="0.1">
      <c r="B134" s="793"/>
      <c r="C134" s="798" t="s">
        <v>3428</v>
      </c>
      <c r="D134" s="634" t="s">
        <v>5668</v>
      </c>
      <c r="E134" s="792" t="s">
        <v>5669</v>
      </c>
      <c r="F134" s="792"/>
      <c r="G134" s="792"/>
      <c r="H134" s="792" t="s">
        <v>5670</v>
      </c>
      <c r="I134" s="802"/>
    </row>
    <row r="135" spans="2:9" x14ac:dyDescent="0.1">
      <c r="B135" s="793"/>
      <c r="C135" s="799"/>
      <c r="D135" s="629" t="s">
        <v>5671</v>
      </c>
      <c r="E135" s="794"/>
      <c r="F135" s="794"/>
      <c r="G135" s="794"/>
      <c r="H135" s="794"/>
      <c r="I135" s="803"/>
    </row>
    <row r="136" spans="2:9" x14ac:dyDescent="0.1">
      <c r="B136" s="793"/>
      <c r="C136" s="631" t="s">
        <v>3473</v>
      </c>
      <c r="D136" s="629"/>
      <c r="E136" s="628"/>
      <c r="F136" s="628"/>
      <c r="G136" s="628"/>
      <c r="H136" s="628"/>
      <c r="I136" s="629"/>
    </row>
    <row r="137" spans="2:9" x14ac:dyDescent="0.1">
      <c r="B137" s="793"/>
      <c r="C137" s="631" t="s">
        <v>5672</v>
      </c>
      <c r="D137" s="629"/>
      <c r="E137" s="628"/>
      <c r="F137" s="628"/>
      <c r="G137" s="628"/>
      <c r="H137" s="628"/>
      <c r="I137" s="629"/>
    </row>
    <row r="138" spans="2:9" x14ac:dyDescent="0.1">
      <c r="B138" s="794"/>
      <c r="C138" s="631" t="s">
        <v>5673</v>
      </c>
      <c r="D138" s="629" t="s">
        <v>5674</v>
      </c>
      <c r="E138" s="628"/>
      <c r="F138" s="628"/>
      <c r="G138" s="628"/>
      <c r="H138" s="628"/>
      <c r="I138" s="629"/>
    </row>
    <row r="139" spans="2:9" ht="16.5" x14ac:dyDescent="0.1">
      <c r="B139" s="632" t="s">
        <v>5646</v>
      </c>
      <c r="C139" s="792" t="s">
        <v>3481</v>
      </c>
      <c r="D139" s="634" t="s">
        <v>5675</v>
      </c>
      <c r="E139" s="792" t="s">
        <v>4109</v>
      </c>
      <c r="F139" s="792"/>
      <c r="G139" s="792" t="s">
        <v>5428</v>
      </c>
      <c r="H139" s="792" t="s">
        <v>5427</v>
      </c>
      <c r="I139" s="790" t="s">
        <v>5676</v>
      </c>
    </row>
    <row r="140" spans="2:9" x14ac:dyDescent="0.1">
      <c r="B140" s="632" t="s">
        <v>5647</v>
      </c>
      <c r="C140" s="794"/>
      <c r="D140" s="629" t="s">
        <v>5677</v>
      </c>
      <c r="E140" s="794"/>
      <c r="F140" s="794"/>
      <c r="G140" s="794"/>
      <c r="H140" s="794"/>
      <c r="I140" s="791"/>
    </row>
    <row r="141" spans="2:9" ht="17.25" x14ac:dyDescent="0.15">
      <c r="B141" s="635"/>
      <c r="C141" s="798" t="s">
        <v>3488</v>
      </c>
      <c r="D141" s="634" t="s">
        <v>5678</v>
      </c>
      <c r="E141" s="633" t="s">
        <v>4113</v>
      </c>
      <c r="F141" s="792"/>
      <c r="G141" s="792" t="s">
        <v>5679</v>
      </c>
      <c r="H141" s="792" t="s">
        <v>5437</v>
      </c>
      <c r="I141" s="795" t="s">
        <v>5680</v>
      </c>
    </row>
    <row r="142" spans="2:9" x14ac:dyDescent="0.15">
      <c r="B142" s="635"/>
      <c r="C142" s="804"/>
      <c r="D142" s="634" t="s">
        <v>5681</v>
      </c>
      <c r="E142" s="633"/>
      <c r="F142" s="793"/>
      <c r="G142" s="793"/>
      <c r="H142" s="793"/>
      <c r="I142" s="801"/>
    </row>
    <row r="143" spans="2:9" ht="17.25" x14ac:dyDescent="0.15">
      <c r="B143" s="635"/>
      <c r="C143" s="799"/>
      <c r="D143" s="629" t="s">
        <v>5682</v>
      </c>
      <c r="E143" s="628" t="s">
        <v>5683</v>
      </c>
      <c r="F143" s="794"/>
      <c r="G143" s="794"/>
      <c r="H143" s="794"/>
      <c r="I143" s="796"/>
    </row>
    <row r="144" spans="2:9" x14ac:dyDescent="0.15">
      <c r="B144" s="635"/>
      <c r="C144" s="798" t="s">
        <v>3410</v>
      </c>
      <c r="D144" s="790" t="s">
        <v>5684</v>
      </c>
      <c r="E144" s="792" t="s">
        <v>5685</v>
      </c>
      <c r="F144" s="792"/>
      <c r="G144" s="792" t="s">
        <v>5404</v>
      </c>
      <c r="H144" s="633" t="s">
        <v>5686</v>
      </c>
      <c r="I144" s="795" t="s">
        <v>5687</v>
      </c>
    </row>
    <row r="145" spans="2:9" x14ac:dyDescent="0.15">
      <c r="B145" s="636"/>
      <c r="C145" s="799"/>
      <c r="D145" s="791"/>
      <c r="E145" s="794"/>
      <c r="F145" s="794"/>
      <c r="G145" s="794"/>
      <c r="H145" s="628" t="s">
        <v>5688</v>
      </c>
      <c r="I145" s="796"/>
    </row>
    <row r="146" spans="2:9" ht="39" customHeight="1" x14ac:dyDescent="0.1">
      <c r="B146" s="632" t="s">
        <v>5649</v>
      </c>
      <c r="C146" s="633" t="s">
        <v>3475</v>
      </c>
      <c r="D146" s="790" t="s">
        <v>5689</v>
      </c>
      <c r="E146" s="792" t="s">
        <v>4111</v>
      </c>
      <c r="F146" s="792"/>
      <c r="G146" s="792" t="s">
        <v>5425</v>
      </c>
      <c r="H146" s="792" t="s">
        <v>5690</v>
      </c>
      <c r="I146" s="790" t="s">
        <v>5691</v>
      </c>
    </row>
    <row r="147" spans="2:9" x14ac:dyDescent="0.1">
      <c r="B147" s="632" t="s">
        <v>5650</v>
      </c>
      <c r="C147" s="628" t="s">
        <v>5692</v>
      </c>
      <c r="D147" s="791"/>
      <c r="E147" s="794"/>
      <c r="F147" s="794"/>
      <c r="G147" s="794"/>
      <c r="H147" s="794"/>
      <c r="I147" s="791"/>
    </row>
    <row r="148" spans="2:9" ht="40.5" customHeight="1" x14ac:dyDescent="0.15">
      <c r="B148" s="635"/>
      <c r="C148" s="798" t="s">
        <v>3512</v>
      </c>
      <c r="D148" s="790" t="s">
        <v>5693</v>
      </c>
      <c r="E148" s="792" t="s">
        <v>4115</v>
      </c>
      <c r="F148" s="792"/>
      <c r="G148" s="633" t="s">
        <v>5694</v>
      </c>
      <c r="H148" s="633" t="s">
        <v>5695</v>
      </c>
      <c r="I148" s="790"/>
    </row>
    <row r="149" spans="2:9" x14ac:dyDescent="0.15">
      <c r="B149" s="635"/>
      <c r="C149" s="799"/>
      <c r="D149" s="791"/>
      <c r="E149" s="794"/>
      <c r="F149" s="794"/>
      <c r="G149" s="628" t="s">
        <v>5696</v>
      </c>
      <c r="H149" s="628" t="s">
        <v>5697</v>
      </c>
      <c r="I149" s="791"/>
    </row>
    <row r="150" spans="2:9" x14ac:dyDescent="0.15">
      <c r="B150" s="635"/>
      <c r="C150" s="631" t="s">
        <v>5698</v>
      </c>
      <c r="D150" s="629" t="s">
        <v>4149</v>
      </c>
      <c r="E150" s="628"/>
      <c r="F150" s="628"/>
      <c r="G150" s="628"/>
      <c r="H150" s="628" t="s">
        <v>5699</v>
      </c>
      <c r="I150" s="629"/>
    </row>
    <row r="151" spans="2:9" x14ac:dyDescent="0.15">
      <c r="B151" s="635"/>
      <c r="C151" s="631" t="s">
        <v>3510</v>
      </c>
      <c r="D151" s="629" t="s">
        <v>4149</v>
      </c>
      <c r="E151" s="628"/>
      <c r="F151" s="628"/>
      <c r="G151" s="628" t="s">
        <v>5700</v>
      </c>
      <c r="H151" s="628" t="s">
        <v>5701</v>
      </c>
      <c r="I151" s="629"/>
    </row>
    <row r="152" spans="2:9" x14ac:dyDescent="0.15">
      <c r="B152" s="635"/>
      <c r="C152" s="631" t="s">
        <v>5702</v>
      </c>
      <c r="D152" s="629" t="s">
        <v>4149</v>
      </c>
      <c r="E152" s="628"/>
      <c r="F152" s="628"/>
      <c r="G152" s="629"/>
      <c r="H152" s="629"/>
      <c r="I152" s="629">
        <v>64</v>
      </c>
    </row>
    <row r="153" spans="2:9" x14ac:dyDescent="0.15">
      <c r="B153" s="635"/>
      <c r="C153" s="798" t="s">
        <v>5703</v>
      </c>
      <c r="D153" s="634" t="s">
        <v>5704</v>
      </c>
      <c r="E153" s="792"/>
      <c r="F153" s="790"/>
      <c r="G153" s="790"/>
      <c r="H153" s="790"/>
      <c r="I153" s="790"/>
    </row>
    <row r="154" spans="2:9" ht="17.25" x14ac:dyDescent="0.15">
      <c r="B154" s="636"/>
      <c r="C154" s="799"/>
      <c r="D154" s="629" t="s">
        <v>5705</v>
      </c>
      <c r="E154" s="794"/>
      <c r="F154" s="791"/>
      <c r="G154" s="791"/>
      <c r="H154" s="791"/>
      <c r="I154" s="791"/>
    </row>
    <row r="155" spans="2:9" x14ac:dyDescent="0.1">
      <c r="B155" s="792" t="s">
        <v>5652</v>
      </c>
      <c r="C155" s="628" t="s">
        <v>5706</v>
      </c>
      <c r="D155" s="629"/>
      <c r="E155" s="628"/>
      <c r="F155" s="629"/>
      <c r="G155" s="629"/>
      <c r="H155" s="629" t="s">
        <v>5707</v>
      </c>
      <c r="I155" s="629">
        <v>1928</v>
      </c>
    </row>
    <row r="156" spans="2:9" ht="16.5" x14ac:dyDescent="0.1">
      <c r="B156" s="793"/>
      <c r="C156" s="798" t="s">
        <v>3505</v>
      </c>
      <c r="D156" s="634" t="s">
        <v>5708</v>
      </c>
      <c r="E156" s="792" t="s">
        <v>4104</v>
      </c>
      <c r="F156" s="792" t="s">
        <v>5709</v>
      </c>
      <c r="G156" s="792" t="s">
        <v>5440</v>
      </c>
      <c r="H156" s="792" t="s">
        <v>5439</v>
      </c>
      <c r="I156" s="790"/>
    </row>
    <row r="157" spans="2:9" x14ac:dyDescent="0.1">
      <c r="B157" s="793"/>
      <c r="C157" s="799"/>
      <c r="D157" s="629" t="s">
        <v>5710</v>
      </c>
      <c r="E157" s="794"/>
      <c r="F157" s="794"/>
      <c r="G157" s="794"/>
      <c r="H157" s="794"/>
      <c r="I157" s="791"/>
    </row>
    <row r="158" spans="2:9" ht="24.75" x14ac:dyDescent="0.1">
      <c r="B158" s="794"/>
      <c r="C158" s="631" t="s">
        <v>5711</v>
      </c>
      <c r="D158" s="629" t="s">
        <v>5712</v>
      </c>
      <c r="E158" s="628" t="s">
        <v>5713</v>
      </c>
      <c r="F158" s="628"/>
      <c r="G158" s="628"/>
      <c r="H158" s="628" t="s">
        <v>5714</v>
      </c>
      <c r="I158" s="629"/>
    </row>
    <row r="159" spans="2:9" x14ac:dyDescent="0.1">
      <c r="B159" s="630"/>
    </row>
    <row r="160" spans="2:9" ht="14.25" x14ac:dyDescent="0.15">
      <c r="B160" s="637"/>
    </row>
    <row r="161" spans="2:8" ht="20.25" x14ac:dyDescent="0.3">
      <c r="B161" s="621" t="s">
        <v>5715</v>
      </c>
    </row>
    <row r="162" spans="2:8" x14ac:dyDescent="0.15">
      <c r="B162" s="775" t="s">
        <v>5716</v>
      </c>
      <c r="C162" s="776"/>
      <c r="D162" s="776"/>
      <c r="E162" s="776"/>
      <c r="F162" s="776"/>
      <c r="G162" s="776"/>
      <c r="H162" s="776"/>
    </row>
    <row r="163" spans="2:8" x14ac:dyDescent="0.15">
      <c r="B163" s="775" t="s">
        <v>5641</v>
      </c>
      <c r="C163" s="776"/>
      <c r="D163" s="776"/>
      <c r="E163" s="776"/>
      <c r="F163" s="776"/>
      <c r="G163" s="776"/>
      <c r="H163" s="776"/>
    </row>
    <row r="164" spans="2:8" x14ac:dyDescent="0.15">
      <c r="B164" s="775" t="s">
        <v>5381</v>
      </c>
      <c r="C164" s="776"/>
      <c r="D164" s="776"/>
      <c r="E164" s="776"/>
      <c r="F164" s="776"/>
      <c r="G164" s="776"/>
      <c r="H164" s="776"/>
    </row>
    <row r="165" spans="2:8" x14ac:dyDescent="0.15">
      <c r="B165" s="797" t="s">
        <v>5717</v>
      </c>
      <c r="C165" s="776"/>
      <c r="D165" s="776"/>
      <c r="E165" s="776"/>
      <c r="F165" s="776"/>
      <c r="G165" s="776"/>
      <c r="H165" s="776"/>
    </row>
    <row r="166" spans="2:8" x14ac:dyDescent="0.15">
      <c r="B166" s="797" t="s">
        <v>5718</v>
      </c>
      <c r="C166" s="776"/>
      <c r="D166" s="776"/>
      <c r="E166" s="776"/>
      <c r="F166" s="776"/>
      <c r="G166" s="776"/>
      <c r="H166" s="776"/>
    </row>
    <row r="167" spans="2:8" x14ac:dyDescent="0.15">
      <c r="B167" s="781" t="s">
        <v>5719</v>
      </c>
      <c r="C167" s="782"/>
      <c r="D167" s="782"/>
      <c r="E167" s="782"/>
      <c r="F167" s="782"/>
      <c r="G167" s="782"/>
      <c r="H167" s="782"/>
    </row>
    <row r="168" spans="2:8" x14ac:dyDescent="0.1">
      <c r="B168" s="770" t="s">
        <v>5519</v>
      </c>
      <c r="C168" s="770" t="s">
        <v>5720</v>
      </c>
      <c r="D168" s="622" t="s">
        <v>4830</v>
      </c>
      <c r="E168" s="772" t="s">
        <v>5654</v>
      </c>
      <c r="F168" s="773"/>
      <c r="G168" s="774"/>
      <c r="H168" s="770" t="s">
        <v>5381</v>
      </c>
    </row>
    <row r="169" spans="2:8" x14ac:dyDescent="0.1">
      <c r="B169" s="771"/>
      <c r="C169" s="771"/>
      <c r="D169" s="623" t="s">
        <v>5641</v>
      </c>
      <c r="E169" s="638" t="s">
        <v>5655</v>
      </c>
      <c r="F169" s="623" t="s">
        <v>5656</v>
      </c>
      <c r="G169" s="625" t="s">
        <v>5657</v>
      </c>
      <c r="H169" s="771"/>
    </row>
    <row r="170" spans="2:8" x14ac:dyDescent="0.1">
      <c r="B170" s="639" t="s">
        <v>5721</v>
      </c>
    </row>
    <row r="171" spans="2:8" x14ac:dyDescent="0.1">
      <c r="B171" s="640" t="s">
        <v>5722</v>
      </c>
      <c r="C171" s="768" t="s">
        <v>4117</v>
      </c>
      <c r="D171" s="763"/>
      <c r="E171" s="763" t="s">
        <v>5394</v>
      </c>
      <c r="F171" s="642" t="s">
        <v>5723</v>
      </c>
      <c r="G171" s="644" t="s">
        <v>5724</v>
      </c>
    </row>
    <row r="172" spans="2:8" ht="16.5" x14ac:dyDescent="0.1">
      <c r="B172" s="641" t="s">
        <v>5725</v>
      </c>
      <c r="C172" s="766"/>
      <c r="D172" s="764"/>
      <c r="E172" s="764"/>
      <c r="F172" s="643" t="s">
        <v>5393</v>
      </c>
      <c r="G172" s="645" t="s">
        <v>5726</v>
      </c>
    </row>
    <row r="173" spans="2:8" x14ac:dyDescent="0.1">
      <c r="B173" s="646" t="s">
        <v>5727</v>
      </c>
      <c r="C173" s="640" t="s">
        <v>5728</v>
      </c>
      <c r="D173" s="765" t="s">
        <v>4087</v>
      </c>
      <c r="E173" s="767"/>
      <c r="F173" s="767" t="s">
        <v>5729</v>
      </c>
      <c r="G173" s="767" t="s">
        <v>5730</v>
      </c>
      <c r="H173" s="763"/>
    </row>
    <row r="174" spans="2:8" x14ac:dyDescent="0.1">
      <c r="B174" s="647" t="s">
        <v>3329</v>
      </c>
      <c r="C174" s="641" t="s">
        <v>5731</v>
      </c>
      <c r="D174" s="766"/>
      <c r="E174" s="764"/>
      <c r="F174" s="764"/>
      <c r="G174" s="764"/>
      <c r="H174" s="764"/>
    </row>
    <row r="175" spans="2:8" x14ac:dyDescent="0.1">
      <c r="B175" s="646" t="s">
        <v>5732</v>
      </c>
      <c r="C175" s="640" t="s">
        <v>5733</v>
      </c>
      <c r="D175" s="640" t="s">
        <v>4120</v>
      </c>
      <c r="E175" s="767"/>
      <c r="F175" s="767"/>
      <c r="G175" s="642" t="s">
        <v>5734</v>
      </c>
      <c r="H175" s="765"/>
    </row>
    <row r="176" spans="2:8" x14ac:dyDescent="0.1">
      <c r="B176" s="647" t="s">
        <v>3357</v>
      </c>
      <c r="C176" s="641" t="s">
        <v>5735</v>
      </c>
      <c r="D176" s="641" t="s">
        <v>5736</v>
      </c>
      <c r="E176" s="764"/>
      <c r="F176" s="764"/>
      <c r="G176" s="643" t="s">
        <v>5737</v>
      </c>
      <c r="H176" s="766"/>
    </row>
    <row r="177" spans="2:8" x14ac:dyDescent="0.1">
      <c r="B177" s="214"/>
    </row>
    <row r="178" spans="2:8" ht="20.25" x14ac:dyDescent="0.3">
      <c r="B178" s="621"/>
    </row>
    <row r="179" spans="2:8" x14ac:dyDescent="0.1">
      <c r="B179" s="648" t="s">
        <v>3374</v>
      </c>
      <c r="C179" s="649" t="s">
        <v>5738</v>
      </c>
      <c r="D179" s="765" t="s">
        <v>5739</v>
      </c>
      <c r="E179" s="767"/>
      <c r="F179" s="767" t="s">
        <v>5740</v>
      </c>
      <c r="G179" s="650" t="s">
        <v>5741</v>
      </c>
      <c r="H179" s="765"/>
    </row>
    <row r="180" spans="2:8" x14ac:dyDescent="0.1">
      <c r="B180" s="647" t="s">
        <v>5742</v>
      </c>
      <c r="C180" s="641" t="s">
        <v>5743</v>
      </c>
      <c r="D180" s="766"/>
      <c r="E180" s="764"/>
      <c r="F180" s="764"/>
      <c r="G180" s="643" t="s">
        <v>5396</v>
      </c>
      <c r="H180" s="766"/>
    </row>
    <row r="181" spans="2:8" x14ac:dyDescent="0.1">
      <c r="B181" s="646" t="s">
        <v>5744</v>
      </c>
      <c r="C181" s="640" t="s">
        <v>5745</v>
      </c>
      <c r="D181" s="765" t="s">
        <v>4124</v>
      </c>
      <c r="E181" s="767" t="s">
        <v>5746</v>
      </c>
      <c r="F181" s="767" t="s">
        <v>5390</v>
      </c>
      <c r="G181" s="767" t="s">
        <v>5747</v>
      </c>
      <c r="H181" s="765"/>
    </row>
    <row r="182" spans="2:8" x14ac:dyDescent="0.1">
      <c r="B182" s="647" t="s">
        <v>3339</v>
      </c>
      <c r="C182" s="641" t="s">
        <v>5748</v>
      </c>
      <c r="D182" s="766"/>
      <c r="E182" s="764"/>
      <c r="F182" s="764"/>
      <c r="G182" s="764"/>
      <c r="H182" s="766"/>
    </row>
    <row r="183" spans="2:8" x14ac:dyDescent="0.1">
      <c r="B183" s="646" t="s">
        <v>5749</v>
      </c>
      <c r="C183" s="640" t="s">
        <v>5750</v>
      </c>
      <c r="D183" s="765" t="s">
        <v>4126</v>
      </c>
      <c r="E183" s="767"/>
      <c r="F183" s="767"/>
      <c r="G183" s="767" t="s">
        <v>5751</v>
      </c>
      <c r="H183" s="765"/>
    </row>
    <row r="184" spans="2:8" x14ac:dyDescent="0.1">
      <c r="B184" s="647" t="s">
        <v>3347</v>
      </c>
      <c r="C184" s="641" t="s">
        <v>5752</v>
      </c>
      <c r="D184" s="766"/>
      <c r="E184" s="764"/>
      <c r="F184" s="764"/>
      <c r="G184" s="764"/>
      <c r="H184" s="766"/>
    </row>
    <row r="185" spans="2:8" x14ac:dyDescent="0.1">
      <c r="B185" s="767" t="s">
        <v>3392</v>
      </c>
      <c r="C185" s="640" t="s">
        <v>5753</v>
      </c>
      <c r="D185" s="765" t="s">
        <v>5754</v>
      </c>
      <c r="E185" s="767"/>
      <c r="F185" s="767"/>
      <c r="G185" s="767" t="s">
        <v>5755</v>
      </c>
      <c r="H185" s="765"/>
    </row>
    <row r="186" spans="2:8" x14ac:dyDescent="0.1">
      <c r="B186" s="764"/>
      <c r="C186" s="641" t="s">
        <v>5756</v>
      </c>
      <c r="D186" s="766"/>
      <c r="E186" s="764"/>
      <c r="F186" s="764"/>
      <c r="G186" s="764"/>
      <c r="H186" s="766"/>
    </row>
    <row r="187" spans="2:8" x14ac:dyDescent="0.1">
      <c r="B187" s="767" t="s">
        <v>3382</v>
      </c>
      <c r="C187" s="640" t="s">
        <v>5757</v>
      </c>
      <c r="D187" s="765" t="s">
        <v>4128</v>
      </c>
      <c r="E187" s="767" t="s">
        <v>5758</v>
      </c>
      <c r="F187" s="767" t="s">
        <v>5759</v>
      </c>
      <c r="G187" s="767" t="s">
        <v>5760</v>
      </c>
      <c r="H187" s="767"/>
    </row>
    <row r="188" spans="2:8" x14ac:dyDescent="0.1">
      <c r="B188" s="764"/>
      <c r="C188" s="641" t="s">
        <v>5761</v>
      </c>
      <c r="D188" s="766"/>
      <c r="E188" s="764"/>
      <c r="F188" s="764"/>
      <c r="G188" s="764"/>
      <c r="H188" s="764"/>
    </row>
    <row r="189" spans="2:8" x14ac:dyDescent="0.1">
      <c r="B189" s="651" t="s">
        <v>5762</v>
      </c>
      <c r="C189" s="652" t="s">
        <v>5763</v>
      </c>
      <c r="D189" s="653"/>
      <c r="E189" s="654" t="s">
        <v>5764</v>
      </c>
      <c r="F189" s="654" t="s">
        <v>5765</v>
      </c>
      <c r="G189" s="654"/>
      <c r="H189" s="653"/>
    </row>
    <row r="190" spans="2:8" ht="28.5" customHeight="1" x14ac:dyDescent="0.1">
      <c r="B190" s="655" t="s">
        <v>5766</v>
      </c>
      <c r="C190" s="787" t="s">
        <v>5767</v>
      </c>
      <c r="D190" s="777" t="s">
        <v>5768</v>
      </c>
      <c r="E190" s="777" t="s">
        <v>5769</v>
      </c>
      <c r="F190" s="779" t="s">
        <v>5769</v>
      </c>
      <c r="G190" s="783" t="s">
        <v>5770</v>
      </c>
      <c r="H190" s="788"/>
    </row>
    <row r="191" spans="2:8" x14ac:dyDescent="0.1">
      <c r="B191" s="656" t="s">
        <v>5771</v>
      </c>
      <c r="C191" s="778"/>
      <c r="D191" s="778"/>
      <c r="E191" s="778"/>
      <c r="F191" s="780"/>
      <c r="G191" s="784"/>
      <c r="H191" s="789"/>
    </row>
    <row r="192" spans="2:8" x14ac:dyDescent="0.1">
      <c r="B192" s="651" t="s">
        <v>5772</v>
      </c>
      <c r="C192" s="652" t="s">
        <v>5773</v>
      </c>
      <c r="D192" s="777" t="s">
        <v>4131</v>
      </c>
      <c r="E192" s="779" t="s">
        <v>5774</v>
      </c>
      <c r="F192" s="779" t="s">
        <v>5383</v>
      </c>
      <c r="G192" s="788" t="s">
        <v>5382</v>
      </c>
      <c r="H192" s="777"/>
    </row>
    <row r="193" spans="2:8" x14ac:dyDescent="0.1">
      <c r="B193" s="656" t="s">
        <v>3294</v>
      </c>
      <c r="C193" s="653" t="s">
        <v>4132</v>
      </c>
      <c r="D193" s="778"/>
      <c r="E193" s="780"/>
      <c r="F193" s="780"/>
      <c r="G193" s="789"/>
      <c r="H193" s="778"/>
    </row>
    <row r="194" spans="2:8" ht="28.5" customHeight="1" x14ac:dyDescent="0.1">
      <c r="B194" s="651" t="s">
        <v>5775</v>
      </c>
      <c r="C194" s="777" t="s">
        <v>5776</v>
      </c>
      <c r="D194" s="777" t="s">
        <v>4087</v>
      </c>
      <c r="E194" s="779"/>
      <c r="F194" s="779" t="s">
        <v>5385</v>
      </c>
      <c r="G194" s="777" t="s">
        <v>1473</v>
      </c>
      <c r="H194" s="777"/>
    </row>
    <row r="195" spans="2:8" x14ac:dyDescent="0.1">
      <c r="B195" s="656" t="s">
        <v>3307</v>
      </c>
      <c r="C195" s="778"/>
      <c r="D195" s="778"/>
      <c r="E195" s="780"/>
      <c r="F195" s="780"/>
      <c r="G195" s="778"/>
      <c r="H195" s="778"/>
    </row>
    <row r="196" spans="2:8" ht="39" customHeight="1" x14ac:dyDescent="0.1">
      <c r="B196" s="651" t="s">
        <v>3318</v>
      </c>
      <c r="C196" s="777" t="s">
        <v>4135</v>
      </c>
      <c r="D196" s="777" t="s">
        <v>5388</v>
      </c>
      <c r="E196" s="779" t="s">
        <v>5387</v>
      </c>
      <c r="F196" s="779"/>
      <c r="G196" s="777" t="s">
        <v>5777</v>
      </c>
      <c r="H196" s="785" t="s">
        <v>5778</v>
      </c>
    </row>
    <row r="197" spans="2:8" x14ac:dyDescent="0.1">
      <c r="B197" s="656" t="s">
        <v>5779</v>
      </c>
      <c r="C197" s="778"/>
      <c r="D197" s="778"/>
      <c r="E197" s="780"/>
      <c r="F197" s="780"/>
      <c r="G197" s="778"/>
      <c r="H197" s="786"/>
    </row>
    <row r="198" spans="2:8" x14ac:dyDescent="0.1">
      <c r="B198" s="647" t="s">
        <v>5780</v>
      </c>
      <c r="C198" s="641"/>
      <c r="D198" s="641"/>
      <c r="E198" s="643"/>
      <c r="F198" s="643"/>
      <c r="G198" s="641"/>
      <c r="H198" s="641"/>
    </row>
    <row r="199" spans="2:8" x14ac:dyDescent="0.1">
      <c r="B199" s="646" t="s">
        <v>5781</v>
      </c>
      <c r="C199" s="640" t="s">
        <v>5782</v>
      </c>
      <c r="D199" s="765" t="s">
        <v>5783</v>
      </c>
      <c r="E199" s="767"/>
      <c r="F199" s="767" t="s">
        <v>5784</v>
      </c>
      <c r="G199" s="765" t="s">
        <v>5785</v>
      </c>
      <c r="H199" s="640" t="s">
        <v>5786</v>
      </c>
    </row>
    <row r="200" spans="2:8" x14ac:dyDescent="0.1">
      <c r="B200" s="647" t="s">
        <v>3559</v>
      </c>
      <c r="C200" s="641">
        <v>1302</v>
      </c>
      <c r="D200" s="766"/>
      <c r="E200" s="764"/>
      <c r="F200" s="764"/>
      <c r="G200" s="766"/>
      <c r="H200" s="641">
        <v>1938</v>
      </c>
    </row>
    <row r="201" spans="2:8" ht="39" customHeight="1" x14ac:dyDescent="0.1">
      <c r="B201" s="646" t="s">
        <v>5787</v>
      </c>
      <c r="C201" s="765" t="s">
        <v>5788</v>
      </c>
      <c r="D201" s="765" t="s">
        <v>5789</v>
      </c>
      <c r="E201" s="767" t="s">
        <v>5790</v>
      </c>
      <c r="F201" s="767" t="s">
        <v>5791</v>
      </c>
      <c r="G201" s="765"/>
      <c r="H201" s="765" t="s">
        <v>4138</v>
      </c>
    </row>
    <row r="202" spans="2:8" x14ac:dyDescent="0.1">
      <c r="B202" s="647" t="s">
        <v>3553</v>
      </c>
      <c r="C202" s="766"/>
      <c r="D202" s="766"/>
      <c r="E202" s="764"/>
      <c r="F202" s="764"/>
      <c r="G202" s="766"/>
      <c r="H202" s="766"/>
    </row>
    <row r="203" spans="2:8" x14ac:dyDescent="0.1">
      <c r="B203" s="647" t="s">
        <v>3554</v>
      </c>
      <c r="C203" s="641"/>
      <c r="D203" s="641"/>
      <c r="E203" s="643"/>
      <c r="F203" s="643"/>
      <c r="G203" s="641"/>
      <c r="H203" s="641" t="s">
        <v>4140</v>
      </c>
    </row>
    <row r="204" spans="2:8" x14ac:dyDescent="0.1">
      <c r="B204" s="647" t="s">
        <v>3556</v>
      </c>
      <c r="C204" s="641" t="s">
        <v>5792</v>
      </c>
      <c r="D204" s="641"/>
      <c r="E204" s="643" t="s">
        <v>5793</v>
      </c>
      <c r="F204" s="643" t="s">
        <v>5784</v>
      </c>
      <c r="G204" s="641"/>
      <c r="H204" s="641" t="s">
        <v>4140</v>
      </c>
    </row>
    <row r="205" spans="2:8" x14ac:dyDescent="0.1">
      <c r="B205" s="214"/>
    </row>
    <row r="206" spans="2:8" ht="14.25" x14ac:dyDescent="0.1">
      <c r="B206" s="657"/>
    </row>
    <row r="207" spans="2:8" ht="14.25" x14ac:dyDescent="0.1">
      <c r="B207" s="657"/>
    </row>
    <row r="208" spans="2:8" ht="20.25" x14ac:dyDescent="0.3">
      <c r="B208" s="621" t="s">
        <v>5794</v>
      </c>
    </row>
    <row r="209" spans="2:8" x14ac:dyDescent="0.15">
      <c r="B209" s="775" t="s">
        <v>5716</v>
      </c>
      <c r="C209" s="776"/>
      <c r="D209" s="776"/>
      <c r="E209" s="776"/>
      <c r="F209" s="776"/>
      <c r="G209" s="776"/>
      <c r="H209" s="776"/>
    </row>
    <row r="210" spans="2:8" x14ac:dyDescent="0.15">
      <c r="B210" s="775" t="s">
        <v>5641</v>
      </c>
      <c r="C210" s="776"/>
      <c r="D210" s="776"/>
      <c r="E210" s="776"/>
      <c r="F210" s="776"/>
      <c r="G210" s="776"/>
      <c r="H210" s="776"/>
    </row>
    <row r="211" spans="2:8" x14ac:dyDescent="0.15">
      <c r="B211" s="775" t="s">
        <v>5381</v>
      </c>
      <c r="C211" s="776"/>
      <c r="D211" s="776"/>
      <c r="E211" s="776"/>
      <c r="F211" s="776"/>
      <c r="G211" s="776"/>
      <c r="H211" s="776"/>
    </row>
    <row r="212" spans="2:8" x14ac:dyDescent="0.15">
      <c r="B212" s="781" t="s">
        <v>5795</v>
      </c>
      <c r="C212" s="782"/>
      <c r="D212" s="782"/>
      <c r="E212" s="782"/>
      <c r="F212" s="782"/>
      <c r="G212" s="782"/>
      <c r="H212" s="782"/>
    </row>
    <row r="213" spans="2:8" x14ac:dyDescent="0.1">
      <c r="B213" s="770" t="s">
        <v>5519</v>
      </c>
      <c r="C213" s="770" t="s">
        <v>5720</v>
      </c>
      <c r="D213" s="622" t="s">
        <v>4830</v>
      </c>
      <c r="E213" s="772" t="s">
        <v>5654</v>
      </c>
      <c r="F213" s="773"/>
      <c r="G213" s="774"/>
      <c r="H213" s="770" t="s">
        <v>5381</v>
      </c>
    </row>
    <row r="214" spans="2:8" x14ac:dyDescent="0.1">
      <c r="B214" s="771"/>
      <c r="C214" s="771"/>
      <c r="D214" s="623" t="s">
        <v>5641</v>
      </c>
      <c r="E214" s="638" t="s">
        <v>5655</v>
      </c>
      <c r="F214" s="623" t="s">
        <v>5656</v>
      </c>
      <c r="G214" s="625" t="s">
        <v>5657</v>
      </c>
      <c r="H214" s="771"/>
    </row>
    <row r="215" spans="2:8" x14ac:dyDescent="0.1">
      <c r="B215" s="639" t="s">
        <v>3463</v>
      </c>
    </row>
    <row r="216" spans="2:8" ht="16.5" x14ac:dyDescent="0.1">
      <c r="B216" s="640" t="s">
        <v>5796</v>
      </c>
      <c r="C216" s="761" t="s">
        <v>5797</v>
      </c>
      <c r="D216" s="763" t="s">
        <v>5798</v>
      </c>
      <c r="E216" s="763" t="s">
        <v>5419</v>
      </c>
      <c r="F216" s="763" t="s">
        <v>5418</v>
      </c>
      <c r="G216" s="642" t="s">
        <v>5799</v>
      </c>
    </row>
    <row r="217" spans="2:8" x14ac:dyDescent="0.1">
      <c r="B217" s="641" t="s">
        <v>5800</v>
      </c>
      <c r="C217" s="762"/>
      <c r="D217" s="764"/>
      <c r="E217" s="764"/>
      <c r="F217" s="764"/>
      <c r="G217" s="643" t="s">
        <v>5801</v>
      </c>
    </row>
    <row r="218" spans="2:8" x14ac:dyDescent="0.1">
      <c r="B218" s="658" t="s">
        <v>5802</v>
      </c>
      <c r="C218" s="640" t="s">
        <v>5803</v>
      </c>
      <c r="D218" s="769" t="s">
        <v>4099</v>
      </c>
      <c r="E218" s="767"/>
      <c r="F218" s="767" t="s">
        <v>5804</v>
      </c>
      <c r="G218" s="767" t="s">
        <v>5429</v>
      </c>
      <c r="H218" s="768"/>
    </row>
    <row r="219" spans="2:8" x14ac:dyDescent="0.1">
      <c r="B219" s="658" t="s">
        <v>5805</v>
      </c>
      <c r="C219" s="659" t="s">
        <v>5806</v>
      </c>
      <c r="D219" s="762"/>
      <c r="E219" s="764"/>
      <c r="F219" s="764"/>
      <c r="G219" s="764"/>
      <c r="H219" s="766"/>
    </row>
    <row r="220" spans="2:8" x14ac:dyDescent="0.1">
      <c r="B220" s="647" t="s">
        <v>3489</v>
      </c>
      <c r="C220" s="641" t="s">
        <v>5807</v>
      </c>
      <c r="D220" s="643"/>
      <c r="E220" s="643"/>
      <c r="F220" s="643"/>
      <c r="G220" s="641"/>
      <c r="H220" s="641"/>
    </row>
    <row r="221" spans="2:8" x14ac:dyDescent="0.1">
      <c r="B221" s="647" t="s">
        <v>5808</v>
      </c>
      <c r="C221" s="641" t="s">
        <v>5809</v>
      </c>
      <c r="D221" s="660"/>
      <c r="E221" s="643"/>
      <c r="F221" s="643"/>
      <c r="G221" s="643" t="s">
        <v>5810</v>
      </c>
      <c r="H221" s="641"/>
    </row>
    <row r="222" spans="2:8" x14ac:dyDescent="0.1">
      <c r="B222" s="647" t="s">
        <v>3437</v>
      </c>
      <c r="C222" s="641" t="s">
        <v>4094</v>
      </c>
      <c r="D222" s="660"/>
      <c r="E222" s="643"/>
      <c r="F222" s="643"/>
      <c r="G222" s="643" t="s">
        <v>5411</v>
      </c>
      <c r="H222" s="641"/>
    </row>
    <row r="223" spans="2:8" x14ac:dyDescent="0.1">
      <c r="B223" s="646" t="s">
        <v>3493</v>
      </c>
      <c r="C223" s="640" t="s">
        <v>5811</v>
      </c>
      <c r="D223" s="769" t="s">
        <v>4101</v>
      </c>
      <c r="E223" s="767"/>
      <c r="F223" s="767" t="s">
        <v>5812</v>
      </c>
      <c r="G223" s="767" t="s">
        <v>5433</v>
      </c>
      <c r="H223" s="640" t="s">
        <v>5813</v>
      </c>
    </row>
    <row r="224" spans="2:8" x14ac:dyDescent="0.1">
      <c r="B224" s="647" t="s">
        <v>5814</v>
      </c>
      <c r="C224" s="641" t="s">
        <v>5815</v>
      </c>
      <c r="D224" s="762"/>
      <c r="E224" s="764"/>
      <c r="F224" s="764"/>
      <c r="G224" s="764"/>
      <c r="H224" s="641" t="s">
        <v>5816</v>
      </c>
    </row>
    <row r="225" spans="2:8" x14ac:dyDescent="0.1">
      <c r="B225" s="647" t="s">
        <v>5817</v>
      </c>
      <c r="C225" s="641" t="s">
        <v>5818</v>
      </c>
      <c r="D225" s="660"/>
      <c r="E225" s="643"/>
      <c r="F225" s="643" t="s">
        <v>5819</v>
      </c>
      <c r="G225" s="643"/>
      <c r="H225" s="641"/>
    </row>
    <row r="226" spans="2:8" x14ac:dyDescent="0.1">
      <c r="B226" s="214"/>
    </row>
    <row r="227" spans="2:8" ht="14.25" x14ac:dyDescent="0.15">
      <c r="B227" s="661"/>
    </row>
    <row r="228" spans="2:8" ht="14.25" x14ac:dyDescent="0.15">
      <c r="B228" s="661"/>
    </row>
    <row r="229" spans="2:8" ht="14.25" x14ac:dyDescent="0.15">
      <c r="B229" s="661"/>
    </row>
    <row r="230" spans="2:8" ht="14.25" x14ac:dyDescent="0.15">
      <c r="B230" s="661"/>
    </row>
    <row r="231" spans="2:8" ht="14.25" x14ac:dyDescent="0.15">
      <c r="B231" s="661"/>
    </row>
    <row r="232" spans="2:8" ht="14.25" x14ac:dyDescent="0.15">
      <c r="B232" s="661"/>
    </row>
  </sheetData>
  <mergeCells count="264">
    <mergeCell ref="B44:F44"/>
    <mergeCell ref="B45:F45"/>
    <mergeCell ref="B3:F3"/>
    <mergeCell ref="B4:F4"/>
    <mergeCell ref="B125:C126"/>
    <mergeCell ref="B127:B128"/>
    <mergeCell ref="B10:F10"/>
    <mergeCell ref="B11:F11"/>
    <mergeCell ref="B5:F5"/>
    <mergeCell ref="D60:D62"/>
    <mergeCell ref="B12:F12"/>
    <mergeCell ref="B15:F15"/>
    <mergeCell ref="B6:F6"/>
    <mergeCell ref="B7:F7"/>
    <mergeCell ref="B8:F8"/>
    <mergeCell ref="B9:F9"/>
    <mergeCell ref="B13:F13"/>
    <mergeCell ref="B14:F14"/>
    <mergeCell ref="B16:F16"/>
    <mergeCell ref="B17:F17"/>
    <mergeCell ref="B27:F27"/>
    <mergeCell ref="B28:F28"/>
    <mergeCell ref="B29:F29"/>
    <mergeCell ref="B32:F32"/>
    <mergeCell ref="B18:F18"/>
    <mergeCell ref="B19:F19"/>
    <mergeCell ref="B43:F43"/>
    <mergeCell ref="B37:F37"/>
    <mergeCell ref="B38:F38"/>
    <mergeCell ref="B39:F39"/>
    <mergeCell ref="B40:F40"/>
    <mergeCell ref="B22:F22"/>
    <mergeCell ref="B23:F23"/>
    <mergeCell ref="B24:F24"/>
    <mergeCell ref="B20:F20"/>
    <mergeCell ref="B21:F21"/>
    <mergeCell ref="B30:F30"/>
    <mergeCell ref="B31:F31"/>
    <mergeCell ref="B41:F41"/>
    <mergeCell ref="B42:F42"/>
    <mergeCell ref="B25:F25"/>
    <mergeCell ref="B26:F26"/>
    <mergeCell ref="B35:F35"/>
    <mergeCell ref="B36:F36"/>
    <mergeCell ref="B33:F33"/>
    <mergeCell ref="B34:F34"/>
    <mergeCell ref="B46:F46"/>
    <mergeCell ref="B47:F47"/>
    <mergeCell ref="B48:F48"/>
    <mergeCell ref="D86:D88"/>
    <mergeCell ref="B53:F53"/>
    <mergeCell ref="B54:F54"/>
    <mergeCell ref="B49:F49"/>
    <mergeCell ref="B50:F50"/>
    <mergeCell ref="B51:F51"/>
    <mergeCell ref="B52:F52"/>
    <mergeCell ref="B85:B88"/>
    <mergeCell ref="B80:B83"/>
    <mergeCell ref="B74:B78"/>
    <mergeCell ref="D75:D78"/>
    <mergeCell ref="D70:D72"/>
    <mergeCell ref="B69:B72"/>
    <mergeCell ref="B55:F55"/>
    <mergeCell ref="B56:F56"/>
    <mergeCell ref="B64:B67"/>
    <mergeCell ref="D65:D67"/>
    <mergeCell ref="B57:B58"/>
    <mergeCell ref="E57:E58"/>
    <mergeCell ref="F57:F58"/>
    <mergeCell ref="B59:B62"/>
    <mergeCell ref="B95:I95"/>
    <mergeCell ref="B96:I96"/>
    <mergeCell ref="B97:I97"/>
    <mergeCell ref="B98:I98"/>
    <mergeCell ref="B104:I104"/>
    <mergeCell ref="H132:H133"/>
    <mergeCell ref="I132:I133"/>
    <mergeCell ref="B107:I107"/>
    <mergeCell ref="B108:I108"/>
    <mergeCell ref="F132:F133"/>
    <mergeCell ref="B120:I120"/>
    <mergeCell ref="B99:I99"/>
    <mergeCell ref="B109:I109"/>
    <mergeCell ref="B105:I105"/>
    <mergeCell ref="B106:I106"/>
    <mergeCell ref="B110:I110"/>
    <mergeCell ref="B121:I121"/>
    <mergeCell ref="B122:I122"/>
    <mergeCell ref="I125:I126"/>
    <mergeCell ref="B124:I124"/>
    <mergeCell ref="I130:I131"/>
    <mergeCell ref="B100:I100"/>
    <mergeCell ref="B101:I101"/>
    <mergeCell ref="B102:I102"/>
    <mergeCell ref="B103:I103"/>
    <mergeCell ref="C132:C133"/>
    <mergeCell ref="E132:E133"/>
    <mergeCell ref="F130:F131"/>
    <mergeCell ref="G130:G131"/>
    <mergeCell ref="D130:D131"/>
    <mergeCell ref="E130:E131"/>
    <mergeCell ref="D146:D147"/>
    <mergeCell ref="E146:E147"/>
    <mergeCell ref="E134:E135"/>
    <mergeCell ref="F134:F135"/>
    <mergeCell ref="B111:I111"/>
    <mergeCell ref="B112:I112"/>
    <mergeCell ref="B118:I118"/>
    <mergeCell ref="B119:I119"/>
    <mergeCell ref="G132:G133"/>
    <mergeCell ref="B123:I123"/>
    <mergeCell ref="D125:D126"/>
    <mergeCell ref="F125:H125"/>
    <mergeCell ref="B113:I113"/>
    <mergeCell ref="B130:B138"/>
    <mergeCell ref="C134:C135"/>
    <mergeCell ref="B114:I114"/>
    <mergeCell ref="B115:I115"/>
    <mergeCell ref="B116:I116"/>
    <mergeCell ref="B117:I117"/>
    <mergeCell ref="H130:H131"/>
    <mergeCell ref="I141:I143"/>
    <mergeCell ref="C144:C145"/>
    <mergeCell ref="G134:G135"/>
    <mergeCell ref="H134:H135"/>
    <mergeCell ref="C153:C154"/>
    <mergeCell ref="H139:H140"/>
    <mergeCell ref="I139:I140"/>
    <mergeCell ref="E139:E140"/>
    <mergeCell ref="F139:F140"/>
    <mergeCell ref="G139:G140"/>
    <mergeCell ref="H146:H147"/>
    <mergeCell ref="F141:F143"/>
    <mergeCell ref="I134:I135"/>
    <mergeCell ref="I153:I154"/>
    <mergeCell ref="D144:D145"/>
    <mergeCell ref="E144:E145"/>
    <mergeCell ref="E148:E149"/>
    <mergeCell ref="F148:F149"/>
    <mergeCell ref="C139:C140"/>
    <mergeCell ref="C141:C143"/>
    <mergeCell ref="G141:G143"/>
    <mergeCell ref="H141:H143"/>
    <mergeCell ref="F144:F145"/>
    <mergeCell ref="G144:G145"/>
    <mergeCell ref="I144:I145"/>
    <mergeCell ref="B166:H166"/>
    <mergeCell ref="B167:H167"/>
    <mergeCell ref="E156:E157"/>
    <mergeCell ref="F156:F157"/>
    <mergeCell ref="G156:G157"/>
    <mergeCell ref="H156:H157"/>
    <mergeCell ref="C156:C157"/>
    <mergeCell ref="B162:H162"/>
    <mergeCell ref="I146:I147"/>
    <mergeCell ref="C148:C149"/>
    <mergeCell ref="F146:F147"/>
    <mergeCell ref="G146:G147"/>
    <mergeCell ref="B163:H163"/>
    <mergeCell ref="B164:H164"/>
    <mergeCell ref="B165:H165"/>
    <mergeCell ref="I156:I157"/>
    <mergeCell ref="B155:B158"/>
    <mergeCell ref="I148:I149"/>
    <mergeCell ref="E153:E154"/>
    <mergeCell ref="F153:F154"/>
    <mergeCell ref="G153:G154"/>
    <mergeCell ref="H153:H154"/>
    <mergeCell ref="D148:D149"/>
    <mergeCell ref="F173:F174"/>
    <mergeCell ref="G173:G174"/>
    <mergeCell ref="H173:H174"/>
    <mergeCell ref="E175:E176"/>
    <mergeCell ref="F175:F176"/>
    <mergeCell ref="B168:B169"/>
    <mergeCell ref="H175:H176"/>
    <mergeCell ref="C171:C172"/>
    <mergeCell ref="D171:D172"/>
    <mergeCell ref="E171:E172"/>
    <mergeCell ref="D173:D174"/>
    <mergeCell ref="E173:E174"/>
    <mergeCell ref="C168:C169"/>
    <mergeCell ref="E168:G168"/>
    <mergeCell ref="H168:H169"/>
    <mergeCell ref="D183:D184"/>
    <mergeCell ref="E183:E184"/>
    <mergeCell ref="F183:F184"/>
    <mergeCell ref="G183:G184"/>
    <mergeCell ref="H183:H184"/>
    <mergeCell ref="D179:D180"/>
    <mergeCell ref="E179:E180"/>
    <mergeCell ref="F179:F180"/>
    <mergeCell ref="H179:H180"/>
    <mergeCell ref="D181:D182"/>
    <mergeCell ref="E181:E182"/>
    <mergeCell ref="F181:F182"/>
    <mergeCell ref="G181:G182"/>
    <mergeCell ref="H181:H182"/>
    <mergeCell ref="H185:H186"/>
    <mergeCell ref="B187:B188"/>
    <mergeCell ref="D187:D188"/>
    <mergeCell ref="E187:E188"/>
    <mergeCell ref="F187:F188"/>
    <mergeCell ref="G187:G188"/>
    <mergeCell ref="H187:H188"/>
    <mergeCell ref="B185:B186"/>
    <mergeCell ref="D185:D186"/>
    <mergeCell ref="E185:E186"/>
    <mergeCell ref="F185:F186"/>
    <mergeCell ref="G185:G186"/>
    <mergeCell ref="G190:G191"/>
    <mergeCell ref="G201:G202"/>
    <mergeCell ref="H194:H195"/>
    <mergeCell ref="C196:C197"/>
    <mergeCell ref="D196:D197"/>
    <mergeCell ref="E196:E197"/>
    <mergeCell ref="F196:F197"/>
    <mergeCell ref="G196:G197"/>
    <mergeCell ref="H196:H197"/>
    <mergeCell ref="C194:C195"/>
    <mergeCell ref="C190:C191"/>
    <mergeCell ref="D190:D191"/>
    <mergeCell ref="E190:E191"/>
    <mergeCell ref="F190:F191"/>
    <mergeCell ref="H190:H191"/>
    <mergeCell ref="D192:D193"/>
    <mergeCell ref="E192:E193"/>
    <mergeCell ref="F192:F193"/>
    <mergeCell ref="G192:G193"/>
    <mergeCell ref="H192:H193"/>
    <mergeCell ref="F194:F195"/>
    <mergeCell ref="H201:H202"/>
    <mergeCell ref="B213:B214"/>
    <mergeCell ref="C213:C214"/>
    <mergeCell ref="E213:G213"/>
    <mergeCell ref="H213:H214"/>
    <mergeCell ref="B209:H209"/>
    <mergeCell ref="D194:D195"/>
    <mergeCell ref="G194:G195"/>
    <mergeCell ref="D199:D200"/>
    <mergeCell ref="E199:E200"/>
    <mergeCell ref="F199:F200"/>
    <mergeCell ref="G199:G200"/>
    <mergeCell ref="E194:E195"/>
    <mergeCell ref="B210:H210"/>
    <mergeCell ref="B211:H211"/>
    <mergeCell ref="B212:H212"/>
    <mergeCell ref="C201:C202"/>
    <mergeCell ref="C216:C217"/>
    <mergeCell ref="D216:D217"/>
    <mergeCell ref="E216:E217"/>
    <mergeCell ref="F216:F217"/>
    <mergeCell ref="D201:D202"/>
    <mergeCell ref="E201:E202"/>
    <mergeCell ref="F201:F202"/>
    <mergeCell ref="H218:H219"/>
    <mergeCell ref="D223:D224"/>
    <mergeCell ref="E223:E224"/>
    <mergeCell ref="F223:F224"/>
    <mergeCell ref="G223:G224"/>
    <mergeCell ref="D218:D219"/>
    <mergeCell ref="E218:E219"/>
    <mergeCell ref="F218:F219"/>
    <mergeCell ref="G218:G219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43"/>
  <sheetViews>
    <sheetView topLeftCell="C11" workbookViewId="0">
      <selection activeCell="J30" sqref="J30"/>
    </sheetView>
  </sheetViews>
  <sheetFormatPr defaultColWidth="9.00390625" defaultRowHeight="13.5" x14ac:dyDescent="0.1"/>
  <cols>
    <col min="1" max="1" width="7.015625" style="27" hidden="1" customWidth="1"/>
    <col min="2" max="2" width="25.9609375" style="94" hidden="1" customWidth="1"/>
    <col min="3" max="4" width="9.00390625" style="27" customWidth="1"/>
    <col min="5" max="5" width="14.96875" style="94" customWidth="1"/>
    <col min="6" max="6" width="16.01953125" style="94" customWidth="1"/>
    <col min="7" max="7" width="12.98046875" style="94" hidden="1" customWidth="1"/>
    <col min="8" max="8" width="49" style="94" hidden="1" customWidth="1"/>
    <col min="9" max="9" width="18.0078125" style="94" hidden="1" customWidth="1"/>
    <col min="10" max="10" width="49" style="94" customWidth="1"/>
    <col min="11" max="11" width="34.03125" style="94" customWidth="1"/>
    <col min="12" max="12" width="9.00390625" style="27" hidden="1" customWidth="1"/>
    <col min="13" max="13" width="9.00390625" style="27" customWidth="1"/>
    <col min="14" max="16384" width="9.00390625" style="27"/>
  </cols>
  <sheetData>
    <row r="1" spans="1:21" x14ac:dyDescent="0.1">
      <c r="A1" s="835" t="s">
        <v>5820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</row>
    <row r="2" spans="1:21" x14ac:dyDescent="0.1">
      <c r="A2" s="835"/>
      <c r="B2" s="835"/>
      <c r="C2" s="835"/>
      <c r="D2" s="835"/>
      <c r="E2" s="835"/>
      <c r="F2" s="835"/>
      <c r="G2" s="835"/>
      <c r="H2" s="835"/>
      <c r="I2" s="835"/>
      <c r="J2" s="835"/>
      <c r="K2" s="835"/>
    </row>
    <row r="3" spans="1:21" x14ac:dyDescent="0.1">
      <c r="A3" s="836"/>
      <c r="B3" s="836"/>
      <c r="C3" s="836"/>
      <c r="D3" s="836"/>
      <c r="E3" s="836"/>
      <c r="F3" s="836"/>
      <c r="G3" s="836"/>
      <c r="H3" s="836"/>
      <c r="I3" s="836"/>
      <c r="J3" s="836"/>
      <c r="K3" s="836"/>
    </row>
    <row r="4" spans="1:21" ht="29.25" customHeight="1" x14ac:dyDescent="0.1">
      <c r="A4" s="28" t="s">
        <v>3589</v>
      </c>
      <c r="B4" s="29" t="s">
        <v>5821</v>
      </c>
      <c r="C4" s="30" t="s">
        <v>5519</v>
      </c>
      <c r="D4" s="31" t="s">
        <v>5822</v>
      </c>
      <c r="E4" s="32" t="s">
        <v>5520</v>
      </c>
      <c r="F4" s="32" t="s">
        <v>5521</v>
      </c>
      <c r="G4" s="33" t="s">
        <v>5522</v>
      </c>
      <c r="H4" s="34" t="s">
        <v>5523</v>
      </c>
      <c r="I4" s="33" t="s">
        <v>5823</v>
      </c>
      <c r="J4" s="33" t="s">
        <v>5824</v>
      </c>
      <c r="K4" s="35" t="s">
        <v>265</v>
      </c>
      <c r="L4" s="36"/>
      <c r="N4" s="36"/>
    </row>
    <row r="5" spans="1:21" ht="34.5" customHeight="1" x14ac:dyDescent="0.1">
      <c r="A5" s="37" t="s">
        <v>5825</v>
      </c>
      <c r="B5" s="38" t="s">
        <v>5826</v>
      </c>
      <c r="C5" s="39" t="s">
        <v>652</v>
      </c>
      <c r="D5" s="40" t="s">
        <v>4929</v>
      </c>
      <c r="E5" s="41" t="s">
        <v>5827</v>
      </c>
      <c r="F5" s="42" t="s">
        <v>654</v>
      </c>
      <c r="G5" s="41" t="s">
        <v>5828</v>
      </c>
      <c r="H5" s="43" t="s">
        <v>5829</v>
      </c>
      <c r="I5" s="41" t="s">
        <v>5830</v>
      </c>
      <c r="J5" s="41" t="s">
        <v>5831</v>
      </c>
      <c r="K5" s="44" t="s">
        <v>653</v>
      </c>
      <c r="L5" s="45"/>
      <c r="M5" s="389" t="s">
        <v>652</v>
      </c>
      <c r="N5" s="45"/>
      <c r="O5" s="45"/>
      <c r="P5" s="45"/>
      <c r="Q5" s="45"/>
      <c r="R5" s="45"/>
      <c r="S5" s="45"/>
      <c r="T5" s="45"/>
      <c r="U5" s="45"/>
    </row>
    <row r="6" spans="1:21" ht="14.25" x14ac:dyDescent="0.1">
      <c r="A6" s="46" t="s">
        <v>5832</v>
      </c>
      <c r="B6" s="47" t="s">
        <v>5833</v>
      </c>
      <c r="C6" s="48" t="s">
        <v>2515</v>
      </c>
      <c r="D6" s="49" t="s">
        <v>4929</v>
      </c>
      <c r="E6" s="50" t="s">
        <v>5834</v>
      </c>
      <c r="F6" s="50" t="s">
        <v>5835</v>
      </c>
      <c r="G6" s="51" t="s">
        <v>5836</v>
      </c>
      <c r="H6" s="52" t="s">
        <v>5837</v>
      </c>
      <c r="I6" s="53" t="s">
        <v>5838</v>
      </c>
      <c r="J6" s="53" t="s">
        <v>5839</v>
      </c>
      <c r="K6" s="54" t="s">
        <v>2516</v>
      </c>
      <c r="L6" s="45"/>
      <c r="M6" s="389" t="s">
        <v>2515</v>
      </c>
      <c r="N6" s="45"/>
      <c r="O6" s="45"/>
      <c r="P6" s="45"/>
      <c r="Q6" s="45"/>
      <c r="R6" s="45"/>
      <c r="S6" s="45"/>
      <c r="T6" s="45"/>
      <c r="U6" s="45"/>
    </row>
    <row r="7" spans="1:21" ht="14.25" x14ac:dyDescent="0.1">
      <c r="A7" s="46" t="s">
        <v>5840</v>
      </c>
      <c r="B7" s="55" t="s">
        <v>5841</v>
      </c>
      <c r="C7" s="48" t="s">
        <v>655</v>
      </c>
      <c r="D7" s="56" t="s">
        <v>4929</v>
      </c>
      <c r="E7" s="50" t="s">
        <v>5842</v>
      </c>
      <c r="F7" s="50" t="s">
        <v>657</v>
      </c>
      <c r="G7" s="50" t="s">
        <v>5843</v>
      </c>
      <c r="H7" s="57" t="s">
        <v>5844</v>
      </c>
      <c r="I7" s="51" t="s">
        <v>5845</v>
      </c>
      <c r="J7" s="51" t="s">
        <v>5846</v>
      </c>
      <c r="K7" s="58" t="s">
        <v>656</v>
      </c>
      <c r="L7" s="59" t="s">
        <v>5847</v>
      </c>
      <c r="M7" s="389" t="s">
        <v>655</v>
      </c>
      <c r="N7" s="45"/>
      <c r="O7" s="45"/>
      <c r="P7" s="45"/>
      <c r="Q7" s="45"/>
      <c r="R7" s="45"/>
      <c r="S7" s="45"/>
      <c r="T7" s="45"/>
      <c r="U7" s="45"/>
    </row>
    <row r="8" spans="1:21" ht="14.25" x14ac:dyDescent="0.1">
      <c r="A8" s="46" t="s">
        <v>5848</v>
      </c>
      <c r="B8" s="47" t="s">
        <v>5849</v>
      </c>
      <c r="C8" s="48" t="s">
        <v>5</v>
      </c>
      <c r="D8" s="56" t="s">
        <v>4934</v>
      </c>
      <c r="E8" s="50" t="s">
        <v>5850</v>
      </c>
      <c r="F8" s="50" t="s">
        <v>658</v>
      </c>
      <c r="G8" s="51" t="s">
        <v>5851</v>
      </c>
      <c r="H8" s="52" t="s">
        <v>5852</v>
      </c>
      <c r="I8" s="51" t="s">
        <v>5853</v>
      </c>
      <c r="J8" s="51" t="s">
        <v>5854</v>
      </c>
      <c r="K8" s="60" t="s">
        <v>142</v>
      </c>
      <c r="L8" s="45"/>
      <c r="M8" s="389" t="s">
        <v>5</v>
      </c>
      <c r="N8" s="45"/>
      <c r="O8" s="45"/>
      <c r="P8" s="45"/>
      <c r="Q8" s="45"/>
      <c r="R8" s="45"/>
      <c r="S8" s="45"/>
      <c r="T8" s="45"/>
      <c r="U8" s="45"/>
    </row>
    <row r="9" spans="1:21" ht="14.25" x14ac:dyDescent="0.1">
      <c r="A9" s="46" t="s">
        <v>5855</v>
      </c>
      <c r="B9" s="47" t="s">
        <v>5856</v>
      </c>
      <c r="C9" s="48" t="s">
        <v>662</v>
      </c>
      <c r="D9" s="49" t="s">
        <v>4929</v>
      </c>
      <c r="E9" s="50" t="s">
        <v>3683</v>
      </c>
      <c r="F9" s="50" t="s">
        <v>3684</v>
      </c>
      <c r="G9" s="51" t="s">
        <v>5857</v>
      </c>
      <c r="H9" s="52" t="s">
        <v>5858</v>
      </c>
      <c r="I9" s="51" t="s">
        <v>5859</v>
      </c>
      <c r="J9" s="51" t="s">
        <v>3682</v>
      </c>
      <c r="K9" s="60" t="s">
        <v>663</v>
      </c>
      <c r="L9" s="45"/>
      <c r="M9" s="389" t="s">
        <v>662</v>
      </c>
      <c r="N9" s="45"/>
      <c r="O9" s="45"/>
      <c r="P9" s="45"/>
      <c r="Q9" s="45"/>
      <c r="R9" s="45"/>
      <c r="S9" s="45"/>
      <c r="T9" s="45"/>
      <c r="U9" s="45"/>
    </row>
    <row r="10" spans="1:21" hidden="1" x14ac:dyDescent="0.1">
      <c r="A10" s="46" t="s">
        <v>5860</v>
      </c>
      <c r="B10" s="55" t="s">
        <v>5861</v>
      </c>
      <c r="C10" s="61" t="s">
        <v>2112</v>
      </c>
      <c r="D10" s="49" t="s">
        <v>4942</v>
      </c>
      <c r="E10" s="50" t="s">
        <v>5862</v>
      </c>
      <c r="F10" s="50" t="s">
        <v>5863</v>
      </c>
      <c r="G10" s="51"/>
      <c r="H10" s="52" t="s">
        <v>5864</v>
      </c>
      <c r="I10" s="51" t="s">
        <v>5865</v>
      </c>
      <c r="J10" s="51" t="s">
        <v>5866</v>
      </c>
      <c r="K10" s="62" t="s">
        <v>5867</v>
      </c>
      <c r="L10" s="45"/>
      <c r="N10" s="45"/>
      <c r="O10" s="45"/>
      <c r="P10" s="45"/>
      <c r="Q10" s="45"/>
      <c r="R10" s="45"/>
      <c r="S10" s="45"/>
      <c r="T10" s="45"/>
      <c r="U10" s="45"/>
    </row>
    <row r="11" spans="1:21" ht="14.25" x14ac:dyDescent="0.1">
      <c r="A11" s="46" t="s">
        <v>5868</v>
      </c>
      <c r="B11" s="47" t="s">
        <v>5869</v>
      </c>
      <c r="C11" s="48" t="s">
        <v>660</v>
      </c>
      <c r="D11" s="49" t="s">
        <v>4929</v>
      </c>
      <c r="E11" s="50" t="s">
        <v>3687</v>
      </c>
      <c r="F11" s="50" t="s">
        <v>3688</v>
      </c>
      <c r="G11" s="51" t="s">
        <v>5870</v>
      </c>
      <c r="H11" s="52" t="s">
        <v>5871</v>
      </c>
      <c r="I11" s="51" t="s">
        <v>5872</v>
      </c>
      <c r="J11" s="51" t="s">
        <v>5873</v>
      </c>
      <c r="K11" s="63" t="s">
        <v>661</v>
      </c>
      <c r="L11" s="45"/>
      <c r="M11" s="389" t="s">
        <v>660</v>
      </c>
      <c r="N11" s="45"/>
      <c r="O11" s="45"/>
      <c r="P11" s="45"/>
      <c r="Q11" s="45"/>
      <c r="R11" s="45"/>
      <c r="S11" s="45"/>
      <c r="T11" s="45"/>
      <c r="U11" s="45"/>
    </row>
    <row r="12" spans="1:21" ht="14.25" x14ac:dyDescent="0.1">
      <c r="A12" s="46" t="s">
        <v>5874</v>
      </c>
      <c r="B12" s="47" t="s">
        <v>5875</v>
      </c>
      <c r="C12" s="48" t="s">
        <v>2536</v>
      </c>
      <c r="D12" s="49" t="s">
        <v>4929</v>
      </c>
      <c r="E12" s="50" t="s">
        <v>3691</v>
      </c>
      <c r="F12" s="50" t="s">
        <v>3692</v>
      </c>
      <c r="G12" s="51" t="s">
        <v>5876</v>
      </c>
      <c r="H12" s="52" t="s">
        <v>5877</v>
      </c>
      <c r="I12" s="51" t="s">
        <v>5878</v>
      </c>
      <c r="J12" s="51" t="s">
        <v>3690</v>
      </c>
      <c r="K12" s="64" t="s">
        <v>2537</v>
      </c>
      <c r="L12" s="45"/>
      <c r="M12" s="389" t="s">
        <v>2536</v>
      </c>
      <c r="N12" s="45"/>
      <c r="O12" s="45"/>
      <c r="P12" s="45"/>
      <c r="Q12" s="45"/>
      <c r="R12" s="45"/>
      <c r="S12" s="45"/>
      <c r="T12" s="45"/>
      <c r="U12" s="45"/>
    </row>
    <row r="13" spans="1:21" hidden="1" x14ac:dyDescent="0.1">
      <c r="A13" s="46" t="s">
        <v>5879</v>
      </c>
      <c r="B13" s="65" t="s">
        <v>5880</v>
      </c>
      <c r="C13" s="48" t="s">
        <v>1479</v>
      </c>
      <c r="D13" s="49" t="s">
        <v>4942</v>
      </c>
      <c r="E13" s="50" t="s">
        <v>5881</v>
      </c>
      <c r="F13" s="66" t="s">
        <v>5882</v>
      </c>
      <c r="G13" s="51" t="s">
        <v>5883</v>
      </c>
      <c r="H13" s="52" t="s">
        <v>5884</v>
      </c>
      <c r="I13" s="51" t="s">
        <v>5885</v>
      </c>
      <c r="J13" s="51" t="s">
        <v>5886</v>
      </c>
      <c r="K13" s="67" t="s">
        <v>644</v>
      </c>
      <c r="L13" s="45"/>
      <c r="N13" s="45"/>
      <c r="O13" s="45"/>
      <c r="P13" s="45"/>
      <c r="Q13" s="45"/>
      <c r="R13" s="45"/>
      <c r="S13" s="45"/>
      <c r="T13" s="45"/>
      <c r="U13" s="45"/>
    </row>
    <row r="14" spans="1:21" ht="14.25" x14ac:dyDescent="0.1">
      <c r="A14" s="46" t="s">
        <v>5887</v>
      </c>
      <c r="B14" s="47" t="s">
        <v>5888</v>
      </c>
      <c r="C14" s="48" t="s">
        <v>143</v>
      </c>
      <c r="D14" s="49" t="s">
        <v>4929</v>
      </c>
      <c r="E14" s="50" t="s">
        <v>3695</v>
      </c>
      <c r="F14" s="50" t="s">
        <v>3696</v>
      </c>
      <c r="G14" s="51" t="s">
        <v>5889</v>
      </c>
      <c r="H14" s="52" t="s">
        <v>5890</v>
      </c>
      <c r="I14" s="51" t="s">
        <v>5891</v>
      </c>
      <c r="J14" s="51" t="s">
        <v>3694</v>
      </c>
      <c r="K14" s="68" t="s">
        <v>3697</v>
      </c>
      <c r="L14" s="45"/>
      <c r="M14" s="389" t="s">
        <v>143</v>
      </c>
      <c r="N14" s="45"/>
      <c r="O14" s="45"/>
      <c r="P14" s="45"/>
      <c r="Q14" s="45"/>
      <c r="R14" s="45"/>
      <c r="S14" s="45"/>
      <c r="T14" s="45"/>
      <c r="U14" s="45"/>
    </row>
    <row r="15" spans="1:21" ht="14.25" x14ac:dyDescent="0.1">
      <c r="A15" s="46" t="s">
        <v>5892</v>
      </c>
      <c r="B15" s="65" t="s">
        <v>5893</v>
      </c>
      <c r="C15" s="48" t="s">
        <v>1296</v>
      </c>
      <c r="D15" s="49" t="s">
        <v>4942</v>
      </c>
      <c r="E15" s="51" t="s">
        <v>5894</v>
      </c>
      <c r="F15" s="66" t="s">
        <v>5895</v>
      </c>
      <c r="G15" s="51"/>
      <c r="H15" s="52" t="s">
        <v>5896</v>
      </c>
      <c r="I15" s="69" t="s">
        <v>5897</v>
      </c>
      <c r="J15" s="51" t="s">
        <v>5898</v>
      </c>
      <c r="K15" s="67" t="s">
        <v>2948</v>
      </c>
      <c r="L15" s="45"/>
      <c r="M15" s="389" t="s">
        <v>1296</v>
      </c>
      <c r="N15" s="45"/>
      <c r="O15" s="45"/>
      <c r="P15" s="45"/>
      <c r="Q15" s="45"/>
      <c r="R15" s="45"/>
      <c r="S15" s="45"/>
      <c r="T15" s="45"/>
      <c r="U15" s="45"/>
    </row>
    <row r="16" spans="1:21" ht="14.25" x14ac:dyDescent="0.1">
      <c r="A16" s="46" t="s">
        <v>5899</v>
      </c>
      <c r="B16" s="47" t="s">
        <v>5900</v>
      </c>
      <c r="C16" s="48" t="s">
        <v>665</v>
      </c>
      <c r="D16" s="49" t="s">
        <v>4929</v>
      </c>
      <c r="E16" s="50" t="s">
        <v>3702</v>
      </c>
      <c r="F16" s="50" t="s">
        <v>3703</v>
      </c>
      <c r="G16" s="51" t="s">
        <v>5901</v>
      </c>
      <c r="H16" s="52" t="s">
        <v>5902</v>
      </c>
      <c r="I16" s="51" t="s">
        <v>5903</v>
      </c>
      <c r="J16" s="51" t="s">
        <v>5904</v>
      </c>
      <c r="K16" s="70" t="s">
        <v>666</v>
      </c>
      <c r="L16" s="45"/>
      <c r="M16" s="389" t="s">
        <v>665</v>
      </c>
      <c r="N16" s="45"/>
      <c r="O16" s="45"/>
      <c r="P16" s="45"/>
      <c r="Q16" s="45"/>
      <c r="R16" s="45"/>
      <c r="S16" s="45"/>
      <c r="T16" s="45"/>
      <c r="U16" s="45"/>
    </row>
    <row r="17" spans="1:21" ht="14.25" x14ac:dyDescent="0.1">
      <c r="A17" s="46" t="s">
        <v>5905</v>
      </c>
      <c r="B17" s="47" t="s">
        <v>5906</v>
      </c>
      <c r="C17" s="48" t="s">
        <v>667</v>
      </c>
      <c r="D17" s="56" t="s">
        <v>4942</v>
      </c>
      <c r="E17" s="50" t="s">
        <v>3706</v>
      </c>
      <c r="F17" s="50" t="s">
        <v>3707</v>
      </c>
      <c r="G17" s="51" t="s">
        <v>5907</v>
      </c>
      <c r="H17" s="52" t="s">
        <v>5864</v>
      </c>
      <c r="I17" s="71" t="s">
        <v>5908</v>
      </c>
      <c r="J17" s="51" t="s">
        <v>3705</v>
      </c>
      <c r="K17" s="70" t="s">
        <v>668</v>
      </c>
      <c r="L17" s="72"/>
      <c r="M17" s="389" t="s">
        <v>667</v>
      </c>
      <c r="N17" s="45"/>
      <c r="O17" s="45"/>
      <c r="P17" s="45"/>
      <c r="Q17" s="45"/>
      <c r="R17" s="45"/>
      <c r="S17" s="45"/>
      <c r="T17" s="45"/>
      <c r="U17" s="45"/>
    </row>
    <row r="18" spans="1:21" ht="14.25" x14ac:dyDescent="0.1">
      <c r="A18" s="46" t="s">
        <v>5909</v>
      </c>
      <c r="B18" s="47" t="s">
        <v>5910</v>
      </c>
      <c r="C18" s="61" t="s">
        <v>670</v>
      </c>
      <c r="D18" s="49" t="s">
        <v>4929</v>
      </c>
      <c r="E18" s="50" t="s">
        <v>3710</v>
      </c>
      <c r="F18" s="50" t="s">
        <v>3711</v>
      </c>
      <c r="G18" s="51" t="s">
        <v>5911</v>
      </c>
      <c r="H18" s="51" t="s">
        <v>5912</v>
      </c>
      <c r="I18" s="51" t="s">
        <v>5913</v>
      </c>
      <c r="J18" s="51" t="s">
        <v>5914</v>
      </c>
      <c r="K18" s="62" t="s">
        <v>671</v>
      </c>
      <c r="L18" s="72"/>
      <c r="M18" s="390" t="s">
        <v>670</v>
      </c>
      <c r="N18" s="45"/>
      <c r="O18" s="45"/>
      <c r="P18" s="45"/>
      <c r="Q18" s="45"/>
      <c r="R18" s="45"/>
      <c r="S18" s="45"/>
      <c r="T18" s="45"/>
      <c r="U18" s="45"/>
    </row>
    <row r="19" spans="1:21" ht="14.25" x14ac:dyDescent="0.1">
      <c r="A19" s="46" t="s">
        <v>5915</v>
      </c>
      <c r="B19" s="47"/>
      <c r="C19" s="48" t="s">
        <v>2553</v>
      </c>
      <c r="D19" s="49" t="s">
        <v>4929</v>
      </c>
      <c r="E19" s="50"/>
      <c r="F19" s="50" t="s">
        <v>3714</v>
      </c>
      <c r="G19" s="51" t="s">
        <v>5916</v>
      </c>
      <c r="H19" s="52"/>
      <c r="I19" s="51" t="s">
        <v>5917</v>
      </c>
      <c r="J19" s="51" t="s">
        <v>3713</v>
      </c>
      <c r="K19" s="64" t="s">
        <v>2554</v>
      </c>
      <c r="L19" s="72"/>
      <c r="M19" s="389" t="s">
        <v>2553</v>
      </c>
      <c r="N19" s="45"/>
      <c r="O19" s="45"/>
      <c r="P19" s="45"/>
      <c r="Q19" s="45"/>
      <c r="R19" s="45"/>
      <c r="S19" s="45"/>
      <c r="T19" s="45"/>
      <c r="U19" s="45"/>
    </row>
    <row r="20" spans="1:21" ht="14.25" x14ac:dyDescent="0.1">
      <c r="A20" s="46" t="s">
        <v>5918</v>
      </c>
      <c r="B20" s="73" t="s">
        <v>5919</v>
      </c>
      <c r="C20" s="48" t="s">
        <v>672</v>
      </c>
      <c r="D20" s="74" t="s">
        <v>5029</v>
      </c>
      <c r="E20" s="50" t="s">
        <v>3717</v>
      </c>
      <c r="F20" s="50" t="s">
        <v>3718</v>
      </c>
      <c r="G20" s="75" t="s">
        <v>5920</v>
      </c>
      <c r="H20" s="76" t="s">
        <v>5921</v>
      </c>
      <c r="I20" s="71" t="s">
        <v>5922</v>
      </c>
      <c r="J20" s="53" t="s">
        <v>5923</v>
      </c>
      <c r="K20" s="70" t="s">
        <v>673</v>
      </c>
      <c r="L20" s="72"/>
      <c r="M20" s="389" t="s">
        <v>672</v>
      </c>
      <c r="N20" s="45"/>
      <c r="O20" s="45"/>
      <c r="P20" s="45"/>
      <c r="Q20" s="45"/>
      <c r="R20" s="45"/>
      <c r="S20" s="45"/>
      <c r="T20" s="45"/>
      <c r="U20" s="45"/>
    </row>
    <row r="21" spans="1:21" ht="14.25" x14ac:dyDescent="0.1">
      <c r="A21" s="46" t="s">
        <v>5924</v>
      </c>
      <c r="B21" s="77" t="s">
        <v>5925</v>
      </c>
      <c r="C21" s="48" t="s">
        <v>2589</v>
      </c>
      <c r="D21" s="74" t="s">
        <v>5029</v>
      </c>
      <c r="E21" s="50" t="s">
        <v>3720</v>
      </c>
      <c r="F21" s="50" t="s">
        <v>3721</v>
      </c>
      <c r="G21" s="53" t="s">
        <v>5926</v>
      </c>
      <c r="H21" s="53" t="s">
        <v>5927</v>
      </c>
      <c r="I21" s="71" t="s">
        <v>5928</v>
      </c>
      <c r="J21" s="71" t="s">
        <v>5929</v>
      </c>
      <c r="K21" s="70" t="s">
        <v>2590</v>
      </c>
      <c r="L21" s="78"/>
      <c r="M21" s="389" t="s">
        <v>2589</v>
      </c>
      <c r="N21" s="45"/>
      <c r="O21" s="45"/>
      <c r="P21" s="45"/>
      <c r="Q21" s="45"/>
      <c r="R21" s="45"/>
      <c r="S21" s="45"/>
      <c r="T21" s="45"/>
      <c r="U21" s="45"/>
    </row>
    <row r="22" spans="1:21" ht="14.25" x14ac:dyDescent="0.1">
      <c r="A22" s="46" t="s">
        <v>5930</v>
      </c>
      <c r="B22" s="47" t="s">
        <v>5931</v>
      </c>
      <c r="C22" s="48" t="s">
        <v>674</v>
      </c>
      <c r="D22" s="49" t="s">
        <v>4929</v>
      </c>
      <c r="E22" s="50" t="s">
        <v>3723</v>
      </c>
      <c r="F22" s="50" t="s">
        <v>3724</v>
      </c>
      <c r="G22" s="51" t="s">
        <v>5932</v>
      </c>
      <c r="H22" s="52" t="s">
        <v>5933</v>
      </c>
      <c r="I22" s="51" t="s">
        <v>5934</v>
      </c>
      <c r="J22" s="51" t="s">
        <v>3722</v>
      </c>
      <c r="K22" s="64" t="s">
        <v>3725</v>
      </c>
      <c r="L22" s="72"/>
      <c r="M22" s="389" t="s">
        <v>674</v>
      </c>
      <c r="N22" s="45"/>
      <c r="O22" s="45"/>
      <c r="P22" s="45"/>
      <c r="Q22" s="45"/>
      <c r="R22" s="45"/>
      <c r="S22" s="45"/>
      <c r="T22" s="45"/>
      <c r="U22" s="45"/>
    </row>
    <row r="23" spans="1:21" ht="14.25" x14ac:dyDescent="0.1">
      <c r="A23" s="46" t="s">
        <v>5935</v>
      </c>
      <c r="B23" s="47" t="s">
        <v>5936</v>
      </c>
      <c r="C23" s="48" t="s">
        <v>676</v>
      </c>
      <c r="D23" s="49" t="s">
        <v>4929</v>
      </c>
      <c r="E23" s="50" t="s">
        <v>3728</v>
      </c>
      <c r="F23" s="50" t="s">
        <v>3729</v>
      </c>
      <c r="G23" s="50" t="s">
        <v>5937</v>
      </c>
      <c r="H23" s="52" t="s">
        <v>5938</v>
      </c>
      <c r="I23" s="50" t="s">
        <v>5939</v>
      </c>
      <c r="J23" s="51" t="s">
        <v>5940</v>
      </c>
      <c r="K23" s="70" t="s">
        <v>3730</v>
      </c>
      <c r="L23" s="72"/>
      <c r="M23" s="389" t="s">
        <v>676</v>
      </c>
      <c r="N23" s="45"/>
      <c r="O23" s="45"/>
      <c r="P23" s="45"/>
      <c r="Q23" s="45"/>
      <c r="R23" s="45"/>
      <c r="S23" s="45"/>
      <c r="T23" s="45"/>
      <c r="U23" s="45"/>
    </row>
    <row r="24" spans="1:21" ht="14.25" x14ac:dyDescent="0.1">
      <c r="A24" s="46" t="s">
        <v>5941</v>
      </c>
      <c r="B24" s="47" t="s">
        <v>4465</v>
      </c>
      <c r="C24" s="48" t="s">
        <v>2612</v>
      </c>
      <c r="D24" s="49" t="s">
        <v>4929</v>
      </c>
      <c r="E24" s="50" t="s">
        <v>3733</v>
      </c>
      <c r="F24" s="50" t="s">
        <v>2613</v>
      </c>
      <c r="G24" s="51" t="s">
        <v>5942</v>
      </c>
      <c r="H24" s="52" t="s">
        <v>5943</v>
      </c>
      <c r="I24" s="51" t="s">
        <v>5944</v>
      </c>
      <c r="J24" s="51" t="s">
        <v>5945</v>
      </c>
      <c r="K24" s="79" t="s">
        <v>3734</v>
      </c>
      <c r="L24" s="72"/>
      <c r="M24" s="389" t="s">
        <v>2612</v>
      </c>
      <c r="N24" s="45"/>
      <c r="O24" s="45"/>
      <c r="P24" s="45"/>
      <c r="Q24" s="45"/>
      <c r="R24" s="45"/>
      <c r="S24" s="45"/>
      <c r="T24" s="45"/>
      <c r="U24" s="45"/>
    </row>
    <row r="25" spans="1:21" ht="14.25" x14ac:dyDescent="0.1">
      <c r="A25" s="46" t="s">
        <v>5946</v>
      </c>
      <c r="B25" s="47" t="s">
        <v>5947</v>
      </c>
      <c r="C25" s="48" t="s">
        <v>2616</v>
      </c>
      <c r="D25" s="49" t="s">
        <v>4934</v>
      </c>
      <c r="E25" s="50"/>
      <c r="F25" s="50" t="s">
        <v>3736</v>
      </c>
      <c r="G25" s="51"/>
      <c r="H25" s="52"/>
      <c r="I25" s="51" t="s">
        <v>5948</v>
      </c>
      <c r="J25" s="51" t="s">
        <v>5949</v>
      </c>
      <c r="K25" s="79" t="s">
        <v>3737</v>
      </c>
      <c r="L25" s="72"/>
      <c r="M25" s="389" t="s">
        <v>2616</v>
      </c>
      <c r="N25" s="45"/>
      <c r="O25" s="45"/>
      <c r="P25" s="45"/>
      <c r="Q25" s="45"/>
      <c r="R25" s="45"/>
      <c r="S25" s="45"/>
      <c r="T25" s="45"/>
      <c r="U25" s="45"/>
    </row>
    <row r="26" spans="1:21" ht="14.25" x14ac:dyDescent="0.1">
      <c r="A26" s="46" t="s">
        <v>5950</v>
      </c>
      <c r="B26" s="47" t="s">
        <v>5951</v>
      </c>
      <c r="C26" s="48" t="s">
        <v>678</v>
      </c>
      <c r="D26" s="49" t="s">
        <v>4929</v>
      </c>
      <c r="E26" s="50" t="s">
        <v>3624</v>
      </c>
      <c r="F26" s="50" t="s">
        <v>3740</v>
      </c>
      <c r="G26" s="51" t="s">
        <v>5952</v>
      </c>
      <c r="H26" s="52"/>
      <c r="I26" s="51" t="s">
        <v>5953</v>
      </c>
      <c r="J26" s="51" t="s">
        <v>5954</v>
      </c>
      <c r="K26" s="80" t="s">
        <v>679</v>
      </c>
      <c r="L26" s="72"/>
      <c r="M26" s="389" t="s">
        <v>678</v>
      </c>
      <c r="N26" s="45"/>
      <c r="O26" s="45"/>
      <c r="P26" s="45"/>
      <c r="Q26" s="45"/>
      <c r="R26" s="45"/>
      <c r="S26" s="45"/>
      <c r="T26" s="45"/>
      <c r="U26" s="45"/>
    </row>
    <row r="27" spans="1:21" ht="14.25" x14ac:dyDescent="0.1">
      <c r="A27" s="46" t="s">
        <v>5955</v>
      </c>
      <c r="B27" s="47" t="s">
        <v>5956</v>
      </c>
      <c r="C27" s="48" t="s">
        <v>680</v>
      </c>
      <c r="D27" s="49" t="s">
        <v>4929</v>
      </c>
      <c r="E27" s="50" t="s">
        <v>3396</v>
      </c>
      <c r="F27" s="50" t="s">
        <v>3743</v>
      </c>
      <c r="G27" s="51" t="s">
        <v>5957</v>
      </c>
      <c r="H27" s="50" t="s">
        <v>5958</v>
      </c>
      <c r="I27" s="51" t="s">
        <v>5959</v>
      </c>
      <c r="J27" s="51" t="s">
        <v>3742</v>
      </c>
      <c r="K27" s="54" t="s">
        <v>681</v>
      </c>
      <c r="L27" s="72"/>
      <c r="M27" s="389" t="s">
        <v>680</v>
      </c>
      <c r="N27" s="45"/>
      <c r="O27" s="45"/>
      <c r="P27" s="45"/>
      <c r="Q27" s="45"/>
      <c r="R27" s="45"/>
      <c r="S27" s="45"/>
      <c r="T27" s="45"/>
      <c r="U27" s="45"/>
    </row>
    <row r="28" spans="1:21" ht="14.25" x14ac:dyDescent="0.1">
      <c r="A28" s="46" t="s">
        <v>5960</v>
      </c>
      <c r="B28" s="47" t="s">
        <v>5961</v>
      </c>
      <c r="C28" s="48" t="s">
        <v>2636</v>
      </c>
      <c r="D28" s="49" t="s">
        <v>4929</v>
      </c>
      <c r="E28" s="50" t="s">
        <v>3746</v>
      </c>
      <c r="F28" s="50" t="s">
        <v>2638</v>
      </c>
      <c r="G28" s="51" t="s">
        <v>5962</v>
      </c>
      <c r="H28" s="51" t="s">
        <v>5963</v>
      </c>
      <c r="I28" s="71" t="s">
        <v>5964</v>
      </c>
      <c r="J28" s="71" t="s">
        <v>3745</v>
      </c>
      <c r="K28" s="64" t="s">
        <v>2637</v>
      </c>
      <c r="L28" s="72"/>
      <c r="M28" s="389" t="s">
        <v>2636</v>
      </c>
      <c r="N28" s="45"/>
      <c r="O28" s="45"/>
      <c r="P28" s="45"/>
      <c r="Q28" s="45"/>
      <c r="R28" s="45"/>
      <c r="S28" s="45"/>
      <c r="T28" s="45"/>
      <c r="U28" s="45"/>
    </row>
    <row r="29" spans="1:21" ht="14.25" x14ac:dyDescent="0.1">
      <c r="A29" s="46" t="s">
        <v>5965</v>
      </c>
      <c r="B29" s="47" t="s">
        <v>5966</v>
      </c>
      <c r="C29" s="48" t="s">
        <v>2641</v>
      </c>
      <c r="D29" s="49" t="s">
        <v>4929</v>
      </c>
      <c r="E29" s="50" t="s">
        <v>3749</v>
      </c>
      <c r="F29" s="50" t="s">
        <v>3750</v>
      </c>
      <c r="G29" s="51" t="s">
        <v>5967</v>
      </c>
      <c r="H29" s="53"/>
      <c r="I29" s="71" t="s">
        <v>5968</v>
      </c>
      <c r="J29" s="51" t="s">
        <v>3748</v>
      </c>
      <c r="K29" s="60" t="s">
        <v>3751</v>
      </c>
      <c r="L29" s="72"/>
      <c r="M29" s="389" t="s">
        <v>2641</v>
      </c>
      <c r="N29" s="45"/>
      <c r="O29" s="45"/>
      <c r="P29" s="45"/>
      <c r="Q29" s="45"/>
      <c r="R29" s="45"/>
      <c r="S29" s="45"/>
      <c r="T29" s="45"/>
      <c r="U29" s="45"/>
    </row>
    <row r="30" spans="1:21" ht="14.25" x14ac:dyDescent="0.1">
      <c r="A30" s="46" t="s">
        <v>5969</v>
      </c>
      <c r="B30" s="47" t="s">
        <v>5970</v>
      </c>
      <c r="C30" s="48" t="s">
        <v>684</v>
      </c>
      <c r="D30" s="49" t="s">
        <v>4929</v>
      </c>
      <c r="E30" s="50" t="s">
        <v>3754</v>
      </c>
      <c r="F30" s="50" t="s">
        <v>3755</v>
      </c>
      <c r="G30" s="51"/>
      <c r="H30" s="52" t="s">
        <v>5971</v>
      </c>
      <c r="I30" s="51" t="s">
        <v>5972</v>
      </c>
      <c r="J30" s="51" t="s">
        <v>3753</v>
      </c>
      <c r="K30" s="54" t="s">
        <v>3756</v>
      </c>
      <c r="L30" s="72"/>
      <c r="M30" s="389" t="s">
        <v>684</v>
      </c>
      <c r="N30" s="45"/>
      <c r="O30" s="45"/>
      <c r="P30" s="45"/>
      <c r="Q30" s="45"/>
      <c r="R30" s="45"/>
      <c r="S30" s="45"/>
      <c r="T30" s="45"/>
      <c r="U30" s="45"/>
    </row>
    <row r="31" spans="1:21" ht="14.25" x14ac:dyDescent="0.1">
      <c r="A31" s="46" t="s">
        <v>5973</v>
      </c>
      <c r="B31" s="47" t="s">
        <v>5974</v>
      </c>
      <c r="C31" s="48" t="s">
        <v>687</v>
      </c>
      <c r="D31" s="56" t="s">
        <v>4929</v>
      </c>
      <c r="E31" s="50" t="s">
        <v>3758</v>
      </c>
      <c r="F31" s="51" t="s">
        <v>689</v>
      </c>
      <c r="G31" s="50" t="s">
        <v>5975</v>
      </c>
      <c r="H31" s="52" t="s">
        <v>5976</v>
      </c>
      <c r="I31" s="51" t="s">
        <v>5977</v>
      </c>
      <c r="J31" s="51" t="s">
        <v>5978</v>
      </c>
      <c r="K31" s="54" t="s">
        <v>688</v>
      </c>
      <c r="L31" s="72"/>
      <c r="M31" s="389" t="s">
        <v>687</v>
      </c>
      <c r="N31" s="45"/>
      <c r="O31" s="45"/>
      <c r="P31" s="45"/>
      <c r="Q31" s="45"/>
      <c r="R31" s="45"/>
      <c r="S31" s="45"/>
      <c r="T31" s="45"/>
      <c r="U31" s="45"/>
    </row>
    <row r="32" spans="1:21" ht="14.25" x14ac:dyDescent="0.1">
      <c r="A32" s="46" t="s">
        <v>5979</v>
      </c>
      <c r="B32" s="77" t="s">
        <v>5980</v>
      </c>
      <c r="C32" s="48" t="s">
        <v>2687</v>
      </c>
      <c r="D32" s="74" t="s">
        <v>4929</v>
      </c>
      <c r="E32" s="75" t="s">
        <v>3761</v>
      </c>
      <c r="F32" s="75" t="s">
        <v>3762</v>
      </c>
      <c r="G32" s="53" t="s">
        <v>5981</v>
      </c>
      <c r="H32" s="76" t="s">
        <v>5982</v>
      </c>
      <c r="I32" s="71" t="s">
        <v>5983</v>
      </c>
      <c r="J32" s="53" t="s">
        <v>5984</v>
      </c>
      <c r="K32" s="64" t="s">
        <v>2688</v>
      </c>
      <c r="L32" s="72"/>
      <c r="M32" s="389" t="s">
        <v>2687</v>
      </c>
      <c r="N32" s="45"/>
      <c r="O32" s="45"/>
      <c r="P32" s="45"/>
      <c r="Q32" s="45"/>
      <c r="R32" s="45"/>
      <c r="S32" s="45"/>
      <c r="T32" s="45"/>
      <c r="U32" s="45"/>
    </row>
    <row r="33" spans="1:21" ht="14.25" x14ac:dyDescent="0.1">
      <c r="A33" s="46" t="s">
        <v>5985</v>
      </c>
      <c r="B33" s="77" t="s">
        <v>5986</v>
      </c>
      <c r="C33" s="48" t="s">
        <v>2692</v>
      </c>
      <c r="D33" s="56" t="s">
        <v>4942</v>
      </c>
      <c r="E33" s="75"/>
      <c r="F33" s="75" t="s">
        <v>3765</v>
      </c>
      <c r="G33" s="53"/>
      <c r="H33" s="76"/>
      <c r="I33" s="53" t="s">
        <v>5987</v>
      </c>
      <c r="J33" s="51" t="s">
        <v>3764</v>
      </c>
      <c r="K33" s="80" t="s">
        <v>3766</v>
      </c>
      <c r="L33" s="45"/>
      <c r="M33" s="389" t="s">
        <v>2692</v>
      </c>
      <c r="N33" s="45"/>
      <c r="O33" s="45"/>
      <c r="P33" s="45"/>
      <c r="Q33" s="45"/>
      <c r="R33" s="45"/>
      <c r="S33" s="45"/>
      <c r="T33" s="45"/>
      <c r="U33" s="45"/>
    </row>
    <row r="34" spans="1:21" s="82" customFormat="1" ht="14.25" x14ac:dyDescent="0.1">
      <c r="A34" s="46" t="s">
        <v>5988</v>
      </c>
      <c r="B34" s="65" t="s">
        <v>5989</v>
      </c>
      <c r="C34" s="48" t="s">
        <v>690</v>
      </c>
      <c r="D34" s="49" t="s">
        <v>4942</v>
      </c>
      <c r="E34" s="51" t="s">
        <v>3769</v>
      </c>
      <c r="F34" s="50" t="s">
        <v>693</v>
      </c>
      <c r="G34" s="51" t="s">
        <v>5990</v>
      </c>
      <c r="H34" s="52" t="s">
        <v>5991</v>
      </c>
      <c r="I34" s="51" t="s">
        <v>5992</v>
      </c>
      <c r="J34" s="51" t="s">
        <v>3768</v>
      </c>
      <c r="K34" s="68" t="s">
        <v>691</v>
      </c>
      <c r="L34" s="81"/>
      <c r="M34" s="389" t="s">
        <v>690</v>
      </c>
      <c r="N34" s="81"/>
      <c r="O34" s="81"/>
      <c r="P34" s="81"/>
      <c r="Q34" s="81"/>
      <c r="R34" s="81"/>
      <c r="S34" s="81"/>
      <c r="T34" s="81"/>
      <c r="U34" s="81"/>
    </row>
    <row r="35" spans="1:21" s="82" customFormat="1" ht="14.25" x14ac:dyDescent="0.1">
      <c r="A35" s="37">
        <v>31</v>
      </c>
      <c r="B35" s="83" t="s">
        <v>5993</v>
      </c>
      <c r="C35" s="39" t="s">
        <v>2490</v>
      </c>
      <c r="D35" s="40" t="s">
        <v>4942</v>
      </c>
      <c r="E35" s="41" t="s">
        <v>3772</v>
      </c>
      <c r="F35" s="42" t="s">
        <v>3773</v>
      </c>
      <c r="G35" s="41"/>
      <c r="H35" s="43" t="s">
        <v>5991</v>
      </c>
      <c r="I35" s="41" t="s">
        <v>5994</v>
      </c>
      <c r="J35" s="41" t="s">
        <v>3771</v>
      </c>
      <c r="K35" s="84" t="s">
        <v>3774</v>
      </c>
      <c r="L35" s="81"/>
      <c r="M35" s="389" t="s">
        <v>2490</v>
      </c>
      <c r="N35" s="81"/>
      <c r="O35" s="81"/>
      <c r="P35" s="81"/>
      <c r="Q35" s="81"/>
      <c r="R35" s="81"/>
      <c r="S35" s="81"/>
      <c r="T35" s="81"/>
      <c r="U35" s="81"/>
    </row>
    <row r="36" spans="1:21" ht="14.25" x14ac:dyDescent="0.1">
      <c r="A36" s="85">
        <v>32</v>
      </c>
      <c r="B36" s="86" t="s">
        <v>5993</v>
      </c>
      <c r="C36" s="87" t="s">
        <v>2267</v>
      </c>
      <c r="D36" s="88" t="s">
        <v>4942</v>
      </c>
      <c r="E36" s="89" t="s">
        <v>3777</v>
      </c>
      <c r="F36" s="90" t="s">
        <v>3778</v>
      </c>
      <c r="G36" s="89"/>
      <c r="H36" s="91" t="s">
        <v>5991</v>
      </c>
      <c r="I36" s="89" t="s">
        <v>5995</v>
      </c>
      <c r="J36" s="89" t="s">
        <v>3776</v>
      </c>
      <c r="K36" s="92" t="s">
        <v>3779</v>
      </c>
      <c r="L36" s="45"/>
      <c r="M36" s="389" t="s">
        <v>2267</v>
      </c>
      <c r="N36" s="45"/>
      <c r="O36" s="45"/>
      <c r="P36" s="45"/>
      <c r="Q36" s="45"/>
      <c r="R36" s="45"/>
      <c r="S36" s="45"/>
      <c r="T36" s="45"/>
      <c r="U36" s="45"/>
    </row>
    <row r="37" spans="1:21" x14ac:dyDescent="0.1">
      <c r="A37" s="45"/>
      <c r="B37" s="66"/>
      <c r="C37" s="93"/>
      <c r="D37" s="45"/>
      <c r="E37" s="66"/>
      <c r="F37" s="66"/>
      <c r="G37" s="66"/>
      <c r="H37" s="66"/>
      <c r="I37" s="66"/>
      <c r="J37" s="66"/>
      <c r="K37" s="66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 spans="1:21" x14ac:dyDescent="0.1">
      <c r="A38" s="45"/>
      <c r="B38" s="66"/>
      <c r="C38" s="45" t="s">
        <v>690</v>
      </c>
      <c r="D38" s="45"/>
      <c r="E38" s="66"/>
      <c r="F38" s="66" t="s">
        <v>4027</v>
      </c>
      <c r="G38" s="66"/>
      <c r="H38" s="66"/>
      <c r="I38" s="66"/>
      <c r="J38" s="66"/>
      <c r="K38" s="66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41" spans="1:21" x14ac:dyDescent="0.1">
      <c r="A41" s="95"/>
    </row>
    <row r="43" spans="1:21" x14ac:dyDescent="0.1">
      <c r="A43" s="96"/>
    </row>
  </sheetData>
  <mergeCells count="1">
    <mergeCell ref="A1:K3"/>
  </mergeCells>
  <phoneticPr fontId="1" type="noConversion"/>
  <hyperlinks>
    <hyperlink ref="K21" r:id="rId1" xr:uid="{00000000-0004-0000-1300-000000000000}"/>
    <hyperlink ref="K22" r:id="rId2" xr:uid="{00000000-0004-0000-1300-000001000000}"/>
    <hyperlink ref="K11" r:id="rId3" xr:uid="{00000000-0004-0000-1300-000002000000}"/>
    <hyperlink ref="K26" r:id="rId4" xr:uid="{00000000-0004-0000-1300-000003000000}"/>
    <hyperlink ref="K6" r:id="rId5" xr:uid="{00000000-0004-0000-1300-000004000000}"/>
    <hyperlink ref="K13" r:id="rId6" xr:uid="{00000000-0004-0000-1300-000005000000}"/>
    <hyperlink ref="K30" r:id="rId7" xr:uid="{00000000-0004-0000-1300-000006000000}"/>
    <hyperlink ref="K31" r:id="rId8" xr:uid="{00000000-0004-0000-1300-000007000000}"/>
    <hyperlink ref="K14" r:id="rId9" xr:uid="{00000000-0004-0000-1300-000008000000}"/>
    <hyperlink ref="K7" r:id="rId10" xr:uid="{00000000-0004-0000-1300-000009000000}"/>
    <hyperlink ref="L7" r:id="rId11" xr:uid="{00000000-0004-0000-1300-00000A000000}"/>
    <hyperlink ref="K35" r:id="rId12" xr:uid="{00000000-0004-0000-1300-00000B000000}"/>
    <hyperlink ref="K36" r:id="rId13" xr:uid="{00000000-0004-0000-1300-00000C000000}"/>
    <hyperlink ref="K34" r:id="rId14" xr:uid="{00000000-0004-0000-1300-00000D000000}"/>
    <hyperlink ref="K12" r:id="rId15" xr:uid="{00000000-0004-0000-1300-00000E000000}"/>
    <hyperlink ref="K15" r:id="rId16" xr:uid="{00000000-0004-0000-1300-00000F000000}"/>
    <hyperlink ref="K19" r:id="rId17" xr:uid="{00000000-0004-0000-1300-000010000000}"/>
    <hyperlink ref="K25" r:id="rId18" xr:uid="{00000000-0004-0000-1300-000011000000}"/>
    <hyperlink ref="K28" r:id="rId19" xr:uid="{00000000-0004-0000-1300-000012000000}"/>
    <hyperlink ref="K32" r:id="rId20" xr:uid="{00000000-0004-0000-1300-000013000000}"/>
    <hyperlink ref="K27" r:id="rId21" xr:uid="{00000000-0004-0000-1300-000014000000}"/>
    <hyperlink ref="K24" r:id="rId22" xr:uid="{00000000-0004-0000-1300-000015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2"/>
  <sheetViews>
    <sheetView workbookViewId="0">
      <selection activeCell="A24" sqref="A24"/>
    </sheetView>
  </sheetViews>
  <sheetFormatPr defaultColWidth="9.00390625" defaultRowHeight="12.75" x14ac:dyDescent="0.1"/>
  <cols>
    <col min="1" max="2" width="9.00390625" style="97" customWidth="1"/>
    <col min="3" max="3" width="54.02734375" style="97" customWidth="1"/>
    <col min="4" max="4" width="9.00390625" style="97" customWidth="1"/>
    <col min="5" max="16384" width="9.00390625" style="97"/>
  </cols>
  <sheetData>
    <row r="1" spans="1:3" ht="30.75" customHeight="1" x14ac:dyDescent="0.1">
      <c r="A1" s="837" t="s">
        <v>5996</v>
      </c>
      <c r="B1" s="837"/>
      <c r="C1" s="837"/>
    </row>
    <row r="3" spans="1:3" ht="15" customHeight="1" x14ac:dyDescent="0.1">
      <c r="A3" s="346" t="s">
        <v>262</v>
      </c>
      <c r="B3" s="347" t="s">
        <v>5997</v>
      </c>
      <c r="C3" s="348" t="s">
        <v>3591</v>
      </c>
    </row>
    <row r="4" spans="1:3" ht="15" customHeight="1" x14ac:dyDescent="0.1">
      <c r="A4" s="349" t="s">
        <v>3351</v>
      </c>
      <c r="B4" s="350"/>
      <c r="C4" s="351" t="s">
        <v>4913</v>
      </c>
    </row>
    <row r="5" spans="1:3" ht="15" customHeight="1" x14ac:dyDescent="0.1">
      <c r="A5" s="352" t="s">
        <v>3871</v>
      </c>
      <c r="B5" s="353" t="s">
        <v>5253</v>
      </c>
      <c r="C5" s="354" t="s">
        <v>5998</v>
      </c>
    </row>
    <row r="6" spans="1:3" ht="15" customHeight="1" x14ac:dyDescent="0.1">
      <c r="A6" s="352" t="s">
        <v>3395</v>
      </c>
      <c r="B6" s="353" t="s">
        <v>4942</v>
      </c>
      <c r="C6" s="354" t="s">
        <v>5999</v>
      </c>
    </row>
    <row r="7" spans="1:3" ht="15" customHeight="1" x14ac:dyDescent="0.1">
      <c r="A7" s="352" t="s">
        <v>2541</v>
      </c>
      <c r="B7" s="353"/>
      <c r="C7" s="355" t="s">
        <v>3852</v>
      </c>
    </row>
    <row r="8" spans="1:3" ht="15" customHeight="1" x14ac:dyDescent="0.1">
      <c r="A8" s="352" t="s">
        <v>3414</v>
      </c>
      <c r="B8" s="353" t="s">
        <v>4929</v>
      </c>
      <c r="C8" s="354" t="s">
        <v>3875</v>
      </c>
    </row>
    <row r="9" spans="1:3" ht="21" x14ac:dyDescent="0.1">
      <c r="A9" s="352" t="s">
        <v>1296</v>
      </c>
      <c r="B9" s="353" t="s">
        <v>4942</v>
      </c>
      <c r="C9" s="355" t="s">
        <v>6000</v>
      </c>
    </row>
    <row r="10" spans="1:3" ht="15.75" customHeight="1" x14ac:dyDescent="0.1">
      <c r="A10" s="352" t="s">
        <v>3876</v>
      </c>
      <c r="B10" s="353" t="s">
        <v>6001</v>
      </c>
      <c r="C10" s="355" t="s">
        <v>3878</v>
      </c>
    </row>
    <row r="11" spans="1:3" ht="15.75" customHeight="1" x14ac:dyDescent="0.1">
      <c r="A11" s="352" t="s">
        <v>3879</v>
      </c>
      <c r="B11" s="353" t="s">
        <v>4929</v>
      </c>
      <c r="C11" s="356" t="s">
        <v>3881</v>
      </c>
    </row>
    <row r="12" spans="1:3" ht="15.75" customHeight="1" x14ac:dyDescent="0.1">
      <c r="A12" s="352" t="s">
        <v>2555</v>
      </c>
      <c r="B12" s="353" t="s">
        <v>4929</v>
      </c>
      <c r="C12" s="356" t="s">
        <v>3860</v>
      </c>
    </row>
    <row r="13" spans="1:3" ht="30.75" x14ac:dyDescent="0.1">
      <c r="A13" s="352" t="s">
        <v>6002</v>
      </c>
      <c r="B13" s="353" t="s">
        <v>4929</v>
      </c>
      <c r="C13" s="357" t="s">
        <v>6003</v>
      </c>
    </row>
    <row r="14" spans="1:3" ht="14.25" customHeight="1" x14ac:dyDescent="0.1">
      <c r="A14" s="352" t="s">
        <v>3471</v>
      </c>
      <c r="B14" s="353" t="s">
        <v>4929</v>
      </c>
      <c r="C14" s="356" t="s">
        <v>6004</v>
      </c>
    </row>
    <row r="15" spans="1:3" ht="14.25" customHeight="1" x14ac:dyDescent="0.1">
      <c r="A15" s="352" t="s">
        <v>2575</v>
      </c>
      <c r="B15" s="353" t="s">
        <v>4929</v>
      </c>
      <c r="C15" s="356" t="s">
        <v>3866</v>
      </c>
    </row>
    <row r="16" spans="1:3" ht="14.25" customHeight="1" x14ac:dyDescent="0.1">
      <c r="A16" s="352" t="s">
        <v>2603</v>
      </c>
      <c r="B16" s="353"/>
      <c r="C16" s="356" t="s">
        <v>3854</v>
      </c>
    </row>
    <row r="17" spans="1:3" ht="21" x14ac:dyDescent="0.1">
      <c r="A17" s="352" t="s">
        <v>2610</v>
      </c>
      <c r="B17" s="353" t="s">
        <v>4929</v>
      </c>
      <c r="C17" s="357" t="s">
        <v>6005</v>
      </c>
    </row>
    <row r="18" spans="1:3" ht="15" customHeight="1" x14ac:dyDescent="0.1">
      <c r="A18" s="352" t="s">
        <v>3882</v>
      </c>
      <c r="B18" s="353"/>
      <c r="C18" s="356" t="s">
        <v>3883</v>
      </c>
    </row>
    <row r="19" spans="1:3" ht="30.75" x14ac:dyDescent="0.1">
      <c r="A19" s="352" t="s">
        <v>2424</v>
      </c>
      <c r="B19" s="353" t="s">
        <v>5278</v>
      </c>
      <c r="C19" s="357" t="s">
        <v>6006</v>
      </c>
    </row>
    <row r="20" spans="1:3" ht="15.75" customHeight="1" x14ac:dyDescent="0.1">
      <c r="A20" s="352" t="s">
        <v>3869</v>
      </c>
      <c r="B20" s="353" t="s">
        <v>4929</v>
      </c>
      <c r="C20" s="354" t="s">
        <v>6007</v>
      </c>
    </row>
    <row r="21" spans="1:3" ht="15.75" customHeight="1" x14ac:dyDescent="0.1">
      <c r="A21" s="358" t="s">
        <v>2263</v>
      </c>
      <c r="B21" s="353" t="s">
        <v>4934</v>
      </c>
      <c r="C21" s="354" t="s">
        <v>6008</v>
      </c>
    </row>
    <row r="22" spans="1:3" ht="15.75" customHeight="1" x14ac:dyDescent="0.1">
      <c r="A22" s="359" t="s">
        <v>2976</v>
      </c>
      <c r="B22" s="360" t="s">
        <v>4929</v>
      </c>
      <c r="C22" s="361" t="s">
        <v>6009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E44"/>
  <sheetViews>
    <sheetView topLeftCell="A22" workbookViewId="0">
      <selection activeCell="A38" sqref="A38:B38"/>
    </sheetView>
  </sheetViews>
  <sheetFormatPr defaultColWidth="9.00390625" defaultRowHeight="12" x14ac:dyDescent="0.1"/>
  <cols>
    <col min="1" max="1" width="5.9609375" style="5" customWidth="1"/>
    <col min="2" max="2" width="9.00390625" style="25" customWidth="1"/>
    <col min="3" max="3" width="47.01171875" style="25" customWidth="1"/>
    <col min="4" max="4" width="43.96875" style="25" customWidth="1"/>
    <col min="5" max="5" width="38.94140625" style="26" customWidth="1"/>
    <col min="6" max="6" width="9.00390625" style="5" customWidth="1"/>
    <col min="7" max="16384" width="9.00390625" style="5"/>
  </cols>
  <sheetData>
    <row r="2" spans="1:5" ht="33.75" customHeight="1" x14ac:dyDescent="0.1">
      <c r="A2" s="847" t="s">
        <v>6010</v>
      </c>
      <c r="B2" s="847"/>
      <c r="C2" s="847"/>
      <c r="D2" s="847"/>
      <c r="E2" s="847"/>
    </row>
    <row r="3" spans="1:5" ht="20.100000000000001" customHeight="1" x14ac:dyDescent="0.1">
      <c r="A3" s="6"/>
      <c r="B3" s="6"/>
      <c r="C3" s="6"/>
      <c r="D3" s="6"/>
      <c r="E3" s="6"/>
    </row>
    <row r="4" spans="1:5" ht="15" customHeight="1" x14ac:dyDescent="0.1">
      <c r="A4" s="848"/>
      <c r="B4" s="848"/>
      <c r="C4" s="848"/>
      <c r="D4" s="848"/>
      <c r="E4" s="848"/>
    </row>
    <row r="5" spans="1:5" ht="32.1" customHeight="1" x14ac:dyDescent="0.1">
      <c r="A5" s="849" t="s">
        <v>6011</v>
      </c>
      <c r="B5" s="850"/>
      <c r="C5" s="7" t="s">
        <v>6012</v>
      </c>
      <c r="D5" s="7" t="s">
        <v>6013</v>
      </c>
      <c r="E5" s="8" t="s">
        <v>5653</v>
      </c>
    </row>
    <row r="6" spans="1:5" ht="21" customHeight="1" x14ac:dyDescent="0.1">
      <c r="A6" s="851" t="s">
        <v>6014</v>
      </c>
      <c r="B6" s="852"/>
      <c r="C6" s="9" t="s">
        <v>6015</v>
      </c>
      <c r="D6" s="10" t="s">
        <v>6016</v>
      </c>
      <c r="E6" s="11" t="s">
        <v>6017</v>
      </c>
    </row>
    <row r="7" spans="1:5" ht="21" customHeight="1" x14ac:dyDescent="0.1">
      <c r="A7" s="838"/>
      <c r="B7" s="839"/>
      <c r="C7" s="12" t="s">
        <v>6018</v>
      </c>
      <c r="D7" s="12" t="s">
        <v>6019</v>
      </c>
      <c r="E7" s="13" t="s">
        <v>6020</v>
      </c>
    </row>
    <row r="8" spans="1:5" ht="21" customHeight="1" x14ac:dyDescent="0.1">
      <c r="A8" s="845"/>
      <c r="B8" s="846"/>
      <c r="C8" s="14" t="s">
        <v>6021</v>
      </c>
      <c r="D8" s="14"/>
      <c r="E8" s="15" t="s">
        <v>6022</v>
      </c>
    </row>
    <row r="9" spans="1:5" ht="21" customHeight="1" x14ac:dyDescent="0.1">
      <c r="A9" s="838" t="s">
        <v>6023</v>
      </c>
      <c r="B9" s="839"/>
      <c r="C9" s="16" t="s">
        <v>6024</v>
      </c>
      <c r="D9" s="17" t="s">
        <v>6025</v>
      </c>
      <c r="E9" s="18" t="s">
        <v>6026</v>
      </c>
    </row>
    <row r="10" spans="1:5" ht="21" customHeight="1" x14ac:dyDescent="0.1">
      <c r="A10" s="838"/>
      <c r="B10" s="839"/>
      <c r="C10" s="12" t="s">
        <v>6027</v>
      </c>
      <c r="D10" s="12" t="s">
        <v>6028</v>
      </c>
      <c r="E10" s="13" t="s">
        <v>6029</v>
      </c>
    </row>
    <row r="11" spans="1:5" ht="21" customHeight="1" x14ac:dyDescent="0.1">
      <c r="A11" s="845"/>
      <c r="B11" s="846"/>
      <c r="C11" s="14" t="s">
        <v>6030</v>
      </c>
      <c r="D11" s="14" t="s">
        <v>6031</v>
      </c>
      <c r="E11" s="15" t="s">
        <v>6032</v>
      </c>
    </row>
    <row r="12" spans="1:5" ht="21" customHeight="1" x14ac:dyDescent="0.1">
      <c r="A12" s="840" t="s">
        <v>6033</v>
      </c>
      <c r="B12" s="841"/>
      <c r="C12" s="16" t="s">
        <v>6034</v>
      </c>
      <c r="D12" s="17" t="s">
        <v>6035</v>
      </c>
      <c r="E12" s="18" t="s">
        <v>6036</v>
      </c>
    </row>
    <row r="13" spans="1:5" ht="21" customHeight="1" x14ac:dyDescent="0.1">
      <c r="A13" s="838"/>
      <c r="B13" s="839"/>
      <c r="C13" s="12" t="s">
        <v>6037</v>
      </c>
      <c r="D13" s="12" t="s">
        <v>6038</v>
      </c>
      <c r="E13" s="13" t="s">
        <v>6039</v>
      </c>
    </row>
    <row r="14" spans="1:5" ht="21" customHeight="1" x14ac:dyDescent="0.1">
      <c r="A14" s="838"/>
      <c r="B14" s="839"/>
      <c r="C14" s="14" t="s">
        <v>6040</v>
      </c>
      <c r="D14" s="14" t="s">
        <v>6041</v>
      </c>
      <c r="E14" s="15" t="s">
        <v>6042</v>
      </c>
    </row>
    <row r="15" spans="1:5" ht="21" customHeight="1" x14ac:dyDescent="0.1">
      <c r="A15" s="840" t="s">
        <v>6043</v>
      </c>
      <c r="B15" s="841"/>
      <c r="C15" s="16" t="s">
        <v>6044</v>
      </c>
      <c r="D15" s="17" t="s">
        <v>6045</v>
      </c>
      <c r="E15" s="18" t="s">
        <v>6046</v>
      </c>
    </row>
    <row r="16" spans="1:5" ht="21" customHeight="1" x14ac:dyDescent="0.1">
      <c r="A16" s="838"/>
      <c r="B16" s="839"/>
      <c r="C16" s="12" t="s">
        <v>6047</v>
      </c>
      <c r="D16" s="12" t="s">
        <v>6048</v>
      </c>
      <c r="E16" s="13" t="s">
        <v>6049</v>
      </c>
    </row>
    <row r="17" spans="1:5" ht="21" customHeight="1" x14ac:dyDescent="0.1">
      <c r="A17" s="845"/>
      <c r="B17" s="846"/>
      <c r="C17" s="14" t="s">
        <v>6050</v>
      </c>
      <c r="D17" s="14" t="s">
        <v>6051</v>
      </c>
      <c r="E17" s="15" t="s">
        <v>6052</v>
      </c>
    </row>
    <row r="18" spans="1:5" ht="21" customHeight="1" x14ac:dyDescent="0.1">
      <c r="A18" s="840" t="s">
        <v>6053</v>
      </c>
      <c r="B18" s="841"/>
      <c r="C18" s="12" t="s">
        <v>6054</v>
      </c>
      <c r="D18" s="17" t="s">
        <v>1481</v>
      </c>
      <c r="E18" s="18" t="s">
        <v>6055</v>
      </c>
    </row>
    <row r="19" spans="1:5" ht="21" customHeight="1" x14ac:dyDescent="0.1">
      <c r="A19" s="838"/>
      <c r="B19" s="839"/>
      <c r="C19" s="12" t="s">
        <v>6056</v>
      </c>
      <c r="D19" s="19" t="s">
        <v>6057</v>
      </c>
      <c r="E19" s="13" t="s">
        <v>6058</v>
      </c>
    </row>
    <row r="20" spans="1:5" ht="21" customHeight="1" x14ac:dyDescent="0.1">
      <c r="A20" s="845"/>
      <c r="B20" s="846"/>
      <c r="C20" s="14"/>
      <c r="D20" s="14" t="s">
        <v>6059</v>
      </c>
      <c r="E20" s="15"/>
    </row>
    <row r="21" spans="1:5" ht="21" customHeight="1" x14ac:dyDescent="0.1">
      <c r="A21" s="840" t="s">
        <v>6060</v>
      </c>
      <c r="B21" s="841"/>
      <c r="C21" s="16" t="s">
        <v>6061</v>
      </c>
      <c r="D21" s="17" t="s">
        <v>6062</v>
      </c>
      <c r="E21" s="18" t="s">
        <v>6063</v>
      </c>
    </row>
    <row r="22" spans="1:5" ht="21" customHeight="1" x14ac:dyDescent="0.1">
      <c r="A22" s="838"/>
      <c r="B22" s="839"/>
      <c r="C22" s="12" t="s">
        <v>6064</v>
      </c>
      <c r="D22" s="12" t="s">
        <v>6065</v>
      </c>
      <c r="E22" s="13" t="s">
        <v>6066</v>
      </c>
    </row>
    <row r="23" spans="1:5" ht="21" customHeight="1" x14ac:dyDescent="0.1">
      <c r="A23" s="845"/>
      <c r="B23" s="846"/>
      <c r="C23" s="14" t="s">
        <v>6067</v>
      </c>
      <c r="D23" s="14" t="s">
        <v>6068</v>
      </c>
      <c r="E23" s="15" t="s">
        <v>6069</v>
      </c>
    </row>
    <row r="24" spans="1:5" ht="21" customHeight="1" x14ac:dyDescent="0.1">
      <c r="A24" s="840" t="s">
        <v>6070</v>
      </c>
      <c r="B24" s="841"/>
      <c r="C24" s="12" t="s">
        <v>6071</v>
      </c>
      <c r="D24" s="16"/>
      <c r="E24" s="18"/>
    </row>
    <row r="25" spans="1:5" ht="21" customHeight="1" x14ac:dyDescent="0.1">
      <c r="A25" s="845"/>
      <c r="B25" s="846"/>
      <c r="C25" s="14" t="s">
        <v>6072</v>
      </c>
      <c r="D25" s="12"/>
      <c r="E25" s="13"/>
    </row>
    <row r="26" spans="1:5" ht="21" customHeight="1" x14ac:dyDescent="0.1">
      <c r="A26" s="840" t="s">
        <v>6073</v>
      </c>
      <c r="B26" s="841"/>
      <c r="C26" s="16" t="s">
        <v>6074</v>
      </c>
      <c r="D26" s="17" t="s">
        <v>6075</v>
      </c>
      <c r="E26" s="18" t="s">
        <v>6076</v>
      </c>
    </row>
    <row r="27" spans="1:5" ht="21" customHeight="1" x14ac:dyDescent="0.1">
      <c r="A27" s="838"/>
      <c r="B27" s="839"/>
      <c r="C27" s="12" t="s">
        <v>6077</v>
      </c>
      <c r="D27" s="12" t="s">
        <v>6078</v>
      </c>
      <c r="E27" s="13" t="s">
        <v>6079</v>
      </c>
    </row>
    <row r="28" spans="1:5" ht="21" customHeight="1" x14ac:dyDescent="0.1">
      <c r="A28" s="838"/>
      <c r="B28" s="839"/>
      <c r="C28" s="14" t="s">
        <v>6080</v>
      </c>
      <c r="D28" s="14" t="s">
        <v>6031</v>
      </c>
      <c r="E28" s="15" t="s">
        <v>6081</v>
      </c>
    </row>
    <row r="29" spans="1:5" ht="21" customHeight="1" x14ac:dyDescent="0.1">
      <c r="A29" s="840" t="s">
        <v>6082</v>
      </c>
      <c r="B29" s="841"/>
      <c r="C29" s="16" t="s">
        <v>6083</v>
      </c>
      <c r="D29" s="17" t="s">
        <v>6084</v>
      </c>
      <c r="E29" s="18" t="s">
        <v>6085</v>
      </c>
    </row>
    <row r="30" spans="1:5" ht="21" customHeight="1" x14ac:dyDescent="0.1">
      <c r="A30" s="838"/>
      <c r="B30" s="839"/>
      <c r="C30" s="12" t="s">
        <v>6086</v>
      </c>
      <c r="D30" s="12" t="s">
        <v>6087</v>
      </c>
      <c r="E30" s="13" t="s">
        <v>6088</v>
      </c>
    </row>
    <row r="31" spans="1:5" ht="21" customHeight="1" x14ac:dyDescent="0.1">
      <c r="A31" s="838"/>
      <c r="B31" s="839"/>
      <c r="C31" s="14" t="s">
        <v>6089</v>
      </c>
      <c r="D31" s="14" t="s">
        <v>6090</v>
      </c>
      <c r="E31" s="15" t="s">
        <v>6091</v>
      </c>
    </row>
    <row r="32" spans="1:5" ht="21" customHeight="1" x14ac:dyDescent="0.1">
      <c r="A32" s="840" t="s">
        <v>6092</v>
      </c>
      <c r="B32" s="841"/>
      <c r="C32" s="16" t="s">
        <v>6093</v>
      </c>
      <c r="D32" s="17" t="s">
        <v>6094</v>
      </c>
      <c r="E32" s="18" t="s">
        <v>6095</v>
      </c>
    </row>
    <row r="33" spans="1:5" ht="21" customHeight="1" x14ac:dyDescent="0.1">
      <c r="A33" s="838"/>
      <c r="B33" s="839"/>
      <c r="C33" s="12" t="s">
        <v>6096</v>
      </c>
      <c r="D33" s="12" t="s">
        <v>6097</v>
      </c>
      <c r="E33" s="13" t="s">
        <v>6098</v>
      </c>
    </row>
    <row r="34" spans="1:5" ht="21" customHeight="1" x14ac:dyDescent="0.1">
      <c r="A34" s="838"/>
      <c r="B34" s="839"/>
      <c r="C34" s="14" t="s">
        <v>6099</v>
      </c>
      <c r="D34" s="14" t="s">
        <v>5039</v>
      </c>
      <c r="E34" s="15" t="s">
        <v>6100</v>
      </c>
    </row>
    <row r="35" spans="1:5" ht="21" customHeight="1" x14ac:dyDescent="0.1">
      <c r="A35" s="840" t="s">
        <v>6101</v>
      </c>
      <c r="B35" s="841"/>
      <c r="C35" s="16" t="s">
        <v>6102</v>
      </c>
      <c r="D35" s="17" t="s">
        <v>6103</v>
      </c>
      <c r="E35" s="18" t="s">
        <v>6104</v>
      </c>
    </row>
    <row r="36" spans="1:5" ht="21" customHeight="1" x14ac:dyDescent="0.1">
      <c r="A36" s="838"/>
      <c r="B36" s="839"/>
      <c r="C36" s="12" t="s">
        <v>6105</v>
      </c>
      <c r="D36" s="12" t="s">
        <v>1309</v>
      </c>
      <c r="E36" s="13" t="s">
        <v>6106</v>
      </c>
    </row>
    <row r="37" spans="1:5" ht="21" customHeight="1" x14ac:dyDescent="0.1">
      <c r="A37" s="838"/>
      <c r="B37" s="839"/>
      <c r="C37" s="14" t="s">
        <v>6107</v>
      </c>
      <c r="D37" s="14" t="s">
        <v>4981</v>
      </c>
      <c r="E37" s="15" t="s">
        <v>4064</v>
      </c>
    </row>
    <row r="38" spans="1:5" ht="21" customHeight="1" x14ac:dyDescent="0.1">
      <c r="A38" s="840" t="s">
        <v>6108</v>
      </c>
      <c r="B38" s="841"/>
      <c r="C38" s="16" t="s">
        <v>6109</v>
      </c>
      <c r="D38" s="17" t="s">
        <v>6110</v>
      </c>
      <c r="E38" s="18" t="s">
        <v>6111</v>
      </c>
    </row>
    <row r="39" spans="1:5" ht="21" customHeight="1" x14ac:dyDescent="0.1">
      <c r="A39" s="838"/>
      <c r="B39" s="839"/>
      <c r="C39" s="12" t="s">
        <v>6112</v>
      </c>
      <c r="D39" s="12" t="s">
        <v>6113</v>
      </c>
      <c r="E39" s="13" t="s">
        <v>6114</v>
      </c>
    </row>
    <row r="40" spans="1:5" ht="21" customHeight="1" x14ac:dyDescent="0.1">
      <c r="A40" s="843"/>
      <c r="B40" s="844"/>
      <c r="C40" s="20" t="s">
        <v>6115</v>
      </c>
      <c r="D40" s="20" t="s">
        <v>6116</v>
      </c>
      <c r="E40" s="21" t="s">
        <v>6117</v>
      </c>
    </row>
    <row r="41" spans="1:5" ht="21" customHeight="1" x14ac:dyDescent="0.1">
      <c r="A41" s="22"/>
      <c r="B41" s="22"/>
      <c r="C41" s="23"/>
      <c r="D41" s="23"/>
      <c r="E41" s="24"/>
    </row>
    <row r="43" spans="1:5" ht="23.1" customHeight="1" x14ac:dyDescent="0.1">
      <c r="A43" s="842" t="s">
        <v>6118</v>
      </c>
      <c r="B43" s="842"/>
      <c r="C43" s="842"/>
      <c r="D43" s="842"/>
      <c r="E43" s="842"/>
    </row>
    <row r="44" spans="1:5" ht="23.1" customHeight="1" x14ac:dyDescent="0.1">
      <c r="A44" s="842" t="s">
        <v>6119</v>
      </c>
      <c r="B44" s="842"/>
      <c r="C44" s="842"/>
      <c r="D44" s="842"/>
      <c r="E44" s="842"/>
    </row>
  </sheetData>
  <mergeCells count="40">
    <mergeCell ref="A8:B8"/>
    <mergeCell ref="A9:B9"/>
    <mergeCell ref="A11:B11"/>
    <mergeCell ref="A12:B12"/>
    <mergeCell ref="A2:E2"/>
    <mergeCell ref="A4:E4"/>
    <mergeCell ref="A5:B5"/>
    <mergeCell ref="A6:B6"/>
    <mergeCell ref="A7:B7"/>
    <mergeCell ref="A13:B13"/>
    <mergeCell ref="A15:B15"/>
    <mergeCell ref="A19:B19"/>
    <mergeCell ref="A10:B10"/>
    <mergeCell ref="A14:B14"/>
    <mergeCell ref="A16:B16"/>
    <mergeCell ref="A26:B26"/>
    <mergeCell ref="A22:B22"/>
    <mergeCell ref="A17:B17"/>
    <mergeCell ref="A23:B23"/>
    <mergeCell ref="A25:B25"/>
    <mergeCell ref="A24:B24"/>
    <mergeCell ref="A18:B18"/>
    <mergeCell ref="A20:B20"/>
    <mergeCell ref="A21:B21"/>
    <mergeCell ref="A39:B39"/>
    <mergeCell ref="A27:B27"/>
    <mergeCell ref="A29:B29"/>
    <mergeCell ref="A38:B38"/>
    <mergeCell ref="A44:E44"/>
    <mergeCell ref="A33:B33"/>
    <mergeCell ref="A34:B34"/>
    <mergeCell ref="A35:B35"/>
    <mergeCell ref="A36:B36"/>
    <mergeCell ref="A37:B37"/>
    <mergeCell ref="A40:B40"/>
    <mergeCell ref="A43:E43"/>
    <mergeCell ref="A32:B32"/>
    <mergeCell ref="A30:B30"/>
    <mergeCell ref="A31:B31"/>
    <mergeCell ref="A28:B28"/>
  </mergeCells>
  <phoneticPr fontId="1" type="noConversion"/>
  <hyperlinks>
    <hyperlink ref="D6" r:id="rId1" xr:uid="{00000000-0004-0000-1500-000000000000}"/>
    <hyperlink ref="D9" r:id="rId2" xr:uid="{00000000-0004-0000-1500-000001000000}"/>
    <hyperlink ref="D12" r:id="rId3" xr:uid="{00000000-0004-0000-1500-000002000000}"/>
    <hyperlink ref="D15" r:id="rId4" xr:uid="{00000000-0004-0000-1500-000003000000}"/>
    <hyperlink ref="D21" r:id="rId5" xr:uid="{00000000-0004-0000-1500-000004000000}"/>
    <hyperlink ref="D26" r:id="rId6" xr:uid="{00000000-0004-0000-1500-000005000000}"/>
    <hyperlink ref="D29" r:id="rId7" xr:uid="{00000000-0004-0000-1500-000006000000}"/>
    <hyperlink ref="D32" r:id="rId8" xr:uid="{00000000-0004-0000-1500-000007000000}"/>
    <hyperlink ref="D35" r:id="rId9" xr:uid="{00000000-0004-0000-1500-000008000000}"/>
    <hyperlink ref="D38" r:id="rId10" xr:uid="{00000000-0004-0000-1500-000009000000}"/>
    <hyperlink ref="D18" r:id="rId11" xr:uid="{00000000-0004-0000-1500-00000A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1"/>
  <sheetViews>
    <sheetView topLeftCell="D1" workbookViewId="0">
      <selection activeCell="N18" sqref="N18"/>
    </sheetView>
  </sheetViews>
  <sheetFormatPr defaultColWidth="9.00390625" defaultRowHeight="12.75" x14ac:dyDescent="0.1"/>
  <cols>
    <col min="1" max="1" width="5.02734375" style="169" customWidth="1"/>
    <col min="2" max="2" width="3.97265625" style="97" customWidth="1"/>
    <col min="3" max="3" width="14.96875" style="97" customWidth="1"/>
    <col min="4" max="4" width="29" style="169" customWidth="1"/>
    <col min="5" max="15" width="12.04296875" style="97" customWidth="1"/>
    <col min="16" max="16" width="9.00390625" style="97" customWidth="1"/>
    <col min="17" max="16384" width="9.00390625" style="97"/>
  </cols>
  <sheetData>
    <row r="1" spans="1:15" ht="36" customHeight="1" x14ac:dyDescent="0.1">
      <c r="A1" s="853" t="s">
        <v>6120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5"/>
    </row>
    <row r="2" spans="1:15" s="98" customFormat="1" ht="19.5" x14ac:dyDescent="0.1">
      <c r="A2" s="856" t="s">
        <v>6121</v>
      </c>
      <c r="B2" s="858" t="s">
        <v>6122</v>
      </c>
      <c r="C2" s="860" t="s">
        <v>6123</v>
      </c>
      <c r="D2" s="862" t="s">
        <v>6124</v>
      </c>
      <c r="E2" s="864" t="s">
        <v>6125</v>
      </c>
      <c r="F2" s="865"/>
      <c r="G2" s="866"/>
      <c r="H2" s="864" t="s">
        <v>6126</v>
      </c>
      <c r="I2" s="865"/>
      <c r="J2" s="865"/>
      <c r="K2" s="866"/>
      <c r="L2" s="864" t="s">
        <v>6127</v>
      </c>
      <c r="M2" s="865"/>
      <c r="N2" s="865"/>
      <c r="O2" s="866"/>
    </row>
    <row r="3" spans="1:15" s="102" customFormat="1" ht="19.5" x14ac:dyDescent="0.1">
      <c r="A3" s="857"/>
      <c r="B3" s="859"/>
      <c r="C3" s="861"/>
      <c r="D3" s="863"/>
      <c r="E3" s="99" t="s">
        <v>6128</v>
      </c>
      <c r="F3" s="100" t="s">
        <v>6129</v>
      </c>
      <c r="G3" s="101" t="s">
        <v>6130</v>
      </c>
      <c r="H3" s="99" t="s">
        <v>6128</v>
      </c>
      <c r="I3" s="100" t="s">
        <v>6129</v>
      </c>
      <c r="J3" s="100" t="s">
        <v>6131</v>
      </c>
      <c r="K3" s="101" t="s">
        <v>6130</v>
      </c>
      <c r="L3" s="99" t="s">
        <v>6128</v>
      </c>
      <c r="M3" s="100" t="s">
        <v>6129</v>
      </c>
      <c r="N3" s="100" t="s">
        <v>6131</v>
      </c>
      <c r="O3" s="101" t="s">
        <v>6130</v>
      </c>
    </row>
    <row r="4" spans="1:15" s="107" customFormat="1" ht="20.25" x14ac:dyDescent="0.1">
      <c r="A4" s="103">
        <v>27</v>
      </c>
      <c r="B4" s="867">
        <v>7</v>
      </c>
      <c r="C4" s="105">
        <v>40725</v>
      </c>
      <c r="D4" s="106" t="s">
        <v>6132</v>
      </c>
      <c r="E4" s="873" t="s">
        <v>6133</v>
      </c>
      <c r="F4" s="874"/>
      <c r="G4" s="875"/>
      <c r="H4" s="873" t="s">
        <v>6134</v>
      </c>
      <c r="I4" s="874"/>
      <c r="J4" s="874"/>
      <c r="K4" s="875"/>
      <c r="L4" s="873" t="s">
        <v>6135</v>
      </c>
      <c r="M4" s="874"/>
      <c r="N4" s="874"/>
      <c r="O4" s="875"/>
    </row>
    <row r="5" spans="1:15" s="117" customFormat="1" ht="20.25" x14ac:dyDescent="0.1">
      <c r="A5" s="108">
        <v>28</v>
      </c>
      <c r="B5" s="868"/>
      <c r="C5" s="109">
        <v>40732</v>
      </c>
      <c r="D5" s="110"/>
      <c r="E5" s="111" t="s">
        <v>492</v>
      </c>
      <c r="F5" s="112" t="s">
        <v>6136</v>
      </c>
      <c r="G5" s="113" t="s">
        <v>1281</v>
      </c>
      <c r="H5" s="111" t="s">
        <v>3246</v>
      </c>
      <c r="I5" s="112" t="s">
        <v>386</v>
      </c>
      <c r="J5" s="114" t="s">
        <v>6137</v>
      </c>
      <c r="K5" s="115" t="s">
        <v>710</v>
      </c>
      <c r="L5" s="116" t="s">
        <v>3246</v>
      </c>
      <c r="M5" s="112" t="s">
        <v>3316</v>
      </c>
      <c r="N5" s="114" t="s">
        <v>6138</v>
      </c>
      <c r="O5" s="115" t="s">
        <v>710</v>
      </c>
    </row>
    <row r="6" spans="1:15" s="107" customFormat="1" ht="20.25" x14ac:dyDescent="0.1">
      <c r="A6" s="118">
        <v>29</v>
      </c>
      <c r="B6" s="868"/>
      <c r="C6" s="119">
        <v>40739</v>
      </c>
      <c r="D6" s="120" t="s">
        <v>6139</v>
      </c>
      <c r="E6" s="121" t="s">
        <v>492</v>
      </c>
      <c r="F6" s="122" t="s">
        <v>3487</v>
      </c>
      <c r="G6" s="123" t="s">
        <v>1281</v>
      </c>
      <c r="H6" s="121" t="s">
        <v>3256</v>
      </c>
      <c r="I6" s="122" t="s">
        <v>3289</v>
      </c>
      <c r="J6" s="124"/>
      <c r="K6" s="125" t="s">
        <v>710</v>
      </c>
      <c r="L6" s="126" t="s">
        <v>3256</v>
      </c>
      <c r="M6" s="122" t="s">
        <v>3327</v>
      </c>
      <c r="N6" s="124" t="s">
        <v>6138</v>
      </c>
      <c r="O6" s="125" t="s">
        <v>710</v>
      </c>
    </row>
    <row r="7" spans="1:15" s="117" customFormat="1" ht="20.25" x14ac:dyDescent="0.1">
      <c r="A7" s="108">
        <v>30</v>
      </c>
      <c r="B7" s="868"/>
      <c r="C7" s="109">
        <v>40746</v>
      </c>
      <c r="D7" s="110" t="s">
        <v>6139</v>
      </c>
      <c r="E7" s="111" t="s">
        <v>492</v>
      </c>
      <c r="F7" s="112" t="s">
        <v>6140</v>
      </c>
      <c r="G7" s="113" t="s">
        <v>1281</v>
      </c>
      <c r="H7" s="111" t="s">
        <v>3270</v>
      </c>
      <c r="I7" s="112" t="s">
        <v>1479</v>
      </c>
      <c r="J7" s="114"/>
      <c r="K7" s="115" t="s">
        <v>710</v>
      </c>
      <c r="L7" s="116" t="s">
        <v>3270</v>
      </c>
      <c r="M7" s="112" t="s">
        <v>6141</v>
      </c>
      <c r="N7" s="114" t="s">
        <v>6138</v>
      </c>
      <c r="O7" s="115" t="s">
        <v>710</v>
      </c>
    </row>
    <row r="8" spans="1:15" s="107" customFormat="1" ht="20.25" x14ac:dyDescent="0.1">
      <c r="A8" s="127">
        <v>31</v>
      </c>
      <c r="B8" s="869"/>
      <c r="C8" s="129">
        <v>40753</v>
      </c>
      <c r="D8" s="120" t="s">
        <v>6139</v>
      </c>
      <c r="E8" s="130" t="s">
        <v>492</v>
      </c>
      <c r="F8" s="131" t="s">
        <v>417</v>
      </c>
      <c r="G8" s="132" t="s">
        <v>1281</v>
      </c>
      <c r="H8" s="133" t="s">
        <v>3246</v>
      </c>
      <c r="I8" s="134" t="s">
        <v>734</v>
      </c>
      <c r="J8" s="135" t="s">
        <v>6142</v>
      </c>
      <c r="K8" s="136" t="s">
        <v>710</v>
      </c>
      <c r="L8" s="137" t="s">
        <v>3246</v>
      </c>
      <c r="M8" s="131" t="s">
        <v>491</v>
      </c>
      <c r="N8" s="138" t="s">
        <v>6138</v>
      </c>
      <c r="O8" s="139" t="s">
        <v>710</v>
      </c>
    </row>
    <row r="9" spans="1:15" s="117" customFormat="1" ht="20.25" x14ac:dyDescent="0.1">
      <c r="A9" s="104">
        <v>32</v>
      </c>
      <c r="B9" s="867">
        <v>8</v>
      </c>
      <c r="C9" s="140">
        <v>40760</v>
      </c>
      <c r="D9" s="141"/>
      <c r="E9" s="142" t="s">
        <v>492</v>
      </c>
      <c r="F9" s="143" t="s">
        <v>6143</v>
      </c>
      <c r="G9" s="144" t="s">
        <v>1281</v>
      </c>
      <c r="H9" s="142" t="s">
        <v>3256</v>
      </c>
      <c r="I9" s="143" t="s">
        <v>515</v>
      </c>
      <c r="J9" s="145"/>
      <c r="K9" s="146" t="s">
        <v>710</v>
      </c>
      <c r="L9" s="147" t="s">
        <v>3256</v>
      </c>
      <c r="M9" s="143" t="s">
        <v>386</v>
      </c>
      <c r="N9" s="145" t="s">
        <v>6138</v>
      </c>
      <c r="O9" s="146" t="s">
        <v>710</v>
      </c>
    </row>
    <row r="10" spans="1:15" s="107" customFormat="1" ht="20.25" x14ac:dyDescent="0.1">
      <c r="A10" s="118">
        <v>33</v>
      </c>
      <c r="B10" s="876"/>
      <c r="C10" s="119">
        <v>40767</v>
      </c>
      <c r="D10" s="120"/>
      <c r="E10" s="121" t="s">
        <v>492</v>
      </c>
      <c r="F10" s="122" t="s">
        <v>6136</v>
      </c>
      <c r="G10" s="123" t="s">
        <v>1281</v>
      </c>
      <c r="H10" s="121" t="s">
        <v>3270</v>
      </c>
      <c r="I10" s="122" t="s">
        <v>62</v>
      </c>
      <c r="J10" s="124" t="s">
        <v>6137</v>
      </c>
      <c r="K10" s="125" t="s">
        <v>710</v>
      </c>
      <c r="L10" s="126" t="s">
        <v>3270</v>
      </c>
      <c r="M10" s="122" t="s">
        <v>3289</v>
      </c>
      <c r="N10" s="124" t="s">
        <v>6138</v>
      </c>
      <c r="O10" s="125" t="s">
        <v>710</v>
      </c>
    </row>
    <row r="11" spans="1:15" s="117" customFormat="1" ht="20.25" x14ac:dyDescent="0.1">
      <c r="A11" s="108">
        <v>34</v>
      </c>
      <c r="B11" s="868"/>
      <c r="C11" s="109">
        <v>40774</v>
      </c>
      <c r="D11" s="110" t="s">
        <v>6144</v>
      </c>
      <c r="E11" s="111" t="s">
        <v>492</v>
      </c>
      <c r="F11" s="112" t="s">
        <v>3487</v>
      </c>
      <c r="G11" s="113" t="s">
        <v>1281</v>
      </c>
      <c r="H11" s="111" t="s">
        <v>3246</v>
      </c>
      <c r="I11" s="112" t="s">
        <v>3316</v>
      </c>
      <c r="J11" s="114"/>
      <c r="K11" s="115" t="s">
        <v>710</v>
      </c>
      <c r="L11" s="116" t="s">
        <v>3246</v>
      </c>
      <c r="M11" s="112" t="s">
        <v>1479</v>
      </c>
      <c r="N11" s="114" t="s">
        <v>6138</v>
      </c>
      <c r="O11" s="115" t="s">
        <v>710</v>
      </c>
    </row>
    <row r="12" spans="1:15" s="107" customFormat="1" ht="20.25" x14ac:dyDescent="0.1">
      <c r="A12" s="127">
        <v>35</v>
      </c>
      <c r="B12" s="877"/>
      <c r="C12" s="129">
        <v>40781</v>
      </c>
      <c r="D12" s="148"/>
      <c r="E12" s="130" t="s">
        <v>492</v>
      </c>
      <c r="F12" s="131" t="s">
        <v>6140</v>
      </c>
      <c r="G12" s="132" t="s">
        <v>1281</v>
      </c>
      <c r="H12" s="130" t="s">
        <v>3256</v>
      </c>
      <c r="I12" s="131" t="s">
        <v>3327</v>
      </c>
      <c r="J12" s="138" t="s">
        <v>6142</v>
      </c>
      <c r="K12" s="139" t="s">
        <v>710</v>
      </c>
      <c r="L12" s="137" t="s">
        <v>3256</v>
      </c>
      <c r="M12" s="131" t="s">
        <v>734</v>
      </c>
      <c r="N12" s="138" t="s">
        <v>6138</v>
      </c>
      <c r="O12" s="139" t="s">
        <v>710</v>
      </c>
    </row>
    <row r="13" spans="1:15" s="117" customFormat="1" ht="20.25" x14ac:dyDescent="0.1">
      <c r="A13" s="104">
        <v>36</v>
      </c>
      <c r="B13" s="867">
        <v>9</v>
      </c>
      <c r="C13" s="140">
        <v>40788</v>
      </c>
      <c r="D13" s="141" t="s">
        <v>6145</v>
      </c>
      <c r="E13" s="142" t="s">
        <v>492</v>
      </c>
      <c r="F13" s="143" t="s">
        <v>6143</v>
      </c>
      <c r="G13" s="144" t="s">
        <v>1281</v>
      </c>
      <c r="H13" s="149" t="s">
        <v>3270</v>
      </c>
      <c r="I13" s="150" t="s">
        <v>6141</v>
      </c>
      <c r="J13" s="151"/>
      <c r="K13" s="152" t="s">
        <v>710</v>
      </c>
      <c r="L13" s="147" t="s">
        <v>3270</v>
      </c>
      <c r="M13" s="143" t="s">
        <v>515</v>
      </c>
      <c r="N13" s="145" t="s">
        <v>6138</v>
      </c>
      <c r="O13" s="146" t="s">
        <v>710</v>
      </c>
    </row>
    <row r="14" spans="1:15" s="107" customFormat="1" ht="20.25" x14ac:dyDescent="0.1">
      <c r="A14" s="118">
        <v>37</v>
      </c>
      <c r="B14" s="876"/>
      <c r="C14" s="119">
        <v>40795</v>
      </c>
      <c r="D14" s="120"/>
      <c r="E14" s="121" t="s">
        <v>492</v>
      </c>
      <c r="F14" s="122" t="s">
        <v>6136</v>
      </c>
      <c r="G14" s="123" t="s">
        <v>1281</v>
      </c>
      <c r="H14" s="121" t="s">
        <v>3246</v>
      </c>
      <c r="I14" s="122" t="s">
        <v>491</v>
      </c>
      <c r="J14" s="124" t="s">
        <v>6137</v>
      </c>
      <c r="K14" s="125" t="s">
        <v>710</v>
      </c>
      <c r="L14" s="126" t="s">
        <v>3246</v>
      </c>
      <c r="M14" s="122" t="s">
        <v>62</v>
      </c>
      <c r="N14" s="124" t="s">
        <v>6138</v>
      </c>
      <c r="O14" s="125" t="s">
        <v>710</v>
      </c>
    </row>
    <row r="15" spans="1:15" s="117" customFormat="1" ht="20.25" x14ac:dyDescent="0.1">
      <c r="A15" s="108">
        <v>38</v>
      </c>
      <c r="B15" s="868"/>
      <c r="C15" s="109">
        <v>40802</v>
      </c>
      <c r="D15" s="110"/>
      <c r="E15" s="111" t="s">
        <v>492</v>
      </c>
      <c r="F15" s="112" t="s">
        <v>3487</v>
      </c>
      <c r="G15" s="113" t="s">
        <v>1281</v>
      </c>
      <c r="H15" s="111" t="s">
        <v>3256</v>
      </c>
      <c r="I15" s="112" t="s">
        <v>386</v>
      </c>
      <c r="J15" s="114"/>
      <c r="K15" s="115" t="s">
        <v>710</v>
      </c>
      <c r="L15" s="116" t="s">
        <v>3256</v>
      </c>
      <c r="M15" s="112" t="s">
        <v>3316</v>
      </c>
      <c r="N15" s="114" t="s">
        <v>6138</v>
      </c>
      <c r="O15" s="115" t="s">
        <v>710</v>
      </c>
    </row>
    <row r="16" spans="1:15" s="107" customFormat="1" ht="20.25" x14ac:dyDescent="0.1">
      <c r="A16" s="118">
        <v>39</v>
      </c>
      <c r="B16" s="876"/>
      <c r="C16" s="119">
        <v>40809</v>
      </c>
      <c r="D16" s="120"/>
      <c r="E16" s="121" t="s">
        <v>492</v>
      </c>
      <c r="F16" s="122" t="s">
        <v>6140</v>
      </c>
      <c r="G16" s="123" t="s">
        <v>1281</v>
      </c>
      <c r="H16" s="121" t="s">
        <v>3270</v>
      </c>
      <c r="I16" s="122" t="s">
        <v>3289</v>
      </c>
      <c r="J16" s="153"/>
      <c r="K16" s="125" t="s">
        <v>710</v>
      </c>
      <c r="L16" s="126" t="s">
        <v>3270</v>
      </c>
      <c r="M16" s="122" t="s">
        <v>3327</v>
      </c>
      <c r="N16" s="124" t="s">
        <v>6138</v>
      </c>
      <c r="O16" s="125" t="s">
        <v>710</v>
      </c>
    </row>
    <row r="17" spans="1:15" s="117" customFormat="1" ht="20.25" x14ac:dyDescent="0.1">
      <c r="A17" s="128">
        <v>40</v>
      </c>
      <c r="B17" s="869"/>
      <c r="C17" s="154">
        <v>40816</v>
      </c>
      <c r="D17" s="155" t="s">
        <v>6146</v>
      </c>
      <c r="E17" s="156" t="s">
        <v>492</v>
      </c>
      <c r="F17" s="157" t="s">
        <v>417</v>
      </c>
      <c r="G17" s="158" t="s">
        <v>1281</v>
      </c>
      <c r="H17" s="156" t="s">
        <v>3246</v>
      </c>
      <c r="I17" s="157" t="s">
        <v>1479</v>
      </c>
      <c r="J17" s="159" t="s">
        <v>6142</v>
      </c>
      <c r="K17" s="160" t="s">
        <v>710</v>
      </c>
      <c r="L17" s="161" t="s">
        <v>3246</v>
      </c>
      <c r="M17" s="157" t="s">
        <v>6141</v>
      </c>
      <c r="N17" s="159" t="s">
        <v>6138</v>
      </c>
      <c r="O17" s="160" t="s">
        <v>710</v>
      </c>
    </row>
    <row r="18" spans="1:15" s="107" customFormat="1" ht="20.25" x14ac:dyDescent="0.1">
      <c r="A18" s="103">
        <v>41</v>
      </c>
      <c r="B18" s="867">
        <v>10</v>
      </c>
      <c r="C18" s="105">
        <v>40823</v>
      </c>
      <c r="D18" s="106"/>
      <c r="E18" s="162" t="s">
        <v>492</v>
      </c>
      <c r="F18" s="163" t="s">
        <v>6143</v>
      </c>
      <c r="G18" s="164" t="s">
        <v>1281</v>
      </c>
      <c r="H18" s="162" t="s">
        <v>3256</v>
      </c>
      <c r="I18" s="163" t="s">
        <v>734</v>
      </c>
      <c r="J18" s="165"/>
      <c r="K18" s="166" t="s">
        <v>710</v>
      </c>
      <c r="L18" s="167" t="s">
        <v>3256</v>
      </c>
      <c r="M18" s="163" t="s">
        <v>491</v>
      </c>
      <c r="N18" s="165" t="s">
        <v>6138</v>
      </c>
      <c r="O18" s="166" t="s">
        <v>710</v>
      </c>
    </row>
    <row r="19" spans="1:15" s="117" customFormat="1" ht="20.25" x14ac:dyDescent="0.1">
      <c r="A19" s="108">
        <v>42</v>
      </c>
      <c r="B19" s="868"/>
      <c r="C19" s="109">
        <v>40830</v>
      </c>
      <c r="D19" s="110"/>
      <c r="E19" s="111" t="s">
        <v>492</v>
      </c>
      <c r="F19" s="112" t="s">
        <v>6136</v>
      </c>
      <c r="G19" s="113" t="s">
        <v>1281</v>
      </c>
      <c r="H19" s="111" t="s">
        <v>3270</v>
      </c>
      <c r="I19" s="112" t="s">
        <v>515</v>
      </c>
      <c r="J19" s="114" t="s">
        <v>6137</v>
      </c>
      <c r="K19" s="115" t="s">
        <v>710</v>
      </c>
      <c r="L19" s="116" t="s">
        <v>3270</v>
      </c>
      <c r="M19" s="112" t="s">
        <v>386</v>
      </c>
      <c r="N19" s="114" t="s">
        <v>6138</v>
      </c>
      <c r="O19" s="115" t="s">
        <v>710</v>
      </c>
    </row>
    <row r="20" spans="1:15" s="107" customFormat="1" ht="20.25" x14ac:dyDescent="0.1">
      <c r="A20" s="118">
        <v>43</v>
      </c>
      <c r="B20" s="868"/>
      <c r="C20" s="119">
        <v>40837</v>
      </c>
      <c r="D20" s="120"/>
      <c r="E20" s="121" t="s">
        <v>492</v>
      </c>
      <c r="F20" s="122" t="s">
        <v>3487</v>
      </c>
      <c r="G20" s="123" t="s">
        <v>1281</v>
      </c>
      <c r="H20" s="121" t="s">
        <v>3246</v>
      </c>
      <c r="I20" s="122" t="s">
        <v>62</v>
      </c>
      <c r="J20" s="124"/>
      <c r="K20" s="125" t="s">
        <v>710</v>
      </c>
      <c r="L20" s="126" t="s">
        <v>3246</v>
      </c>
      <c r="M20" s="122" t="s">
        <v>3289</v>
      </c>
      <c r="N20" s="124" t="s">
        <v>6138</v>
      </c>
      <c r="O20" s="125" t="s">
        <v>710</v>
      </c>
    </row>
    <row r="21" spans="1:15" s="117" customFormat="1" ht="20.25" x14ac:dyDescent="0.1">
      <c r="A21" s="128">
        <v>44</v>
      </c>
      <c r="B21" s="869"/>
      <c r="C21" s="154">
        <v>40844</v>
      </c>
      <c r="D21" s="155"/>
      <c r="E21" s="156" t="s">
        <v>492</v>
      </c>
      <c r="F21" s="157" t="s">
        <v>6140</v>
      </c>
      <c r="G21" s="158" t="s">
        <v>1281</v>
      </c>
      <c r="H21" s="156" t="s">
        <v>3256</v>
      </c>
      <c r="I21" s="157" t="s">
        <v>3316</v>
      </c>
      <c r="J21" s="159" t="s">
        <v>6142</v>
      </c>
      <c r="K21" s="160" t="s">
        <v>710</v>
      </c>
      <c r="L21" s="161" t="s">
        <v>3256</v>
      </c>
      <c r="M21" s="157" t="s">
        <v>1479</v>
      </c>
      <c r="N21" s="159" t="s">
        <v>6138</v>
      </c>
      <c r="O21" s="160" t="s">
        <v>710</v>
      </c>
    </row>
    <row r="22" spans="1:15" s="107" customFormat="1" ht="20.25" x14ac:dyDescent="0.1">
      <c r="A22" s="103">
        <v>45</v>
      </c>
      <c r="B22" s="867">
        <v>11</v>
      </c>
      <c r="C22" s="105">
        <v>40851</v>
      </c>
      <c r="D22" s="106"/>
      <c r="E22" s="162" t="s">
        <v>492</v>
      </c>
      <c r="F22" s="163" t="s">
        <v>6143</v>
      </c>
      <c r="G22" s="164" t="s">
        <v>1281</v>
      </c>
      <c r="H22" s="162" t="s">
        <v>3270</v>
      </c>
      <c r="I22" s="163" t="s">
        <v>3327</v>
      </c>
      <c r="J22" s="165"/>
      <c r="K22" s="166" t="s">
        <v>710</v>
      </c>
      <c r="L22" s="167" t="s">
        <v>3270</v>
      </c>
      <c r="M22" s="163" t="s">
        <v>734</v>
      </c>
      <c r="N22" s="165" t="s">
        <v>6138</v>
      </c>
      <c r="O22" s="166" t="s">
        <v>710</v>
      </c>
    </row>
    <row r="23" spans="1:15" s="117" customFormat="1" ht="20.25" x14ac:dyDescent="0.1">
      <c r="A23" s="108">
        <v>46</v>
      </c>
      <c r="B23" s="868"/>
      <c r="C23" s="109">
        <v>40858</v>
      </c>
      <c r="D23" s="110"/>
      <c r="E23" s="111" t="s">
        <v>492</v>
      </c>
      <c r="F23" s="112" t="s">
        <v>6136</v>
      </c>
      <c r="G23" s="113" t="s">
        <v>1281</v>
      </c>
      <c r="H23" s="111" t="s">
        <v>3246</v>
      </c>
      <c r="I23" s="112" t="s">
        <v>6141</v>
      </c>
      <c r="J23" s="114" t="s">
        <v>6137</v>
      </c>
      <c r="K23" s="115" t="s">
        <v>710</v>
      </c>
      <c r="L23" s="116" t="s">
        <v>3246</v>
      </c>
      <c r="M23" s="112" t="s">
        <v>515</v>
      </c>
      <c r="N23" s="114" t="s">
        <v>6138</v>
      </c>
      <c r="O23" s="115" t="s">
        <v>710</v>
      </c>
    </row>
    <row r="24" spans="1:15" s="107" customFormat="1" ht="20.25" x14ac:dyDescent="0.1">
      <c r="A24" s="118">
        <v>47</v>
      </c>
      <c r="B24" s="868"/>
      <c r="C24" s="119">
        <v>40865</v>
      </c>
      <c r="D24" s="120" t="s">
        <v>6147</v>
      </c>
      <c r="E24" s="121" t="s">
        <v>492</v>
      </c>
      <c r="F24" s="122" t="s">
        <v>3487</v>
      </c>
      <c r="G24" s="123" t="s">
        <v>1281</v>
      </c>
      <c r="H24" s="121" t="s">
        <v>3256</v>
      </c>
      <c r="I24" s="122" t="s">
        <v>491</v>
      </c>
      <c r="J24" s="124"/>
      <c r="K24" s="125" t="s">
        <v>710</v>
      </c>
      <c r="L24" s="126" t="s">
        <v>3256</v>
      </c>
      <c r="M24" s="122" t="s">
        <v>62</v>
      </c>
      <c r="N24" s="124" t="s">
        <v>6138</v>
      </c>
      <c r="O24" s="125" t="s">
        <v>710</v>
      </c>
    </row>
    <row r="25" spans="1:15" s="117" customFormat="1" ht="20.25" x14ac:dyDescent="0.1">
      <c r="A25" s="128">
        <v>48</v>
      </c>
      <c r="B25" s="869"/>
      <c r="C25" s="154">
        <v>40872</v>
      </c>
      <c r="D25" s="155"/>
      <c r="E25" s="156" t="s">
        <v>492</v>
      </c>
      <c r="F25" s="157" t="s">
        <v>6140</v>
      </c>
      <c r="G25" s="158" t="s">
        <v>1281</v>
      </c>
      <c r="H25" s="156" t="s">
        <v>3270</v>
      </c>
      <c r="I25" s="157" t="s">
        <v>386</v>
      </c>
      <c r="J25" s="159" t="s">
        <v>6142</v>
      </c>
      <c r="K25" s="160" t="s">
        <v>710</v>
      </c>
      <c r="L25" s="161" t="s">
        <v>3270</v>
      </c>
      <c r="M25" s="157" t="s">
        <v>3316</v>
      </c>
      <c r="N25" s="159" t="s">
        <v>6138</v>
      </c>
      <c r="O25" s="160" t="s">
        <v>710</v>
      </c>
    </row>
    <row r="26" spans="1:15" s="107" customFormat="1" ht="20.25" x14ac:dyDescent="0.1">
      <c r="A26" s="103">
        <v>49</v>
      </c>
      <c r="B26" s="867">
        <v>12</v>
      </c>
      <c r="C26" s="105">
        <v>40879</v>
      </c>
      <c r="D26" s="106"/>
      <c r="E26" s="162" t="s">
        <v>492</v>
      </c>
      <c r="F26" s="163" t="s">
        <v>6143</v>
      </c>
      <c r="G26" s="164" t="s">
        <v>1281</v>
      </c>
      <c r="H26" s="162" t="s">
        <v>3246</v>
      </c>
      <c r="I26" s="163" t="s">
        <v>3289</v>
      </c>
      <c r="J26" s="165"/>
      <c r="K26" s="166" t="s">
        <v>710</v>
      </c>
      <c r="L26" s="167" t="s">
        <v>3246</v>
      </c>
      <c r="M26" s="163" t="s">
        <v>3327</v>
      </c>
      <c r="N26" s="165" t="s">
        <v>6138</v>
      </c>
      <c r="O26" s="166" t="s">
        <v>710</v>
      </c>
    </row>
    <row r="27" spans="1:15" s="117" customFormat="1" ht="20.25" x14ac:dyDescent="0.1">
      <c r="A27" s="108">
        <v>50</v>
      </c>
      <c r="B27" s="868"/>
      <c r="C27" s="109">
        <v>40886</v>
      </c>
      <c r="D27" s="110"/>
      <c r="E27" s="111" t="s">
        <v>492</v>
      </c>
      <c r="F27" s="112" t="s">
        <v>6136</v>
      </c>
      <c r="G27" s="113" t="s">
        <v>1281</v>
      </c>
      <c r="H27" s="111" t="s">
        <v>3256</v>
      </c>
      <c r="I27" s="112" t="s">
        <v>1479</v>
      </c>
      <c r="J27" s="114" t="s">
        <v>6137</v>
      </c>
      <c r="K27" s="115" t="s">
        <v>710</v>
      </c>
      <c r="L27" s="116" t="s">
        <v>3256</v>
      </c>
      <c r="M27" s="112" t="s">
        <v>6141</v>
      </c>
      <c r="N27" s="114" t="s">
        <v>6138</v>
      </c>
      <c r="O27" s="115" t="s">
        <v>710</v>
      </c>
    </row>
    <row r="28" spans="1:15" s="107" customFormat="1" ht="20.25" x14ac:dyDescent="0.1">
      <c r="A28" s="118">
        <v>51</v>
      </c>
      <c r="B28" s="868"/>
      <c r="C28" s="119">
        <v>40893</v>
      </c>
      <c r="D28" s="120"/>
      <c r="E28" s="121" t="s">
        <v>492</v>
      </c>
      <c r="F28" s="122" t="s">
        <v>3487</v>
      </c>
      <c r="G28" s="123" t="s">
        <v>1281</v>
      </c>
      <c r="H28" s="121" t="s">
        <v>3270</v>
      </c>
      <c r="I28" s="122" t="s">
        <v>734</v>
      </c>
      <c r="J28" s="124"/>
      <c r="K28" s="125" t="s">
        <v>710</v>
      </c>
      <c r="L28" s="126" t="s">
        <v>3270</v>
      </c>
      <c r="M28" s="122" t="s">
        <v>491</v>
      </c>
      <c r="N28" s="124" t="s">
        <v>6138</v>
      </c>
      <c r="O28" s="125" t="s">
        <v>710</v>
      </c>
    </row>
    <row r="29" spans="1:15" s="117" customFormat="1" ht="20.25" x14ac:dyDescent="0.1">
      <c r="A29" s="108">
        <v>52</v>
      </c>
      <c r="B29" s="868"/>
      <c r="C29" s="109">
        <v>40900</v>
      </c>
      <c r="D29" s="110" t="s">
        <v>6148</v>
      </c>
      <c r="E29" s="111" t="s">
        <v>492</v>
      </c>
      <c r="F29" s="112" t="s">
        <v>6140</v>
      </c>
      <c r="G29" s="113" t="s">
        <v>1281</v>
      </c>
      <c r="H29" s="111" t="s">
        <v>3246</v>
      </c>
      <c r="I29" s="112" t="s">
        <v>515</v>
      </c>
      <c r="J29" s="114"/>
      <c r="K29" s="115" t="s">
        <v>710</v>
      </c>
      <c r="L29" s="116" t="s">
        <v>3246</v>
      </c>
      <c r="M29" s="112" t="s">
        <v>386</v>
      </c>
      <c r="N29" s="114" t="s">
        <v>6138</v>
      </c>
      <c r="O29" s="115" t="s">
        <v>710</v>
      </c>
    </row>
    <row r="30" spans="1:15" s="107" customFormat="1" ht="20.25" x14ac:dyDescent="0.1">
      <c r="A30" s="127">
        <v>53</v>
      </c>
      <c r="B30" s="869"/>
      <c r="C30" s="129">
        <v>40907</v>
      </c>
      <c r="D30" s="148" t="s">
        <v>6149</v>
      </c>
      <c r="E30" s="130" t="s">
        <v>492</v>
      </c>
      <c r="F30" s="131" t="s">
        <v>417</v>
      </c>
      <c r="G30" s="132" t="s">
        <v>1281</v>
      </c>
      <c r="H30" s="130" t="s">
        <v>3256</v>
      </c>
      <c r="I30" s="131" t="s">
        <v>62</v>
      </c>
      <c r="J30" s="138" t="s">
        <v>6142</v>
      </c>
      <c r="K30" s="139" t="s">
        <v>710</v>
      </c>
      <c r="L30" s="137" t="s">
        <v>3256</v>
      </c>
      <c r="M30" s="131" t="s">
        <v>3289</v>
      </c>
      <c r="N30" s="138" t="s">
        <v>6138</v>
      </c>
      <c r="O30" s="139" t="s">
        <v>710</v>
      </c>
    </row>
    <row r="31" spans="1:15" s="168" customFormat="1" ht="39.75" customHeight="1" x14ac:dyDescent="0.1">
      <c r="A31" s="870" t="s">
        <v>6150</v>
      </c>
      <c r="B31" s="871"/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N31" s="871"/>
      <c r="O31" s="872"/>
    </row>
  </sheetData>
  <mergeCells count="18">
    <mergeCell ref="B26:B30"/>
    <mergeCell ref="A31:O31"/>
    <mergeCell ref="B4:B8"/>
    <mergeCell ref="E4:G4"/>
    <mergeCell ref="H4:K4"/>
    <mergeCell ref="L4:O4"/>
    <mergeCell ref="B18:B21"/>
    <mergeCell ref="B22:B25"/>
    <mergeCell ref="B9:B12"/>
    <mergeCell ref="B13:B17"/>
    <mergeCell ref="A1:O1"/>
    <mergeCell ref="A2:A3"/>
    <mergeCell ref="B2:B3"/>
    <mergeCell ref="C2:C3"/>
    <mergeCell ref="D2:D3"/>
    <mergeCell ref="E2:G2"/>
    <mergeCell ref="H2:K2"/>
    <mergeCell ref="L2:O2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3"/>
  <sheetViews>
    <sheetView topLeftCell="A13" workbookViewId="0">
      <selection activeCell="C28" sqref="C28"/>
    </sheetView>
  </sheetViews>
  <sheetFormatPr defaultColWidth="9.00390625" defaultRowHeight="12" x14ac:dyDescent="0.1"/>
  <cols>
    <col min="1" max="1" width="5.9609375" style="5" customWidth="1"/>
    <col min="2" max="2" width="10.9921875" style="5" customWidth="1"/>
    <col min="3" max="3" width="9.00390625" style="5" customWidth="1"/>
    <col min="4" max="4" width="7.94921875" style="5" customWidth="1"/>
    <col min="5" max="5" width="36.01953125" style="5" customWidth="1"/>
    <col min="6" max="6" width="21.984375" style="5" customWidth="1"/>
    <col min="7" max="7" width="14.03125" style="5" customWidth="1"/>
    <col min="8" max="8" width="14.96875" style="5" customWidth="1"/>
    <col min="9" max="9" width="32.04296875" style="5" customWidth="1"/>
    <col min="10" max="10" width="14.03125" style="25" customWidth="1"/>
    <col min="11" max="11" width="9.00390625" style="5" customWidth="1"/>
    <col min="12" max="16384" width="9.00390625" style="5"/>
  </cols>
  <sheetData>
    <row r="1" spans="1:11" x14ac:dyDescent="0.1">
      <c r="D1" s="170"/>
      <c r="E1" s="171"/>
    </row>
    <row r="3" spans="1:11" x14ac:dyDescent="0.1">
      <c r="A3" s="172"/>
      <c r="B3" s="172" t="s">
        <v>5236</v>
      </c>
      <c r="C3" s="172" t="s">
        <v>6151</v>
      </c>
      <c r="D3" s="172" t="s">
        <v>6152</v>
      </c>
      <c r="E3" s="172" t="s">
        <v>5238</v>
      </c>
      <c r="F3" s="172" t="s">
        <v>6153</v>
      </c>
      <c r="G3" s="172" t="s">
        <v>5522</v>
      </c>
      <c r="H3" s="172" t="s">
        <v>6154</v>
      </c>
      <c r="I3" s="172" t="s">
        <v>6155</v>
      </c>
      <c r="J3" s="173" t="s">
        <v>6156</v>
      </c>
    </row>
    <row r="4" spans="1:11" ht="12.75" x14ac:dyDescent="0.15">
      <c r="A4" s="174">
        <v>1</v>
      </c>
      <c r="B4" s="174" t="s">
        <v>3248</v>
      </c>
      <c r="C4" s="174" t="s">
        <v>6157</v>
      </c>
      <c r="D4" s="174">
        <v>36</v>
      </c>
      <c r="E4" s="175" t="s">
        <v>6158</v>
      </c>
      <c r="F4" s="174" t="s">
        <v>6159</v>
      </c>
      <c r="G4" s="174"/>
      <c r="H4" s="176">
        <v>13051865006</v>
      </c>
      <c r="I4" s="177" t="s">
        <v>6160</v>
      </c>
      <c r="J4" s="178"/>
    </row>
    <row r="5" spans="1:11" ht="12.75" x14ac:dyDescent="0.15">
      <c r="A5" s="179">
        <v>2</v>
      </c>
      <c r="B5" s="179" t="s">
        <v>3261</v>
      </c>
      <c r="C5" s="179" t="s">
        <v>6161</v>
      </c>
      <c r="D5" s="179">
        <v>41</v>
      </c>
      <c r="E5" s="180" t="s">
        <v>6162</v>
      </c>
      <c r="F5" s="181" t="s">
        <v>6163</v>
      </c>
      <c r="G5" s="179"/>
      <c r="H5" s="181"/>
      <c r="I5" s="182" t="s">
        <v>4757</v>
      </c>
      <c r="J5" s="183"/>
    </row>
    <row r="6" spans="1:11" ht="12.75" x14ac:dyDescent="0.1">
      <c r="A6" s="174">
        <v>3</v>
      </c>
      <c r="B6" s="184" t="s">
        <v>422</v>
      </c>
      <c r="C6" s="184" t="s">
        <v>6164</v>
      </c>
      <c r="D6" s="184">
        <v>41</v>
      </c>
      <c r="E6" s="185" t="s">
        <v>6165</v>
      </c>
      <c r="F6" s="184" t="s">
        <v>6166</v>
      </c>
      <c r="G6" s="184" t="s">
        <v>6167</v>
      </c>
      <c r="H6" s="184">
        <v>13802011042</v>
      </c>
      <c r="I6" s="186" t="s">
        <v>424</v>
      </c>
      <c r="J6" s="187"/>
    </row>
    <row r="7" spans="1:11" ht="12.75" x14ac:dyDescent="0.1">
      <c r="A7" s="179">
        <v>4</v>
      </c>
      <c r="B7" s="184" t="s">
        <v>3282</v>
      </c>
      <c r="C7" s="184"/>
      <c r="D7" s="184">
        <v>44</v>
      </c>
      <c r="E7" s="185" t="s">
        <v>6168</v>
      </c>
      <c r="F7" s="184"/>
      <c r="G7" s="184"/>
      <c r="H7" s="184">
        <v>18640886383</v>
      </c>
      <c r="I7" s="186" t="s">
        <v>6169</v>
      </c>
      <c r="J7" s="187" t="s">
        <v>6170</v>
      </c>
    </row>
    <row r="8" spans="1:11" ht="12.75" x14ac:dyDescent="0.1">
      <c r="A8" s="174">
        <v>5</v>
      </c>
      <c r="B8" s="184" t="s">
        <v>394</v>
      </c>
      <c r="C8" s="184"/>
      <c r="D8" s="184">
        <v>47</v>
      </c>
      <c r="E8" s="185" t="s">
        <v>6171</v>
      </c>
      <c r="F8" s="184"/>
      <c r="G8" s="184"/>
      <c r="H8" s="184">
        <v>13381037333</v>
      </c>
      <c r="I8" s="186" t="s">
        <v>6172</v>
      </c>
      <c r="J8" s="187"/>
    </row>
    <row r="9" spans="1:11" ht="12.75" x14ac:dyDescent="0.1">
      <c r="A9" s="179">
        <v>6</v>
      </c>
      <c r="B9" s="184" t="s">
        <v>127</v>
      </c>
      <c r="C9" s="184" t="s">
        <v>6173</v>
      </c>
      <c r="D9" s="184">
        <v>47</v>
      </c>
      <c r="E9" s="185" t="s">
        <v>6174</v>
      </c>
      <c r="F9" s="184"/>
      <c r="G9" s="184"/>
      <c r="H9" s="184">
        <v>18769745557</v>
      </c>
      <c r="I9" s="186" t="s">
        <v>6175</v>
      </c>
      <c r="J9" s="187" t="s">
        <v>6176</v>
      </c>
    </row>
    <row r="10" spans="1:11" x14ac:dyDescent="0.1">
      <c r="A10" s="174">
        <v>7</v>
      </c>
      <c r="B10" s="188" t="s">
        <v>76</v>
      </c>
      <c r="C10" s="188" t="s">
        <v>6177</v>
      </c>
      <c r="D10" s="188">
        <v>48</v>
      </c>
      <c r="E10" s="189" t="s">
        <v>6178</v>
      </c>
      <c r="F10" s="188" t="s">
        <v>6179</v>
      </c>
      <c r="G10" s="188" t="s">
        <v>6180</v>
      </c>
      <c r="H10" s="188">
        <v>13718970029</v>
      </c>
      <c r="I10" s="190" t="s">
        <v>77</v>
      </c>
      <c r="J10" s="183"/>
      <c r="K10" s="25"/>
    </row>
    <row r="11" spans="1:11" ht="12.75" x14ac:dyDescent="0.1">
      <c r="A11" s="179">
        <v>8</v>
      </c>
      <c r="B11" s="179" t="s">
        <v>68</v>
      </c>
      <c r="C11" s="179" t="s">
        <v>6181</v>
      </c>
      <c r="D11" s="179">
        <v>48</v>
      </c>
      <c r="E11" s="191" t="s">
        <v>6182</v>
      </c>
      <c r="F11" s="179" t="s">
        <v>6183</v>
      </c>
      <c r="G11" s="179" t="s">
        <v>6184</v>
      </c>
      <c r="H11" s="179">
        <v>13366878284</v>
      </c>
      <c r="I11" s="192" t="s">
        <v>69</v>
      </c>
      <c r="J11" s="183"/>
    </row>
    <row r="12" spans="1:11" ht="15" x14ac:dyDescent="0.1">
      <c r="A12" s="174">
        <v>9</v>
      </c>
      <c r="B12" s="179" t="s">
        <v>1479</v>
      </c>
      <c r="C12" s="179" t="s">
        <v>6185</v>
      </c>
      <c r="D12" s="179">
        <v>48</v>
      </c>
      <c r="E12" s="191" t="s">
        <v>6186</v>
      </c>
      <c r="F12" s="179" t="s">
        <v>6187</v>
      </c>
      <c r="G12" s="179"/>
      <c r="H12" s="179">
        <v>13311130708</v>
      </c>
      <c r="I12" s="192" t="s">
        <v>644</v>
      </c>
      <c r="J12" s="183"/>
    </row>
    <row r="13" spans="1:11" ht="12.75" x14ac:dyDescent="0.1">
      <c r="A13" s="179">
        <v>10</v>
      </c>
      <c r="B13" s="179" t="s">
        <v>3338</v>
      </c>
      <c r="C13" s="179" t="s">
        <v>6188</v>
      </c>
      <c r="D13" s="179">
        <v>48</v>
      </c>
      <c r="E13" s="191"/>
      <c r="F13" s="179"/>
      <c r="G13" s="179"/>
      <c r="H13" s="179">
        <v>13998182122</v>
      </c>
      <c r="I13" s="192" t="s">
        <v>4759</v>
      </c>
      <c r="J13" s="183" t="s">
        <v>6189</v>
      </c>
    </row>
    <row r="14" spans="1:11" ht="12.75" x14ac:dyDescent="0.1">
      <c r="A14" s="174">
        <v>11</v>
      </c>
      <c r="B14" s="179" t="s">
        <v>3317</v>
      </c>
      <c r="C14" s="179" t="s">
        <v>6190</v>
      </c>
      <c r="D14" s="179">
        <v>48</v>
      </c>
      <c r="E14" s="191"/>
      <c r="F14" s="179"/>
      <c r="G14" s="179"/>
      <c r="H14" s="179"/>
      <c r="I14" s="192"/>
      <c r="J14" s="183"/>
    </row>
    <row r="15" spans="1:11" s="194" customFormat="1" ht="12.75" x14ac:dyDescent="0.1">
      <c r="A15" s="179">
        <v>12</v>
      </c>
      <c r="B15" s="179" t="s">
        <v>66</v>
      </c>
      <c r="C15" s="179" t="s">
        <v>6191</v>
      </c>
      <c r="D15" s="179">
        <v>49</v>
      </c>
      <c r="E15" s="191" t="s">
        <v>6192</v>
      </c>
      <c r="F15" s="179" t="s">
        <v>6193</v>
      </c>
      <c r="G15" s="179" t="s">
        <v>6194</v>
      </c>
      <c r="H15" s="179">
        <v>13321158888</v>
      </c>
      <c r="I15" s="192" t="s">
        <v>67</v>
      </c>
      <c r="J15" s="193"/>
    </row>
    <row r="16" spans="1:11" s="194" customFormat="1" ht="12.75" x14ac:dyDescent="0.1">
      <c r="A16" s="174">
        <v>13</v>
      </c>
      <c r="B16" s="179" t="s">
        <v>1129</v>
      </c>
      <c r="C16" s="179" t="s">
        <v>6195</v>
      </c>
      <c r="D16" s="179">
        <v>49</v>
      </c>
      <c r="E16" s="191" t="s">
        <v>6196</v>
      </c>
      <c r="F16" s="179" t="s">
        <v>6197</v>
      </c>
      <c r="G16" s="179"/>
      <c r="H16" s="179">
        <v>13604889948</v>
      </c>
      <c r="I16" s="192" t="s">
        <v>1130</v>
      </c>
      <c r="J16" s="183" t="s">
        <v>6198</v>
      </c>
    </row>
    <row r="17" spans="1:10" ht="12.75" x14ac:dyDescent="0.1">
      <c r="A17" s="179">
        <v>14</v>
      </c>
      <c r="B17" s="179" t="s">
        <v>62</v>
      </c>
      <c r="C17" s="179" t="s">
        <v>6199</v>
      </c>
      <c r="D17" s="179">
        <v>50</v>
      </c>
      <c r="E17" s="191" t="s">
        <v>6200</v>
      </c>
      <c r="F17" s="179" t="s">
        <v>6201</v>
      </c>
      <c r="G17" s="179"/>
      <c r="H17" s="179">
        <v>13910092234</v>
      </c>
      <c r="I17" s="192" t="s">
        <v>231</v>
      </c>
      <c r="J17" s="183"/>
    </row>
    <row r="18" spans="1:10" ht="12.75" x14ac:dyDescent="0.1">
      <c r="A18" s="174">
        <v>15</v>
      </c>
      <c r="B18" s="179" t="s">
        <v>1162</v>
      </c>
      <c r="C18" s="179" t="s">
        <v>6202</v>
      </c>
      <c r="D18" s="179">
        <v>50</v>
      </c>
      <c r="E18" s="191" t="s">
        <v>6203</v>
      </c>
      <c r="F18" s="179"/>
      <c r="G18" s="179"/>
      <c r="H18" s="179">
        <v>13701328386</v>
      </c>
      <c r="I18" s="192" t="s">
        <v>159</v>
      </c>
      <c r="J18" s="183" t="s">
        <v>6204</v>
      </c>
    </row>
    <row r="19" spans="1:10" ht="15" x14ac:dyDescent="0.1">
      <c r="A19" s="179">
        <v>16</v>
      </c>
      <c r="B19" s="179" t="s">
        <v>3373</v>
      </c>
      <c r="C19" s="179" t="s">
        <v>6205</v>
      </c>
      <c r="D19" s="179">
        <v>54</v>
      </c>
      <c r="E19" s="191" t="s">
        <v>6206</v>
      </c>
      <c r="F19" s="179" t="s">
        <v>6207</v>
      </c>
      <c r="G19" s="179"/>
      <c r="H19" s="179">
        <v>13821205508</v>
      </c>
      <c r="I19" s="195" t="s">
        <v>6208</v>
      </c>
      <c r="J19" s="183" t="s">
        <v>6209</v>
      </c>
    </row>
    <row r="20" spans="1:10" x14ac:dyDescent="0.1">
      <c r="A20" s="174">
        <v>17</v>
      </c>
      <c r="B20" s="179" t="s">
        <v>3381</v>
      </c>
      <c r="C20" s="179"/>
      <c r="D20" s="179">
        <v>54</v>
      </c>
      <c r="E20" s="191" t="s">
        <v>6210</v>
      </c>
      <c r="F20" s="179"/>
      <c r="G20" s="179"/>
      <c r="H20" s="179">
        <v>13332289441</v>
      </c>
      <c r="I20" s="195" t="s">
        <v>6211</v>
      </c>
      <c r="J20" s="183" t="s">
        <v>6170</v>
      </c>
    </row>
    <row r="21" spans="1:10" ht="24" customHeight="1" x14ac:dyDescent="0.1">
      <c r="A21" s="179">
        <v>18</v>
      </c>
      <c r="B21" s="179" t="s">
        <v>3391</v>
      </c>
      <c r="C21" s="179" t="s">
        <v>6212</v>
      </c>
      <c r="D21" s="179">
        <v>55</v>
      </c>
      <c r="E21" s="191" t="s">
        <v>6213</v>
      </c>
      <c r="F21" s="179" t="s">
        <v>6214</v>
      </c>
      <c r="G21" s="179" t="s">
        <v>6215</v>
      </c>
      <c r="H21" s="179" t="s">
        <v>6216</v>
      </c>
      <c r="I21" s="192" t="s">
        <v>4750</v>
      </c>
      <c r="J21" s="183"/>
    </row>
    <row r="22" spans="1:10" ht="12.75" x14ac:dyDescent="0.1">
      <c r="A22" s="174">
        <v>19</v>
      </c>
      <c r="B22" s="179" t="s">
        <v>3400</v>
      </c>
      <c r="C22" s="179" t="s">
        <v>6217</v>
      </c>
      <c r="D22" s="179">
        <v>55</v>
      </c>
      <c r="E22" s="191" t="s">
        <v>6218</v>
      </c>
      <c r="F22" s="179" t="s">
        <v>6219</v>
      </c>
      <c r="G22" s="179" t="s">
        <v>6220</v>
      </c>
      <c r="H22" s="179">
        <v>18630882701</v>
      </c>
      <c r="I22" s="192" t="s">
        <v>6221</v>
      </c>
      <c r="J22" s="183" t="s">
        <v>6209</v>
      </c>
    </row>
    <row r="23" spans="1:10" ht="15" x14ac:dyDescent="0.1">
      <c r="A23" s="179">
        <v>20</v>
      </c>
      <c r="B23" s="179" t="s">
        <v>3409</v>
      </c>
      <c r="C23" s="179" t="s">
        <v>6222</v>
      </c>
      <c r="D23" s="179">
        <v>56</v>
      </c>
      <c r="E23" s="191" t="s">
        <v>6223</v>
      </c>
      <c r="F23" s="179" t="s">
        <v>6224</v>
      </c>
      <c r="G23" s="179" t="s">
        <v>6225</v>
      </c>
      <c r="H23" s="179">
        <v>15222155377</v>
      </c>
      <c r="I23" s="192" t="s">
        <v>6226</v>
      </c>
      <c r="J23" s="183" t="s">
        <v>6209</v>
      </c>
    </row>
    <row r="24" spans="1:10" ht="12.75" x14ac:dyDescent="0.1">
      <c r="A24" s="174">
        <v>21</v>
      </c>
      <c r="B24" s="179" t="s">
        <v>3419</v>
      </c>
      <c r="C24" s="179" t="s">
        <v>6227</v>
      </c>
      <c r="D24" s="179">
        <v>56</v>
      </c>
      <c r="E24" s="191" t="s">
        <v>6228</v>
      </c>
      <c r="F24" s="179"/>
      <c r="G24" s="179"/>
      <c r="H24" s="179">
        <v>15201347821</v>
      </c>
      <c r="I24" s="192" t="s">
        <v>6229</v>
      </c>
      <c r="J24" s="183"/>
    </row>
    <row r="25" spans="1:10" ht="15" x14ac:dyDescent="0.1">
      <c r="A25" s="179">
        <v>22</v>
      </c>
      <c r="B25" s="179" t="s">
        <v>78</v>
      </c>
      <c r="C25" s="179" t="s">
        <v>6230</v>
      </c>
      <c r="D25" s="179">
        <v>57</v>
      </c>
      <c r="E25" s="191" t="s">
        <v>6231</v>
      </c>
      <c r="F25" s="179" t="s">
        <v>6232</v>
      </c>
      <c r="G25" s="179" t="s">
        <v>6233</v>
      </c>
      <c r="H25" s="179">
        <v>13901044587</v>
      </c>
      <c r="I25" s="192" t="s">
        <v>6234</v>
      </c>
      <c r="J25" s="183"/>
    </row>
    <row r="26" spans="1:10" ht="15" x14ac:dyDescent="0.1">
      <c r="A26" s="174">
        <v>23</v>
      </c>
      <c r="B26" s="179" t="s">
        <v>1171</v>
      </c>
      <c r="C26" s="179" t="s">
        <v>6235</v>
      </c>
      <c r="D26" s="179">
        <v>57</v>
      </c>
      <c r="E26" s="191" t="s">
        <v>6236</v>
      </c>
      <c r="F26" s="179" t="s">
        <v>6237</v>
      </c>
      <c r="G26" s="179" t="s">
        <v>6238</v>
      </c>
      <c r="H26" s="179">
        <v>13301173278</v>
      </c>
      <c r="I26" s="192" t="s">
        <v>6239</v>
      </c>
      <c r="J26" s="183"/>
    </row>
    <row r="27" spans="1:10" ht="15" x14ac:dyDescent="0.1">
      <c r="A27" s="179">
        <v>24</v>
      </c>
      <c r="B27" s="179" t="s">
        <v>402</v>
      </c>
      <c r="C27" s="179" t="s">
        <v>6240</v>
      </c>
      <c r="D27" s="179">
        <v>57</v>
      </c>
      <c r="E27" s="191" t="s">
        <v>6241</v>
      </c>
      <c r="F27" s="179"/>
      <c r="G27" s="179"/>
      <c r="H27" s="179">
        <v>15810392073</v>
      </c>
      <c r="I27" s="192" t="s">
        <v>403</v>
      </c>
      <c r="J27" s="183"/>
    </row>
    <row r="28" spans="1:10" ht="12.75" x14ac:dyDescent="0.1">
      <c r="A28" s="174">
        <v>25</v>
      </c>
      <c r="B28" s="179" t="s">
        <v>64</v>
      </c>
      <c r="C28" s="179" t="s">
        <v>6242</v>
      </c>
      <c r="D28" s="179">
        <v>58</v>
      </c>
      <c r="E28" s="191" t="s">
        <v>6243</v>
      </c>
      <c r="F28" s="179" t="s">
        <v>6244</v>
      </c>
      <c r="G28" s="179"/>
      <c r="H28" s="179">
        <v>13801089080</v>
      </c>
      <c r="I28" s="192" t="s">
        <v>6245</v>
      </c>
      <c r="J28" s="183"/>
    </row>
    <row r="29" spans="1:10" ht="12.75" x14ac:dyDescent="0.1">
      <c r="A29" s="179">
        <v>26</v>
      </c>
      <c r="B29" s="179" t="s">
        <v>3457</v>
      </c>
      <c r="C29" s="179" t="s">
        <v>6246</v>
      </c>
      <c r="D29" s="179">
        <v>58</v>
      </c>
      <c r="E29" s="191" t="s">
        <v>6247</v>
      </c>
      <c r="F29" s="179" t="s">
        <v>6248</v>
      </c>
      <c r="G29" s="179"/>
      <c r="H29" s="179">
        <v>13810976310</v>
      </c>
      <c r="I29" s="192" t="s">
        <v>6249</v>
      </c>
      <c r="J29" s="183"/>
    </row>
    <row r="30" spans="1:10" hidden="1" x14ac:dyDescent="0.1">
      <c r="A30" s="174">
        <v>27</v>
      </c>
      <c r="B30" s="179" t="s">
        <v>1190</v>
      </c>
      <c r="C30" s="179"/>
      <c r="D30" s="179">
        <v>64</v>
      </c>
      <c r="E30" s="191" t="s">
        <v>6250</v>
      </c>
      <c r="F30" s="179" t="s">
        <v>6251</v>
      </c>
      <c r="G30" s="179" t="s">
        <v>6252</v>
      </c>
      <c r="H30" s="179">
        <v>13386232922</v>
      </c>
      <c r="I30" s="196" t="s">
        <v>1191</v>
      </c>
      <c r="J30" s="197"/>
    </row>
    <row r="31" spans="1:10" ht="15.75" x14ac:dyDescent="0.15">
      <c r="A31" s="179">
        <v>28</v>
      </c>
      <c r="B31" s="179" t="s">
        <v>457</v>
      </c>
      <c r="C31" s="179" t="s">
        <v>6253</v>
      </c>
      <c r="D31" s="179">
        <v>59</v>
      </c>
      <c r="E31" s="191" t="s">
        <v>6254</v>
      </c>
      <c r="F31" s="179" t="s">
        <v>6255</v>
      </c>
      <c r="G31" s="198" t="s">
        <v>6256</v>
      </c>
      <c r="H31" s="199">
        <v>13701213661</v>
      </c>
      <c r="I31" s="200" t="s">
        <v>6257</v>
      </c>
      <c r="J31" s="183"/>
    </row>
    <row r="32" spans="1:10" s="194" customFormat="1" x14ac:dyDescent="0.1">
      <c r="A32" s="174">
        <v>29</v>
      </c>
      <c r="B32" s="179" t="s">
        <v>3474</v>
      </c>
      <c r="C32" s="179" t="s">
        <v>6258</v>
      </c>
      <c r="D32" s="179">
        <v>60</v>
      </c>
      <c r="E32" s="191" t="s">
        <v>6259</v>
      </c>
      <c r="F32" s="179"/>
      <c r="G32" s="191"/>
      <c r="H32" s="179">
        <v>13801375638</v>
      </c>
      <c r="I32" s="195" t="s">
        <v>6260</v>
      </c>
      <c r="J32" s="201"/>
    </row>
    <row r="33" spans="1:13" s="194" customFormat="1" x14ac:dyDescent="0.1">
      <c r="A33" s="179">
        <v>30</v>
      </c>
      <c r="B33" s="174" t="s">
        <v>3482</v>
      </c>
      <c r="C33" s="174"/>
      <c r="D33" s="174">
        <v>61</v>
      </c>
      <c r="E33" s="175"/>
      <c r="F33" s="179"/>
      <c r="G33" s="202"/>
      <c r="H33" s="179"/>
      <c r="I33" s="203"/>
      <c r="J33" s="204"/>
    </row>
    <row r="34" spans="1:13" ht="12.75" x14ac:dyDescent="0.15">
      <c r="A34" s="174">
        <v>31</v>
      </c>
      <c r="B34" s="174" t="s">
        <v>1152</v>
      </c>
      <c r="C34" s="174"/>
      <c r="D34" s="174">
        <v>61</v>
      </c>
      <c r="E34" s="175" t="s">
        <v>6261</v>
      </c>
      <c r="F34" s="205" t="s">
        <v>6262</v>
      </c>
      <c r="G34" s="206" t="s">
        <v>6263</v>
      </c>
      <c r="H34" s="207">
        <v>13910959771</v>
      </c>
      <c r="I34" s="200" t="s">
        <v>4763</v>
      </c>
      <c r="J34" s="178"/>
    </row>
    <row r="35" spans="1:13" ht="15" x14ac:dyDescent="0.1">
      <c r="A35" s="179">
        <v>32</v>
      </c>
      <c r="B35" s="179" t="s">
        <v>3242</v>
      </c>
      <c r="C35" s="179" t="s">
        <v>6264</v>
      </c>
      <c r="D35" s="179">
        <v>64</v>
      </c>
      <c r="E35" s="191" t="s">
        <v>6265</v>
      </c>
      <c r="F35" s="179" t="s">
        <v>6266</v>
      </c>
      <c r="G35" s="179" t="s">
        <v>6267</v>
      </c>
      <c r="H35" s="179">
        <v>13601180477</v>
      </c>
      <c r="I35" s="192" t="s">
        <v>193</v>
      </c>
      <c r="J35" s="183"/>
    </row>
    <row r="36" spans="1:13" ht="12.75" x14ac:dyDescent="0.1">
      <c r="A36" s="174">
        <v>33</v>
      </c>
      <c r="B36" s="179" t="s">
        <v>3498</v>
      </c>
      <c r="C36" s="179"/>
      <c r="D36" s="179">
        <v>64</v>
      </c>
      <c r="E36" s="191" t="s">
        <v>6268</v>
      </c>
      <c r="F36" s="179" t="s">
        <v>6266</v>
      </c>
      <c r="G36" s="179" t="s">
        <v>6267</v>
      </c>
      <c r="H36" s="179"/>
      <c r="I36" s="192" t="s">
        <v>6269</v>
      </c>
      <c r="J36" s="183"/>
    </row>
    <row r="37" spans="1:13" ht="12.75" x14ac:dyDescent="0.1">
      <c r="A37" s="179">
        <v>34</v>
      </c>
      <c r="B37" s="208" t="s">
        <v>3504</v>
      </c>
      <c r="C37" s="208"/>
      <c r="D37" s="179">
        <v>64</v>
      </c>
      <c r="E37" s="191" t="s">
        <v>6270</v>
      </c>
      <c r="F37" s="179" t="s">
        <v>6271</v>
      </c>
      <c r="G37" s="179" t="s">
        <v>6272</v>
      </c>
      <c r="H37" s="179">
        <v>13811072319</v>
      </c>
      <c r="I37" s="192" t="s">
        <v>6273</v>
      </c>
      <c r="J37" s="183"/>
    </row>
    <row r="38" spans="1:13" ht="12.75" x14ac:dyDescent="0.15">
      <c r="A38" s="174">
        <v>35</v>
      </c>
      <c r="B38" s="179" t="s">
        <v>3511</v>
      </c>
      <c r="C38" s="179" t="s">
        <v>6274</v>
      </c>
      <c r="D38" s="179">
        <v>64</v>
      </c>
      <c r="E38" s="191" t="s">
        <v>6275</v>
      </c>
      <c r="F38" s="179" t="s">
        <v>6276</v>
      </c>
      <c r="G38" s="179"/>
      <c r="H38" s="209">
        <v>13811103723</v>
      </c>
      <c r="I38" s="182" t="s">
        <v>6277</v>
      </c>
      <c r="J38" s="183"/>
    </row>
    <row r="39" spans="1:13" ht="15.75" x14ac:dyDescent="0.15">
      <c r="A39" s="179">
        <v>36</v>
      </c>
      <c r="B39" s="179" t="s">
        <v>3516</v>
      </c>
      <c r="C39" s="179" t="s">
        <v>6278</v>
      </c>
      <c r="D39" s="179">
        <v>66</v>
      </c>
      <c r="E39" s="191" t="s">
        <v>6279</v>
      </c>
      <c r="F39" s="179" t="s">
        <v>6280</v>
      </c>
      <c r="G39" s="179"/>
      <c r="H39" s="209">
        <v>13910002251</v>
      </c>
      <c r="I39" s="182" t="s">
        <v>4754</v>
      </c>
      <c r="J39" s="183"/>
    </row>
    <row r="40" spans="1:13" ht="12.75" x14ac:dyDescent="0.1">
      <c r="A40" s="174">
        <v>37</v>
      </c>
      <c r="B40" s="183" t="s">
        <v>3521</v>
      </c>
      <c r="C40" s="183" t="s">
        <v>6281</v>
      </c>
      <c r="D40" s="183">
        <v>69</v>
      </c>
      <c r="E40" s="210" t="s">
        <v>6282</v>
      </c>
      <c r="F40" s="183" t="s">
        <v>6283</v>
      </c>
      <c r="G40" s="210"/>
      <c r="H40" s="183">
        <v>13611075415</v>
      </c>
      <c r="I40" s="211" t="s">
        <v>6284</v>
      </c>
      <c r="J40" s="183"/>
    </row>
    <row r="41" spans="1:13" x14ac:dyDescent="0.1">
      <c r="M41" s="25"/>
    </row>
    <row r="42" spans="1:13" x14ac:dyDescent="0.1">
      <c r="C42" s="212"/>
    </row>
    <row r="43" spans="1:13" x14ac:dyDescent="0.1">
      <c r="C43" s="212"/>
      <c r="F43" s="5">
        <v>0</v>
      </c>
    </row>
  </sheetData>
  <phoneticPr fontId="1" type="noConversion"/>
  <hyperlinks>
    <hyperlink ref="I6" r:id="rId1" xr:uid="{00000000-0004-0000-1700-000000000000}"/>
    <hyperlink ref="I10" r:id="rId2" xr:uid="{00000000-0004-0000-1700-000001000000}"/>
    <hyperlink ref="I11" r:id="rId3" xr:uid="{00000000-0004-0000-1700-000002000000}"/>
    <hyperlink ref="I19" r:id="rId4" xr:uid="{00000000-0004-0000-1700-000003000000}"/>
    <hyperlink ref="I15" r:id="rId5" xr:uid="{00000000-0004-0000-1700-000004000000}"/>
    <hyperlink ref="I16" r:id="rId6" xr:uid="{00000000-0004-0000-1700-000005000000}"/>
    <hyperlink ref="I25" r:id="rId7" xr:uid="{00000000-0004-0000-1700-000006000000}"/>
    <hyperlink ref="I35" r:id="rId8" xr:uid="{00000000-0004-0000-1700-000007000000}"/>
    <hyperlink ref="I26" r:id="rId9" xr:uid="{00000000-0004-0000-1700-000008000000}"/>
    <hyperlink ref="I29" r:id="rId10" xr:uid="{00000000-0004-0000-1700-000009000000}"/>
    <hyperlink ref="I31" r:id="rId11" xr:uid="{00000000-0004-0000-1700-00000A000000}"/>
    <hyperlink ref="I34" r:id="rId12" xr:uid="{00000000-0004-0000-1700-00000B000000}"/>
    <hyperlink ref="I23" r:id="rId13" xr:uid="{00000000-0004-0000-1700-00000C000000}"/>
    <hyperlink ref="I21" r:id="rId14" xr:uid="{00000000-0004-0000-1700-00000D000000}"/>
    <hyperlink ref="I27" r:id="rId15" xr:uid="{00000000-0004-0000-1700-00000E000000}"/>
    <hyperlink ref="I8" r:id="rId16" xr:uid="{00000000-0004-0000-1700-00000F000000}"/>
    <hyperlink ref="I28" r:id="rId17" xr:uid="{00000000-0004-0000-1700-000010000000}"/>
    <hyperlink ref="I40" r:id="rId18" xr:uid="{00000000-0004-0000-1700-000011000000}"/>
    <hyperlink ref="I12" r:id="rId19" xr:uid="{00000000-0004-0000-1700-000012000000}"/>
    <hyperlink ref="I38" r:id="rId20" xr:uid="{00000000-0004-0000-1700-000013000000}"/>
    <hyperlink ref="I24" r:id="rId21" xr:uid="{00000000-0004-0000-1700-000014000000}"/>
    <hyperlink ref="I32" r:id="rId22" xr:uid="{00000000-0004-0000-1700-000015000000}"/>
    <hyperlink ref="I4" r:id="rId23" xr:uid="{00000000-0004-0000-1700-000016000000}"/>
    <hyperlink ref="I17" r:id="rId24" xr:uid="{00000000-0004-0000-1700-000017000000}"/>
    <hyperlink ref="I36" r:id="rId25" xr:uid="{00000000-0004-0000-1700-000018000000}"/>
    <hyperlink ref="I7" r:id="rId26" xr:uid="{00000000-0004-0000-1700-000019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4"/>
  <sheetViews>
    <sheetView topLeftCell="A25" workbookViewId="0">
      <selection activeCell="I39" sqref="I39"/>
    </sheetView>
  </sheetViews>
  <sheetFormatPr defaultColWidth="9.00390625" defaultRowHeight="11.25" x14ac:dyDescent="0.1"/>
  <cols>
    <col min="1" max="1" width="5.02734375" style="72" customWidth="1"/>
    <col min="2" max="2" width="7.015625" style="72" customWidth="1"/>
    <col min="3" max="3" width="9.00390625" style="214" customWidth="1"/>
    <col min="4" max="4" width="5.9609375" style="214" customWidth="1"/>
    <col min="5" max="5" width="14.96875" style="214" customWidth="1"/>
    <col min="6" max="6" width="16.95703125" style="216" customWidth="1"/>
    <col min="7" max="7" width="14.96875" style="216" customWidth="1"/>
    <col min="8" max="8" width="29.9375" style="217" customWidth="1"/>
    <col min="9" max="9" width="27.01171875" style="215" customWidth="1"/>
    <col min="10" max="10" width="25.9609375" style="216" customWidth="1"/>
    <col min="11" max="11" width="10.9921875" style="72" customWidth="1"/>
    <col min="12" max="12" width="7.94921875" style="72" customWidth="1"/>
    <col min="13" max="13" width="7.015625" style="72" customWidth="1"/>
    <col min="14" max="14" width="9.00390625" style="72" customWidth="1"/>
    <col min="15" max="16384" width="9.00390625" style="72"/>
  </cols>
  <sheetData>
    <row r="1" spans="1:10" ht="14.25" x14ac:dyDescent="0.1">
      <c r="B1" s="213"/>
      <c r="E1" s="878" t="s">
        <v>6285</v>
      </c>
      <c r="F1" s="878"/>
      <c r="G1" s="878"/>
      <c r="H1" s="878"/>
    </row>
    <row r="2" spans="1:10" x14ac:dyDescent="0.1">
      <c r="B2" s="213"/>
      <c r="E2" s="879"/>
      <c r="F2" s="879"/>
      <c r="G2" s="879"/>
    </row>
    <row r="3" spans="1:10" ht="13.5" customHeight="1" x14ac:dyDescent="0.1">
      <c r="A3" s="218" t="s">
        <v>6286</v>
      </c>
      <c r="B3" s="219" t="s">
        <v>6287</v>
      </c>
      <c r="C3" s="219" t="s">
        <v>5519</v>
      </c>
      <c r="D3" s="219" t="s">
        <v>6152</v>
      </c>
      <c r="E3" s="219" t="s">
        <v>6288</v>
      </c>
      <c r="F3" s="219" t="s">
        <v>6289</v>
      </c>
      <c r="G3" s="219" t="s">
        <v>6290</v>
      </c>
      <c r="H3" s="220" t="s">
        <v>6291</v>
      </c>
      <c r="I3" s="219" t="s">
        <v>6292</v>
      </c>
      <c r="J3" s="219" t="s">
        <v>6293</v>
      </c>
    </row>
    <row r="4" spans="1:10" ht="12.75" customHeight="1" x14ac:dyDescent="0.1">
      <c r="A4" s="221"/>
      <c r="B4" s="222">
        <v>1</v>
      </c>
      <c r="C4" s="223" t="s">
        <v>1185</v>
      </c>
      <c r="D4" s="223">
        <v>37</v>
      </c>
      <c r="E4" s="223">
        <v>13306245581</v>
      </c>
      <c r="F4" s="224" t="s">
        <v>6294</v>
      </c>
      <c r="G4" s="224" t="s">
        <v>6295</v>
      </c>
      <c r="H4" s="225" t="s">
        <v>1186</v>
      </c>
      <c r="I4" s="224" t="s">
        <v>6296</v>
      </c>
      <c r="J4" s="224"/>
    </row>
    <row r="5" spans="1:10" ht="13.5" customHeight="1" x14ac:dyDescent="0.1">
      <c r="A5" s="221"/>
      <c r="B5" s="222">
        <v>2</v>
      </c>
      <c r="C5" s="223" t="s">
        <v>1206</v>
      </c>
      <c r="D5" s="223">
        <v>38</v>
      </c>
      <c r="E5" s="223">
        <v>15021333028</v>
      </c>
      <c r="F5" s="224"/>
      <c r="G5" s="224"/>
      <c r="H5" s="226" t="s">
        <v>1207</v>
      </c>
      <c r="I5" s="224" t="s">
        <v>6297</v>
      </c>
      <c r="J5" s="224" t="s">
        <v>6298</v>
      </c>
    </row>
    <row r="6" spans="1:10" ht="13.5" customHeight="1" x14ac:dyDescent="0.1">
      <c r="A6" s="221"/>
      <c r="B6" s="222">
        <v>3</v>
      </c>
      <c r="C6" s="223" t="s">
        <v>139</v>
      </c>
      <c r="D6" s="223">
        <v>41</v>
      </c>
      <c r="E6" s="223">
        <v>13901519550</v>
      </c>
      <c r="F6" s="224"/>
      <c r="G6" s="224"/>
      <c r="H6" s="227" t="s">
        <v>6299</v>
      </c>
      <c r="I6" s="224" t="s">
        <v>6300</v>
      </c>
      <c r="J6" s="224"/>
    </row>
    <row r="7" spans="1:10" ht="13.5" customHeight="1" x14ac:dyDescent="0.1">
      <c r="A7" s="221"/>
      <c r="B7" s="222">
        <v>4</v>
      </c>
      <c r="C7" s="223" t="s">
        <v>422</v>
      </c>
      <c r="D7" s="223">
        <v>41</v>
      </c>
      <c r="E7" s="223">
        <v>13802011042</v>
      </c>
      <c r="F7" s="224" t="s">
        <v>6301</v>
      </c>
      <c r="G7" s="224" t="s">
        <v>6302</v>
      </c>
      <c r="H7" s="228" t="s">
        <v>424</v>
      </c>
      <c r="I7" s="224" t="s">
        <v>6303</v>
      </c>
      <c r="J7" s="224" t="s">
        <v>1117</v>
      </c>
    </row>
    <row r="8" spans="1:10" ht="13.5" customHeight="1" x14ac:dyDescent="0.1">
      <c r="A8" s="221"/>
      <c r="B8" s="222">
        <v>5</v>
      </c>
      <c r="C8" s="223" t="s">
        <v>83</v>
      </c>
      <c r="D8" s="223">
        <v>41</v>
      </c>
      <c r="E8" s="223">
        <v>13962282410</v>
      </c>
      <c r="F8" s="224" t="s">
        <v>6304</v>
      </c>
      <c r="G8" s="224"/>
      <c r="H8" s="229" t="s">
        <v>84</v>
      </c>
      <c r="I8" s="224" t="s">
        <v>6305</v>
      </c>
      <c r="J8" s="224" t="s">
        <v>6306</v>
      </c>
    </row>
    <row r="9" spans="1:10" ht="13.5" customHeight="1" x14ac:dyDescent="0.1">
      <c r="A9" s="221"/>
      <c r="B9" s="222">
        <v>6</v>
      </c>
      <c r="C9" s="223" t="s">
        <v>1208</v>
      </c>
      <c r="D9" s="223">
        <v>48</v>
      </c>
      <c r="E9" s="223">
        <v>18621367622</v>
      </c>
      <c r="F9" s="224" t="s">
        <v>6307</v>
      </c>
      <c r="G9" s="224"/>
      <c r="H9" s="228" t="s">
        <v>1209</v>
      </c>
      <c r="I9" s="224" t="s">
        <v>6308</v>
      </c>
      <c r="J9" s="224" t="s">
        <v>6309</v>
      </c>
    </row>
    <row r="10" spans="1:10" ht="13.5" customHeight="1" x14ac:dyDescent="0.1">
      <c r="A10" s="221"/>
      <c r="B10" s="222">
        <v>7</v>
      </c>
      <c r="C10" s="223" t="s">
        <v>3548</v>
      </c>
      <c r="D10" s="223">
        <v>49</v>
      </c>
      <c r="E10" s="223">
        <v>18621675000</v>
      </c>
      <c r="F10" s="224" t="s">
        <v>6310</v>
      </c>
      <c r="G10" s="224"/>
      <c r="H10" s="227" t="s">
        <v>6311</v>
      </c>
      <c r="I10" s="224" t="s">
        <v>6312</v>
      </c>
      <c r="J10" s="224"/>
    </row>
    <row r="11" spans="1:10" s="230" customFormat="1" ht="13.5" customHeight="1" x14ac:dyDescent="0.1">
      <c r="A11" s="221"/>
      <c r="B11" s="222">
        <v>8</v>
      </c>
      <c r="C11" s="223" t="s">
        <v>135</v>
      </c>
      <c r="D11" s="223">
        <v>50</v>
      </c>
      <c r="E11" s="223">
        <v>13641999092</v>
      </c>
      <c r="F11" s="224"/>
      <c r="G11" s="224"/>
      <c r="H11" s="227" t="s">
        <v>136</v>
      </c>
      <c r="I11" s="224" t="s">
        <v>6313</v>
      </c>
      <c r="J11" s="224"/>
    </row>
    <row r="12" spans="1:10" ht="13.5" customHeight="1" x14ac:dyDescent="0.1">
      <c r="A12" s="221"/>
      <c r="B12" s="222">
        <v>9</v>
      </c>
      <c r="C12" s="223" t="s">
        <v>1121</v>
      </c>
      <c r="D12" s="223">
        <v>51</v>
      </c>
      <c r="E12" s="223">
        <v>13801734735</v>
      </c>
      <c r="F12" s="224" t="s">
        <v>6314</v>
      </c>
      <c r="G12" s="224" t="s">
        <v>6315</v>
      </c>
      <c r="H12" s="228" t="s">
        <v>1122</v>
      </c>
      <c r="I12" s="224" t="s">
        <v>6316</v>
      </c>
      <c r="J12" s="224"/>
    </row>
    <row r="13" spans="1:10" s="230" customFormat="1" ht="13.5" customHeight="1" x14ac:dyDescent="0.1">
      <c r="A13" s="221"/>
      <c r="B13" s="222">
        <v>10</v>
      </c>
      <c r="C13" s="223" t="s">
        <v>89</v>
      </c>
      <c r="D13" s="223">
        <v>52</v>
      </c>
      <c r="E13" s="223">
        <v>13758300558</v>
      </c>
      <c r="F13" s="224" t="s">
        <v>6317</v>
      </c>
      <c r="G13" s="224" t="s">
        <v>6318</v>
      </c>
      <c r="H13" s="231" t="s">
        <v>6319</v>
      </c>
      <c r="I13" s="224" t="s">
        <v>6320</v>
      </c>
      <c r="J13" s="224" t="s">
        <v>6321</v>
      </c>
    </row>
    <row r="14" spans="1:10" s="230" customFormat="1" ht="13.5" customHeight="1" x14ac:dyDescent="0.1">
      <c r="A14" s="221"/>
      <c r="B14" s="222">
        <v>11</v>
      </c>
      <c r="C14" s="223" t="s">
        <v>107</v>
      </c>
      <c r="D14" s="223">
        <v>52</v>
      </c>
      <c r="E14" s="223">
        <v>13962110660</v>
      </c>
      <c r="F14" s="224" t="s">
        <v>6322</v>
      </c>
      <c r="G14" s="224"/>
      <c r="H14" s="227" t="s">
        <v>108</v>
      </c>
      <c r="I14" s="224" t="s">
        <v>6323</v>
      </c>
      <c r="J14" s="224"/>
    </row>
    <row r="15" spans="1:10" s="230" customFormat="1" ht="13.5" customHeight="1" x14ac:dyDescent="0.1">
      <c r="A15" s="221"/>
      <c r="B15" s="222">
        <v>12</v>
      </c>
      <c r="C15" s="223" t="s">
        <v>101</v>
      </c>
      <c r="D15" s="223">
        <v>54</v>
      </c>
      <c r="E15" s="223">
        <v>13817495433</v>
      </c>
      <c r="F15" s="224" t="s">
        <v>6324</v>
      </c>
      <c r="G15" s="224" t="s">
        <v>6324</v>
      </c>
      <c r="H15" s="228" t="s">
        <v>102</v>
      </c>
      <c r="I15" s="224" t="s">
        <v>6325</v>
      </c>
      <c r="J15" s="224" t="s">
        <v>6326</v>
      </c>
    </row>
    <row r="16" spans="1:10" s="230" customFormat="1" ht="13.5" customHeight="1" x14ac:dyDescent="0.1">
      <c r="A16" s="221"/>
      <c r="B16" s="222">
        <v>13</v>
      </c>
      <c r="C16" s="223" t="s">
        <v>111</v>
      </c>
      <c r="D16" s="223">
        <v>54</v>
      </c>
      <c r="E16" s="223">
        <v>13817093427</v>
      </c>
      <c r="F16" s="224"/>
      <c r="G16" s="224"/>
      <c r="H16" s="224" t="s">
        <v>112</v>
      </c>
      <c r="I16" s="224" t="s">
        <v>6327</v>
      </c>
      <c r="J16" s="224"/>
    </row>
    <row r="17" spans="1:10" s="230" customFormat="1" ht="13.5" customHeight="1" x14ac:dyDescent="0.1">
      <c r="A17" s="221"/>
      <c r="B17" s="222">
        <v>14</v>
      </c>
      <c r="C17" s="223" t="s">
        <v>3557</v>
      </c>
      <c r="D17" s="223">
        <v>56</v>
      </c>
      <c r="E17" s="223">
        <v>15921108688</v>
      </c>
      <c r="F17" s="224"/>
      <c r="G17" s="224"/>
      <c r="H17" s="227" t="s">
        <v>6328</v>
      </c>
      <c r="I17" s="224" t="s">
        <v>6329</v>
      </c>
      <c r="J17" s="224" t="s">
        <v>6330</v>
      </c>
    </row>
    <row r="18" spans="1:10" ht="13.5" customHeight="1" x14ac:dyDescent="0.1">
      <c r="A18" s="221"/>
      <c r="B18" s="222">
        <v>15</v>
      </c>
      <c r="C18" s="223" t="s">
        <v>156</v>
      </c>
      <c r="D18" s="223">
        <v>58</v>
      </c>
      <c r="E18" s="223">
        <v>13818020569</v>
      </c>
      <c r="F18" s="224" t="s">
        <v>6331</v>
      </c>
      <c r="G18" s="224" t="s">
        <v>6332</v>
      </c>
      <c r="H18" s="228" t="s">
        <v>157</v>
      </c>
      <c r="I18" s="224" t="s">
        <v>6333</v>
      </c>
      <c r="J18" s="224"/>
    </row>
    <row r="19" spans="1:10" ht="13.5" customHeight="1" x14ac:dyDescent="0.1">
      <c r="A19" s="221"/>
      <c r="B19" s="222">
        <v>16</v>
      </c>
      <c r="C19" s="223" t="s">
        <v>1195</v>
      </c>
      <c r="D19" s="223">
        <v>58</v>
      </c>
      <c r="E19" s="223">
        <v>13916604698</v>
      </c>
      <c r="F19" s="224" t="s">
        <v>6334</v>
      </c>
      <c r="G19" s="232"/>
      <c r="H19" s="228" t="s">
        <v>1196</v>
      </c>
      <c r="I19" s="224" t="s">
        <v>6335</v>
      </c>
      <c r="J19" s="224"/>
    </row>
    <row r="20" spans="1:10" s="230" customFormat="1" ht="14.25" customHeight="1" x14ac:dyDescent="0.1">
      <c r="A20" s="221"/>
      <c r="B20" s="222">
        <v>17</v>
      </c>
      <c r="C20" s="223" t="s">
        <v>3562</v>
      </c>
      <c r="D20" s="223">
        <v>58</v>
      </c>
      <c r="E20" s="223">
        <v>13321992229</v>
      </c>
      <c r="F20" s="224"/>
      <c r="G20" s="224"/>
      <c r="H20" s="227" t="s">
        <v>6336</v>
      </c>
      <c r="I20" s="224" t="s">
        <v>6337</v>
      </c>
      <c r="J20" s="224" t="s">
        <v>6338</v>
      </c>
    </row>
    <row r="21" spans="1:10" ht="13.5" customHeight="1" x14ac:dyDescent="0.1">
      <c r="A21" s="221"/>
      <c r="B21" s="222">
        <v>18</v>
      </c>
      <c r="C21" s="223" t="s">
        <v>3564</v>
      </c>
      <c r="D21" s="223">
        <v>60</v>
      </c>
      <c r="E21" s="223">
        <v>18621026636</v>
      </c>
      <c r="F21" s="224" t="s">
        <v>6339</v>
      </c>
      <c r="G21" s="224" t="s">
        <v>6340</v>
      </c>
      <c r="H21" s="227" t="s">
        <v>4737</v>
      </c>
      <c r="I21" s="224" t="s">
        <v>6341</v>
      </c>
      <c r="J21" s="224" t="s">
        <v>6342</v>
      </c>
    </row>
    <row r="22" spans="1:10" ht="13.5" customHeight="1" x14ac:dyDescent="0.1">
      <c r="A22" s="221"/>
      <c r="B22" s="222">
        <v>19</v>
      </c>
      <c r="C22" s="223" t="s">
        <v>137</v>
      </c>
      <c r="D22" s="223">
        <v>61</v>
      </c>
      <c r="E22" s="223">
        <v>13957396821</v>
      </c>
      <c r="F22" s="224" t="s">
        <v>6343</v>
      </c>
      <c r="G22" s="224" t="s">
        <v>6344</v>
      </c>
      <c r="H22" s="227" t="s">
        <v>138</v>
      </c>
      <c r="I22" s="224" t="s">
        <v>6345</v>
      </c>
      <c r="J22" s="224" t="s">
        <v>6346</v>
      </c>
    </row>
    <row r="23" spans="1:10" s="230" customFormat="1" ht="13.5" customHeight="1" x14ac:dyDescent="0.1">
      <c r="A23" s="221"/>
      <c r="B23" s="222">
        <v>20</v>
      </c>
      <c r="C23" s="223" t="s">
        <v>1190</v>
      </c>
      <c r="D23" s="223">
        <v>64</v>
      </c>
      <c r="E23" s="223">
        <v>13386232922</v>
      </c>
      <c r="F23" s="224" t="s">
        <v>6347</v>
      </c>
      <c r="G23" s="224" t="s">
        <v>6348</v>
      </c>
      <c r="H23" s="228" t="s">
        <v>1192</v>
      </c>
      <c r="I23" s="224" t="s">
        <v>6349</v>
      </c>
      <c r="J23" s="224"/>
    </row>
    <row r="24" spans="1:10" s="230" customFormat="1" ht="13.5" customHeight="1" x14ac:dyDescent="0.1">
      <c r="A24" s="880"/>
      <c r="B24" s="222">
        <v>21</v>
      </c>
      <c r="C24" s="223" t="s">
        <v>2098</v>
      </c>
      <c r="D24" s="223">
        <v>66</v>
      </c>
      <c r="E24" s="223">
        <v>18616809153</v>
      </c>
      <c r="F24" s="224" t="s">
        <v>6350</v>
      </c>
      <c r="G24" s="224" t="s">
        <v>6351</v>
      </c>
      <c r="H24" s="228" t="s">
        <v>2099</v>
      </c>
      <c r="I24" s="224" t="s">
        <v>6352</v>
      </c>
      <c r="J24" s="224"/>
    </row>
    <row r="25" spans="1:10" s="230" customFormat="1" ht="13.5" customHeight="1" x14ac:dyDescent="0.1">
      <c r="A25" s="880"/>
      <c r="B25" s="222">
        <v>22</v>
      </c>
      <c r="C25" s="223" t="s">
        <v>119</v>
      </c>
      <c r="D25" s="223">
        <v>68</v>
      </c>
      <c r="E25" s="223">
        <v>13524996122</v>
      </c>
      <c r="F25" s="224"/>
      <c r="G25" s="224"/>
      <c r="H25" s="227" t="s">
        <v>120</v>
      </c>
      <c r="I25" s="224" t="s">
        <v>6353</v>
      </c>
      <c r="J25" s="224">
        <v>2008.12</v>
      </c>
    </row>
    <row r="26" spans="1:10" s="230" customFormat="1" ht="13.5" customHeight="1" x14ac:dyDescent="0.1">
      <c r="A26" s="880"/>
      <c r="B26" s="222">
        <v>23</v>
      </c>
      <c r="C26" s="223" t="s">
        <v>2217</v>
      </c>
      <c r="D26" s="223">
        <v>74</v>
      </c>
      <c r="E26" s="223">
        <v>15852728171</v>
      </c>
      <c r="F26" s="224"/>
      <c r="G26" s="224"/>
      <c r="H26" s="227" t="s">
        <v>2218</v>
      </c>
      <c r="I26" s="224" t="s">
        <v>6354</v>
      </c>
      <c r="J26" s="224">
        <v>2006.9</v>
      </c>
    </row>
    <row r="27" spans="1:10" s="230" customFormat="1" ht="13.5" customHeight="1" x14ac:dyDescent="0.1">
      <c r="A27" s="221"/>
      <c r="B27" s="222">
        <v>24</v>
      </c>
      <c r="C27" s="223" t="s">
        <v>3571</v>
      </c>
      <c r="D27" s="223">
        <v>75</v>
      </c>
      <c r="E27" s="223">
        <v>13122196060</v>
      </c>
      <c r="F27" s="224" t="s">
        <v>6355</v>
      </c>
      <c r="G27" s="224"/>
      <c r="H27" s="233" t="s">
        <v>6356</v>
      </c>
      <c r="I27" s="224" t="s">
        <v>6357</v>
      </c>
      <c r="J27" s="224" t="s">
        <v>6358</v>
      </c>
    </row>
    <row r="28" spans="1:10" s="230" customFormat="1" ht="13.5" customHeight="1" x14ac:dyDescent="0.1">
      <c r="A28" s="221"/>
      <c r="B28" s="222">
        <v>25</v>
      </c>
      <c r="C28" s="223" t="s">
        <v>3573</v>
      </c>
      <c r="D28" s="223">
        <v>75</v>
      </c>
      <c r="E28" s="223">
        <v>18621509349</v>
      </c>
      <c r="F28" s="224" t="s">
        <v>6359</v>
      </c>
      <c r="G28" s="224"/>
      <c r="H28" s="233" t="s">
        <v>6360</v>
      </c>
      <c r="I28" s="224" t="s">
        <v>6361</v>
      </c>
      <c r="J28" s="224" t="s">
        <v>6358</v>
      </c>
    </row>
    <row r="29" spans="1:10" s="230" customFormat="1" ht="13.5" customHeight="1" x14ac:dyDescent="0.1">
      <c r="A29" s="234"/>
      <c r="B29" s="235">
        <v>1</v>
      </c>
      <c r="C29" s="236" t="s">
        <v>1102</v>
      </c>
      <c r="D29" s="236">
        <v>41</v>
      </c>
      <c r="E29" s="236">
        <v>13817877875</v>
      </c>
      <c r="F29" s="237" t="s">
        <v>6362</v>
      </c>
      <c r="G29" s="237" t="s">
        <v>6363</v>
      </c>
      <c r="H29" s="238" t="s">
        <v>1103</v>
      </c>
      <c r="I29" s="237" t="s">
        <v>6364</v>
      </c>
      <c r="J29" s="237" t="s">
        <v>6365</v>
      </c>
    </row>
    <row r="30" spans="1:10" s="230" customFormat="1" ht="13.5" customHeight="1" x14ac:dyDescent="0.1">
      <c r="A30" s="234"/>
      <c r="B30" s="235">
        <v>2</v>
      </c>
      <c r="C30" s="236" t="s">
        <v>85</v>
      </c>
      <c r="D30" s="236">
        <v>41</v>
      </c>
      <c r="E30" s="236">
        <v>13013788703</v>
      </c>
      <c r="F30" s="237" t="s">
        <v>6366</v>
      </c>
      <c r="G30" s="237"/>
      <c r="H30" s="239" t="s">
        <v>86</v>
      </c>
      <c r="I30" s="237"/>
      <c r="J30" s="237" t="s">
        <v>6367</v>
      </c>
    </row>
    <row r="31" spans="1:10" ht="13.5" customHeight="1" x14ac:dyDescent="0.1">
      <c r="A31" s="234"/>
      <c r="B31" s="235">
        <v>3</v>
      </c>
      <c r="C31" s="236" t="s">
        <v>103</v>
      </c>
      <c r="D31" s="236">
        <v>43</v>
      </c>
      <c r="E31" s="236">
        <v>15962763366</v>
      </c>
      <c r="F31" s="237"/>
      <c r="G31" s="237"/>
      <c r="H31" s="240" t="s">
        <v>104</v>
      </c>
      <c r="I31" s="237" t="s">
        <v>6368</v>
      </c>
      <c r="J31" s="237" t="s">
        <v>6369</v>
      </c>
    </row>
    <row r="32" spans="1:10" ht="13.5" customHeight="1" x14ac:dyDescent="0.1">
      <c r="A32" s="234"/>
      <c r="B32" s="235">
        <v>4</v>
      </c>
      <c r="C32" s="236" t="s">
        <v>6370</v>
      </c>
      <c r="D32" s="236">
        <v>44</v>
      </c>
      <c r="E32" s="236"/>
      <c r="F32" s="237"/>
      <c r="G32" s="237"/>
      <c r="H32" s="241"/>
      <c r="I32" s="242"/>
      <c r="J32" s="242"/>
    </row>
    <row r="33" spans="1:10" ht="13.5" customHeight="1" x14ac:dyDescent="0.1">
      <c r="A33" s="234"/>
      <c r="B33" s="235">
        <v>5</v>
      </c>
      <c r="C33" s="236" t="s">
        <v>6371</v>
      </c>
      <c r="D33" s="236">
        <v>44</v>
      </c>
      <c r="E33" s="236"/>
      <c r="F33" s="237"/>
      <c r="G33" s="237"/>
      <c r="H33" s="241"/>
      <c r="I33" s="242"/>
      <c r="J33" s="242"/>
    </row>
    <row r="34" spans="1:10" s="230" customFormat="1" ht="13.5" customHeight="1" x14ac:dyDescent="0.1">
      <c r="A34" s="234"/>
      <c r="B34" s="235">
        <v>6</v>
      </c>
      <c r="C34" s="236" t="s">
        <v>131</v>
      </c>
      <c r="D34" s="236">
        <v>46</v>
      </c>
      <c r="E34" s="236">
        <v>13382122767</v>
      </c>
      <c r="F34" s="237"/>
      <c r="G34" s="237"/>
      <c r="H34" s="238" t="s">
        <v>132</v>
      </c>
      <c r="I34" s="237" t="s">
        <v>6372</v>
      </c>
      <c r="J34" s="237" t="s">
        <v>6373</v>
      </c>
    </row>
    <row r="35" spans="1:10" s="230" customFormat="1" ht="13.5" customHeight="1" x14ac:dyDescent="0.1">
      <c r="A35" s="234"/>
      <c r="B35" s="235">
        <v>7</v>
      </c>
      <c r="C35" s="236" t="s">
        <v>127</v>
      </c>
      <c r="D35" s="236">
        <v>47</v>
      </c>
      <c r="E35" s="236">
        <v>13540721825</v>
      </c>
      <c r="F35" s="237"/>
      <c r="G35" s="237"/>
      <c r="H35" s="240" t="s">
        <v>128</v>
      </c>
      <c r="I35" s="237" t="s">
        <v>6374</v>
      </c>
      <c r="J35" s="237" t="s">
        <v>6375</v>
      </c>
    </row>
    <row r="36" spans="1:10" ht="13.5" customHeight="1" x14ac:dyDescent="0.1">
      <c r="A36" s="234"/>
      <c r="B36" s="235">
        <v>8</v>
      </c>
      <c r="C36" s="236" t="s">
        <v>6376</v>
      </c>
      <c r="D36" s="236">
        <v>47</v>
      </c>
      <c r="E36" s="236"/>
      <c r="F36" s="237"/>
      <c r="G36" s="237"/>
      <c r="H36" s="241"/>
      <c r="I36" s="242"/>
      <c r="J36" s="242"/>
    </row>
    <row r="37" spans="1:10" s="230" customFormat="1" ht="13.5" customHeight="1" x14ac:dyDescent="0.1">
      <c r="A37" s="234"/>
      <c r="B37" s="235">
        <v>9</v>
      </c>
      <c r="C37" s="236" t="s">
        <v>95</v>
      </c>
      <c r="D37" s="236">
        <v>47</v>
      </c>
      <c r="E37" s="236">
        <v>13818981954</v>
      </c>
      <c r="F37" s="237"/>
      <c r="G37" s="237"/>
      <c r="H37" s="241" t="s">
        <v>96</v>
      </c>
      <c r="I37" s="237" t="s">
        <v>6377</v>
      </c>
      <c r="J37" s="237"/>
    </row>
    <row r="38" spans="1:10" s="230" customFormat="1" ht="13.5" customHeight="1" x14ac:dyDescent="0.1">
      <c r="A38" s="234"/>
      <c r="B38" s="235">
        <v>10</v>
      </c>
      <c r="C38" s="236" t="s">
        <v>129</v>
      </c>
      <c r="D38" s="236">
        <v>48</v>
      </c>
      <c r="E38" s="236">
        <v>15901732953</v>
      </c>
      <c r="F38" s="237"/>
      <c r="G38" s="237"/>
      <c r="H38" s="240" t="s">
        <v>130</v>
      </c>
      <c r="I38" s="237"/>
      <c r="J38" s="237" t="s">
        <v>6378</v>
      </c>
    </row>
    <row r="39" spans="1:10" ht="13.5" customHeight="1" x14ac:dyDescent="0.1">
      <c r="A39" s="243"/>
      <c r="B39" s="235">
        <v>11</v>
      </c>
      <c r="C39" s="236" t="s">
        <v>123</v>
      </c>
      <c r="D39" s="236">
        <v>48</v>
      </c>
      <c r="E39" s="236">
        <v>15000403000</v>
      </c>
      <c r="F39" s="237"/>
      <c r="G39" s="237"/>
      <c r="H39" s="238" t="s">
        <v>124</v>
      </c>
      <c r="I39" s="237" t="s">
        <v>6379</v>
      </c>
      <c r="J39" s="237"/>
    </row>
    <row r="40" spans="1:10" ht="13.5" customHeight="1" x14ac:dyDescent="0.1">
      <c r="A40" s="243"/>
      <c r="B40" s="235">
        <v>12</v>
      </c>
      <c r="C40" s="236" t="s">
        <v>3336</v>
      </c>
      <c r="D40" s="236">
        <v>48</v>
      </c>
      <c r="E40" s="236"/>
      <c r="F40" s="237"/>
      <c r="G40" s="237"/>
      <c r="H40" s="241"/>
      <c r="I40" s="242"/>
      <c r="J40" s="242"/>
    </row>
    <row r="41" spans="1:10" ht="13.5" customHeight="1" x14ac:dyDescent="0.1">
      <c r="A41" s="243"/>
      <c r="B41" s="235">
        <v>13</v>
      </c>
      <c r="C41" s="236" t="s">
        <v>6380</v>
      </c>
      <c r="D41" s="236">
        <v>48</v>
      </c>
      <c r="E41" s="236"/>
      <c r="F41" s="237"/>
      <c r="G41" s="237"/>
      <c r="H41" s="241"/>
      <c r="I41" s="242"/>
      <c r="J41" s="242"/>
    </row>
    <row r="42" spans="1:10" ht="13.5" customHeight="1" x14ac:dyDescent="0.1">
      <c r="A42" s="243" t="s">
        <v>6381</v>
      </c>
      <c r="B42" s="235">
        <v>14</v>
      </c>
      <c r="C42" s="236" t="s">
        <v>1141</v>
      </c>
      <c r="D42" s="236">
        <v>48</v>
      </c>
      <c r="E42" s="236">
        <v>13601516711</v>
      </c>
      <c r="F42" s="237" t="s">
        <v>6382</v>
      </c>
      <c r="G42" s="237" t="s">
        <v>6383</v>
      </c>
      <c r="H42" s="238" t="s">
        <v>1142</v>
      </c>
      <c r="I42" s="237" t="s">
        <v>6384</v>
      </c>
      <c r="J42" s="237" t="s">
        <v>6385</v>
      </c>
    </row>
    <row r="43" spans="1:10" ht="13.5" customHeight="1" x14ac:dyDescent="0.1">
      <c r="A43" s="243"/>
      <c r="B43" s="235">
        <v>15</v>
      </c>
      <c r="C43" s="236" t="s">
        <v>400</v>
      </c>
      <c r="D43" s="236">
        <v>48</v>
      </c>
      <c r="E43" s="236">
        <v>13728833842</v>
      </c>
      <c r="F43" s="237" t="s">
        <v>6386</v>
      </c>
      <c r="G43" s="237"/>
      <c r="H43" s="238" t="s">
        <v>401</v>
      </c>
      <c r="I43" s="237"/>
      <c r="J43" s="237"/>
    </row>
    <row r="44" spans="1:10" ht="13.5" customHeight="1" x14ac:dyDescent="0.1">
      <c r="A44" s="234"/>
      <c r="B44" s="235">
        <v>16</v>
      </c>
      <c r="C44" s="236" t="s">
        <v>1479</v>
      </c>
      <c r="D44" s="236">
        <v>48</v>
      </c>
      <c r="E44" s="236">
        <v>13817173750</v>
      </c>
      <c r="F44" s="237"/>
      <c r="G44" s="237"/>
      <c r="H44" s="240" t="s">
        <v>644</v>
      </c>
      <c r="I44" s="237"/>
      <c r="J44" s="237" t="s">
        <v>6387</v>
      </c>
    </row>
    <row r="45" spans="1:10" ht="13.5" customHeight="1" x14ac:dyDescent="0.1">
      <c r="A45" s="243"/>
      <c r="B45" s="235">
        <v>17</v>
      </c>
      <c r="C45" s="236" t="s">
        <v>392</v>
      </c>
      <c r="D45" s="236">
        <v>49</v>
      </c>
      <c r="E45" s="236">
        <v>13770754120</v>
      </c>
      <c r="F45" s="237" t="s">
        <v>6388</v>
      </c>
      <c r="G45" s="237" t="s">
        <v>6389</v>
      </c>
      <c r="H45" s="238" t="s">
        <v>393</v>
      </c>
      <c r="I45" s="237" t="s">
        <v>6390</v>
      </c>
      <c r="J45" s="237" t="s">
        <v>6391</v>
      </c>
    </row>
    <row r="46" spans="1:10" ht="13.5" customHeight="1" x14ac:dyDescent="0.1">
      <c r="A46" s="234"/>
      <c r="B46" s="235">
        <v>18</v>
      </c>
      <c r="C46" s="236" t="s">
        <v>893</v>
      </c>
      <c r="D46" s="236">
        <v>49</v>
      </c>
      <c r="E46" s="236">
        <v>13728923211</v>
      </c>
      <c r="F46" s="237" t="s">
        <v>6386</v>
      </c>
      <c r="G46" s="237"/>
      <c r="H46" s="241" t="s">
        <v>894</v>
      </c>
      <c r="I46" s="237"/>
      <c r="J46" s="237"/>
    </row>
    <row r="47" spans="1:10" ht="13.5" customHeight="1" x14ac:dyDescent="0.1">
      <c r="A47" s="243"/>
      <c r="B47" s="235">
        <v>19</v>
      </c>
      <c r="C47" s="236" t="s">
        <v>1269</v>
      </c>
      <c r="D47" s="236">
        <v>50</v>
      </c>
      <c r="E47" s="236">
        <v>13621516428</v>
      </c>
      <c r="F47" s="237"/>
      <c r="G47" s="237"/>
      <c r="H47" s="241" t="s">
        <v>1270</v>
      </c>
      <c r="I47" s="237" t="s">
        <v>6392</v>
      </c>
      <c r="J47" s="237"/>
    </row>
    <row r="48" spans="1:10" ht="13.5" customHeight="1" x14ac:dyDescent="0.1">
      <c r="A48" s="243" t="s">
        <v>6393</v>
      </c>
      <c r="B48" s="235">
        <v>20</v>
      </c>
      <c r="C48" s="236" t="s">
        <v>109</v>
      </c>
      <c r="D48" s="236">
        <v>50</v>
      </c>
      <c r="E48" s="236">
        <v>13601818631</v>
      </c>
      <c r="F48" s="237" t="s">
        <v>6394</v>
      </c>
      <c r="G48" s="237"/>
      <c r="H48" s="238" t="s">
        <v>110</v>
      </c>
      <c r="I48" s="237" t="s">
        <v>6395</v>
      </c>
      <c r="J48" s="237" t="s">
        <v>6396</v>
      </c>
    </row>
    <row r="49" spans="1:11" ht="13.5" customHeight="1" x14ac:dyDescent="0.1">
      <c r="A49" s="243"/>
      <c r="B49" s="235">
        <v>21</v>
      </c>
      <c r="C49" s="236" t="s">
        <v>1187</v>
      </c>
      <c r="D49" s="236">
        <v>50</v>
      </c>
      <c r="E49" s="236" t="s">
        <v>6397</v>
      </c>
      <c r="F49" s="237"/>
      <c r="G49" s="237"/>
      <c r="H49" s="238" t="s">
        <v>1188</v>
      </c>
      <c r="I49" s="237" t="s">
        <v>6398</v>
      </c>
      <c r="J49" s="237" t="s">
        <v>6399</v>
      </c>
    </row>
    <row r="50" spans="1:11" s="230" customFormat="1" ht="13.5" customHeight="1" x14ac:dyDescent="0.1">
      <c r="A50" s="243"/>
      <c r="B50" s="235">
        <v>22</v>
      </c>
      <c r="C50" s="236" t="s">
        <v>117</v>
      </c>
      <c r="D50" s="236">
        <v>51</v>
      </c>
      <c r="E50" s="236">
        <v>13826552710</v>
      </c>
      <c r="F50" s="237"/>
      <c r="G50" s="237"/>
      <c r="H50" s="238" t="s">
        <v>118</v>
      </c>
      <c r="I50" s="237"/>
      <c r="J50" s="237"/>
    </row>
    <row r="51" spans="1:11" ht="13.5" customHeight="1" x14ac:dyDescent="0.1">
      <c r="A51" s="243"/>
      <c r="B51" s="235">
        <v>23</v>
      </c>
      <c r="C51" s="236" t="s">
        <v>91</v>
      </c>
      <c r="D51" s="236">
        <v>51</v>
      </c>
      <c r="E51" s="236">
        <v>13601608175</v>
      </c>
      <c r="F51" s="237"/>
      <c r="G51" s="237"/>
      <c r="H51" s="240" t="s">
        <v>92</v>
      </c>
      <c r="I51" s="237" t="s">
        <v>6400</v>
      </c>
      <c r="J51" s="237" t="s">
        <v>6401</v>
      </c>
    </row>
    <row r="52" spans="1:11" s="230" customFormat="1" ht="13.5" customHeight="1" x14ac:dyDescent="0.1">
      <c r="A52" s="234"/>
      <c r="B52" s="235">
        <v>24</v>
      </c>
      <c r="C52" s="236" t="s">
        <v>388</v>
      </c>
      <c r="D52" s="236">
        <v>53</v>
      </c>
      <c r="E52" s="236">
        <v>13817423436</v>
      </c>
      <c r="F52" s="237"/>
      <c r="G52" s="237"/>
      <c r="H52" s="238" t="s">
        <v>389</v>
      </c>
      <c r="I52" s="237" t="s">
        <v>6377</v>
      </c>
      <c r="J52" s="237">
        <v>2008.12</v>
      </c>
    </row>
    <row r="53" spans="1:11" ht="13.5" customHeight="1" x14ac:dyDescent="0.1">
      <c r="A53" s="234"/>
      <c r="B53" s="235">
        <v>25</v>
      </c>
      <c r="C53" s="236" t="s">
        <v>115</v>
      </c>
      <c r="D53" s="236">
        <v>54</v>
      </c>
      <c r="E53" s="236">
        <v>13681803004</v>
      </c>
      <c r="F53" s="237" t="s">
        <v>6402</v>
      </c>
      <c r="G53" s="237" t="s">
        <v>6403</v>
      </c>
      <c r="H53" s="240" t="s">
        <v>116</v>
      </c>
      <c r="I53" s="237" t="s">
        <v>6404</v>
      </c>
      <c r="J53" s="237" t="s">
        <v>6405</v>
      </c>
    </row>
    <row r="54" spans="1:11" s="230" customFormat="1" ht="13.5" customHeight="1" x14ac:dyDescent="0.1">
      <c r="A54" s="234"/>
      <c r="B54" s="235">
        <v>26</v>
      </c>
      <c r="C54" s="236" t="s">
        <v>6406</v>
      </c>
      <c r="D54" s="236">
        <v>54</v>
      </c>
      <c r="E54" s="236"/>
      <c r="F54" s="237"/>
      <c r="G54" s="237"/>
      <c r="H54" s="241"/>
      <c r="I54" s="242"/>
      <c r="J54" s="242"/>
      <c r="K54" s="244"/>
    </row>
    <row r="55" spans="1:11" ht="13.5" customHeight="1" x14ac:dyDescent="0.1">
      <c r="A55" s="234"/>
      <c r="B55" s="235">
        <v>27</v>
      </c>
      <c r="C55" s="236" t="s">
        <v>418</v>
      </c>
      <c r="D55" s="236">
        <v>55</v>
      </c>
      <c r="E55" s="236">
        <v>13701886254</v>
      </c>
      <c r="F55" s="237"/>
      <c r="G55" s="237"/>
      <c r="H55" s="238" t="s">
        <v>419</v>
      </c>
      <c r="I55" s="237" t="s">
        <v>6407</v>
      </c>
      <c r="J55" s="237" t="s">
        <v>6408</v>
      </c>
    </row>
    <row r="56" spans="1:11" ht="13.5" customHeight="1" x14ac:dyDescent="0.1">
      <c r="A56" s="234"/>
      <c r="B56" s="235">
        <v>28</v>
      </c>
      <c r="C56" s="236" t="s">
        <v>1171</v>
      </c>
      <c r="D56" s="236">
        <v>57</v>
      </c>
      <c r="E56" s="236">
        <v>13501915423</v>
      </c>
      <c r="F56" s="237"/>
      <c r="G56" s="237"/>
      <c r="H56" s="238" t="s">
        <v>1172</v>
      </c>
      <c r="I56" s="237" t="s">
        <v>6409</v>
      </c>
      <c r="J56" s="237" t="s">
        <v>6410</v>
      </c>
    </row>
    <row r="57" spans="1:11" ht="13.5" customHeight="1" x14ac:dyDescent="0.1">
      <c r="A57" s="234"/>
      <c r="B57" s="235">
        <v>29</v>
      </c>
      <c r="C57" s="236" t="s">
        <v>105</v>
      </c>
      <c r="D57" s="236">
        <v>57</v>
      </c>
      <c r="E57" s="245">
        <v>13816034788</v>
      </c>
      <c r="F57" s="237"/>
      <c r="G57" s="237"/>
      <c r="H57" s="240" t="s">
        <v>106</v>
      </c>
      <c r="I57" s="237" t="s">
        <v>6411</v>
      </c>
      <c r="J57" s="237" t="s">
        <v>6412</v>
      </c>
    </row>
    <row r="58" spans="1:11" s="230" customFormat="1" ht="13.5" customHeight="1" x14ac:dyDescent="0.1">
      <c r="A58" s="234"/>
      <c r="B58" s="235">
        <v>30</v>
      </c>
      <c r="C58" s="236" t="s">
        <v>6413</v>
      </c>
      <c r="D58" s="236">
        <v>58</v>
      </c>
      <c r="E58" s="236"/>
      <c r="F58" s="237"/>
      <c r="G58" s="237"/>
      <c r="H58" s="241"/>
      <c r="I58" s="242"/>
      <c r="J58" s="242"/>
    </row>
    <row r="59" spans="1:11" s="230" customFormat="1" ht="13.5" customHeight="1" x14ac:dyDescent="0.1">
      <c r="A59" s="234"/>
      <c r="B59" s="235">
        <v>31</v>
      </c>
      <c r="C59" s="236" t="s">
        <v>113</v>
      </c>
      <c r="D59" s="236">
        <v>58</v>
      </c>
      <c r="E59" s="236"/>
      <c r="F59" s="237" t="s">
        <v>6414</v>
      </c>
      <c r="G59" s="237" t="s">
        <v>6415</v>
      </c>
      <c r="H59" s="238" t="s">
        <v>114</v>
      </c>
      <c r="I59" s="237" t="s">
        <v>6416</v>
      </c>
      <c r="J59" s="237"/>
    </row>
    <row r="60" spans="1:11" ht="13.5" customHeight="1" x14ac:dyDescent="0.1">
      <c r="A60" s="234"/>
      <c r="B60" s="235">
        <v>32</v>
      </c>
      <c r="C60" s="236" t="s">
        <v>125</v>
      </c>
      <c r="D60" s="236">
        <v>59</v>
      </c>
      <c r="E60" s="236">
        <v>13816331121</v>
      </c>
      <c r="F60" s="237" t="s">
        <v>6417</v>
      </c>
      <c r="G60" s="237"/>
      <c r="H60" s="238" t="s">
        <v>126</v>
      </c>
      <c r="I60" s="237" t="s">
        <v>6418</v>
      </c>
      <c r="J60" s="237"/>
    </row>
    <row r="61" spans="1:11" s="230" customFormat="1" ht="13.5" customHeight="1" x14ac:dyDescent="0.1">
      <c r="A61" s="234"/>
      <c r="B61" s="235">
        <v>33</v>
      </c>
      <c r="C61" s="236" t="s">
        <v>6419</v>
      </c>
      <c r="D61" s="236">
        <v>61</v>
      </c>
      <c r="E61" s="236">
        <v>13816124760</v>
      </c>
      <c r="F61" s="237" t="s">
        <v>6420</v>
      </c>
      <c r="G61" s="237" t="s">
        <v>6421</v>
      </c>
      <c r="H61" s="240" t="s">
        <v>6422</v>
      </c>
      <c r="I61" s="237" t="s">
        <v>6423</v>
      </c>
      <c r="J61" s="237" t="s">
        <v>6424</v>
      </c>
    </row>
    <row r="62" spans="1:11" s="230" customFormat="1" ht="13.5" customHeight="1" x14ac:dyDescent="0.1">
      <c r="A62" s="234"/>
      <c r="B62" s="235">
        <v>34</v>
      </c>
      <c r="C62" s="236" t="s">
        <v>420</v>
      </c>
      <c r="D62" s="236">
        <v>63</v>
      </c>
      <c r="E62" s="236">
        <v>15902113828</v>
      </c>
      <c r="F62" s="237" t="s">
        <v>6425</v>
      </c>
      <c r="G62" s="237" t="s">
        <v>6426</v>
      </c>
      <c r="H62" s="238" t="s">
        <v>421</v>
      </c>
      <c r="I62" s="237" t="s">
        <v>6427</v>
      </c>
      <c r="J62" s="237" t="s">
        <v>6428</v>
      </c>
    </row>
    <row r="63" spans="1:11" s="246" customFormat="1" ht="13.5" customHeight="1" x14ac:dyDescent="0.1">
      <c r="A63" s="234"/>
      <c r="B63" s="235">
        <v>35</v>
      </c>
      <c r="C63" s="236" t="s">
        <v>81</v>
      </c>
      <c r="D63" s="236">
        <v>66</v>
      </c>
      <c r="E63" s="236">
        <v>13472603714</v>
      </c>
      <c r="F63" s="237" t="s">
        <v>6429</v>
      </c>
      <c r="G63" s="237" t="s">
        <v>6430</v>
      </c>
      <c r="H63" s="238" t="s">
        <v>82</v>
      </c>
      <c r="I63" s="237" t="s">
        <v>6431</v>
      </c>
      <c r="J63" s="237"/>
    </row>
    <row r="64" spans="1:11" s="230" customFormat="1" ht="14.25" customHeight="1" x14ac:dyDescent="0.1">
      <c r="A64" s="234"/>
      <c r="B64" s="235">
        <v>36</v>
      </c>
      <c r="C64" s="236" t="s">
        <v>398</v>
      </c>
      <c r="D64" s="236">
        <v>70</v>
      </c>
      <c r="E64" s="236">
        <v>13661449987</v>
      </c>
      <c r="F64" s="237"/>
      <c r="G64" s="237"/>
      <c r="H64" s="238" t="s">
        <v>399</v>
      </c>
      <c r="I64" s="237" t="s">
        <v>6432</v>
      </c>
      <c r="J64" s="237">
        <v>2007.1</v>
      </c>
    </row>
  </sheetData>
  <mergeCells count="3">
    <mergeCell ref="E1:H1"/>
    <mergeCell ref="E2:G2"/>
    <mergeCell ref="A24:A26"/>
  </mergeCells>
  <phoneticPr fontId="1" type="noConversion"/>
  <hyperlinks>
    <hyperlink ref="H7" r:id="rId1" xr:uid="{00000000-0004-0000-1800-000000000000}"/>
    <hyperlink ref="H9" r:id="rId2" xr:uid="{00000000-0004-0000-1800-000001000000}"/>
    <hyperlink ref="H12" r:id="rId3" xr:uid="{00000000-0004-0000-1800-000002000000}"/>
    <hyperlink ref="H18" r:id="rId4" xr:uid="{00000000-0004-0000-1800-000003000000}"/>
    <hyperlink ref="H19" r:id="rId5" xr:uid="{00000000-0004-0000-1800-000004000000}"/>
    <hyperlink ref="H60" r:id="rId6" xr:uid="{00000000-0004-0000-1800-000005000000}"/>
    <hyperlink ref="H6" r:id="rId7" xr:uid="{00000000-0004-0000-1800-000006000000}"/>
    <hyperlink ref="H29" r:id="rId8" xr:uid="{00000000-0004-0000-1800-000007000000}"/>
    <hyperlink ref="H62" r:id="rId9" xr:uid="{00000000-0004-0000-1800-000008000000}"/>
    <hyperlink ref="H23" r:id="rId10" xr:uid="{00000000-0004-0000-1800-000009000000}"/>
    <hyperlink ref="H14" r:id="rId11" xr:uid="{00000000-0004-0000-1800-00000A000000}"/>
    <hyperlink ref="H59" r:id="rId12" xr:uid="{00000000-0004-0000-1800-00000B000000}"/>
    <hyperlink ref="H49" r:id="rId13" xr:uid="{00000000-0004-0000-1800-00000C000000}"/>
    <hyperlink ref="H26" r:id="rId14" xr:uid="{00000000-0004-0000-1800-00000D000000}"/>
    <hyperlink ref="H56" r:id="rId15" xr:uid="{00000000-0004-0000-1800-00000E000000}"/>
    <hyperlink ref="H15" r:id="rId16" xr:uid="{00000000-0004-0000-1800-00000F000000}"/>
    <hyperlink ref="H20" r:id="rId17" xr:uid="{00000000-0004-0000-1800-000010000000}"/>
    <hyperlink ref="H25" r:id="rId18" xr:uid="{00000000-0004-0000-1800-000011000000}"/>
    <hyperlink ref="H22" r:id="rId19" xr:uid="{00000000-0004-0000-1800-000012000000}"/>
    <hyperlink ref="H31" r:id="rId20" xr:uid="{00000000-0004-0000-1800-000013000000}"/>
    <hyperlink ref="H34" r:id="rId21" xr:uid="{00000000-0004-0000-1800-000014000000}"/>
    <hyperlink ref="H35" r:id="rId22" xr:uid="{00000000-0004-0000-1800-000015000000}"/>
    <hyperlink ref="H45" r:id="rId23" xr:uid="{00000000-0004-0000-1800-000016000000}"/>
    <hyperlink ref="H50" r:id="rId24" xr:uid="{00000000-0004-0000-1800-000017000000}"/>
    <hyperlink ref="H53" r:id="rId25" xr:uid="{00000000-0004-0000-1800-000018000000}"/>
    <hyperlink ref="H63" r:id="rId26" xr:uid="{00000000-0004-0000-1800-000019000000}"/>
    <hyperlink ref="H38" r:id="rId27" xr:uid="{00000000-0004-0000-1800-00001A000000}"/>
    <hyperlink ref="H52" r:id="rId28" xr:uid="{00000000-0004-0000-1800-00001B000000}"/>
    <hyperlink ref="H48" r:id="rId29" xr:uid="{00000000-0004-0000-1800-00001C000000}"/>
    <hyperlink ref="H44" r:id="rId30" xr:uid="{00000000-0004-0000-1800-00001D000000}"/>
    <hyperlink ref="H21" r:id="rId31" xr:uid="{00000000-0004-0000-1800-00001E000000}"/>
    <hyperlink ref="H61" r:id="rId32" xr:uid="{00000000-0004-0000-1800-00001F000000}"/>
    <hyperlink ref="H24" r:id="rId33" xr:uid="{00000000-0004-0000-1800-000020000000}"/>
    <hyperlink ref="H57" r:id="rId34" xr:uid="{00000000-0004-0000-1800-000021000000}"/>
    <hyperlink ref="H17" r:id="rId35" xr:uid="{00000000-0004-0000-1800-000022000000}"/>
    <hyperlink ref="H64" r:id="rId36" xr:uid="{00000000-0004-0000-1800-000023000000}"/>
    <hyperlink ref="H42" r:id="rId37" xr:uid="{00000000-0004-0000-1800-000024000000}"/>
    <hyperlink ref="H51" r:id="rId38" xr:uid="{00000000-0004-0000-1800-000025000000}"/>
    <hyperlink ref="H5" r:id="rId39" xr:uid="{00000000-0004-0000-1800-000026000000}"/>
    <hyperlink ref="H4" r:id="rId40" xr:uid="{00000000-0004-0000-1800-000027000000}"/>
    <hyperlink ref="H13" r:id="rId41" xr:uid="{00000000-0004-0000-1800-000028000000}"/>
    <hyperlink ref="H27" r:id="rId42" xr:uid="{00000000-0004-0000-1800-000029000000}"/>
    <hyperlink ref="H10" r:id="rId43" xr:uid="{00000000-0004-0000-1800-00002A000000}"/>
    <hyperlink ref="H28" r:id="rId44" xr:uid="{00000000-0004-0000-1800-00002B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3.5" x14ac:dyDescent="0.1"/>
  <sheetData/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K25" sqref="K25"/>
    </sheetView>
  </sheetViews>
  <sheetFormatPr defaultRowHeight="13.5" x14ac:dyDescent="0.1"/>
  <sheetData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3.5" x14ac:dyDescent="0.1"/>
  <sheetData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3.5" x14ac:dyDescent="0.1"/>
  <sheetData/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3.5" x14ac:dyDescent="0.1"/>
  <sheetData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3.5" x14ac:dyDescent="0.1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6</vt:i4>
      </vt:variant>
    </vt:vector>
  </HeadingPairs>
  <TitlesOfParts>
    <vt:vector size="37" baseType="lpstr">
      <vt:lpstr>네이버 주소록</vt:lpstr>
      <vt:lpstr>초청대상</vt:lpstr>
      <vt:lpstr>가능성</vt:lpstr>
      <vt:lpstr>명단</vt:lpstr>
      <vt:lpstr>최종확정</vt:lpstr>
      <vt:lpstr>참석자내역</vt:lpstr>
      <vt:lpstr>최종초청&amp;실제참석</vt:lpstr>
      <vt:lpstr>감사장발송</vt:lpstr>
      <vt:lpstr>이메일</vt:lpstr>
      <vt:lpstr>연락도우미</vt:lpstr>
      <vt:lpstr>추가발송</vt:lpstr>
      <vt:lpstr>고객</vt:lpstr>
      <vt:lpstr>심성수_OB</vt:lpstr>
      <vt:lpstr>LG화학주소</vt:lpstr>
      <vt:lpstr>LG패션</vt:lpstr>
      <vt:lpstr>친척</vt:lpstr>
      <vt:lpstr>LG클럽</vt:lpstr>
      <vt:lpstr>동기회</vt:lpstr>
      <vt:lpstr>가족</vt:lpstr>
      <vt:lpstr>럭수회</vt:lpstr>
      <vt:lpstr>김정오</vt:lpstr>
      <vt:lpstr>제자반</vt:lpstr>
      <vt:lpstr>북경교회</vt:lpstr>
      <vt:lpstr>경복북경</vt:lpstr>
      <vt:lpstr>경복상해</vt:lpstr>
      <vt:lpstr>Sheet3</vt:lpstr>
      <vt:lpstr>북경교회_봉사위</vt:lpstr>
      <vt:lpstr>Sheet8</vt:lpstr>
      <vt:lpstr>Sheet1</vt:lpstr>
      <vt:lpstr>Sheet2</vt:lpstr>
      <vt:lpstr>Sheet4</vt:lpstr>
      <vt:lpstr>감사장발송!_FilterDatabase</vt:lpstr>
      <vt:lpstr>네이버 주소록!_FilterDatabase</vt:lpstr>
      <vt:lpstr>참석자내역!_FilterDatabase</vt:lpstr>
      <vt:lpstr>최종초청&amp;실제참석!_FilterDatabase</vt:lpstr>
      <vt:lpstr>최종확정!Print_Area</vt:lpstr>
      <vt:lpstr>추가발송!Print_Area</vt:lpstr>
    </vt:vector>
  </TitlesOfParts>
  <Company>INFRAWARE,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2010-06-21T07:17:39Z</dcterms:created>
  <dcterms:modified xsi:type="dcterms:W3CDTF">2017-10-21T05:15:46Z</dcterms:modified>
</cp:coreProperties>
</file>